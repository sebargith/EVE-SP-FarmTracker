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12077e2f2748b6" /></Relationships>
</file>

<file path=xl/workbook.xml><?xml version="1.0" encoding="utf-8"?>
<x:workbook xmlns:x="http://schemas.openxmlformats.org/spreadsheetml/2006/main">
  <x:sheets>
    <x:sheet xmlns:r="http://schemas.openxmlformats.org/officeDocument/2006/relationships" name="01 Base Costs" sheetId="1" r:id="R09822f01c7ea4779"/>
    <x:sheet xmlns:r="http://schemas.openxmlformats.org/officeDocument/2006/relationships" name="02 Scenario Matrix" sheetId="2" r:id="R0fd5c4dc549d4dea"/>
    <x:sheet xmlns:r="http://schemas.openxmlformats.org/officeDocument/2006/relationships" name="03 Best Results" sheetId="3" r:id="R7f31d23a54814a34"/>
    <x:sheet xmlns:r="http://schemas.openxmlformats.org/officeDocument/2006/relationships" name="04 Combination Analysis" sheetId="4" r:id="R35ec43ec52ae4be9"/>
    <x:sheet xmlns:r="http://schemas.openxmlformats.org/officeDocument/2006/relationships" name="05 SP Farm Guide" sheetId="5" r:id="R5cfc2d28bdf349d3"/>
    <x:sheet xmlns:r="http://schemas.openxmlformats.org/officeDocument/2006/relationships" name="06 Sources" sheetId="6" r:id="R90ce8cb1806346b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
    <x:numFmt numFmtId="202" formatCode="#,##0.0"/>
    <x:numFmt numFmtId="203" formatCode="0.000"/>
  </x:numFmts>
  <x:fonts count="7">
    <x:font>
      <x:sz val="11"/>
      <x:name val="Carlito"/>
    </x:font>
    <x:font>
      <x:b/>
      <x:sz val="15"/>
      <x:color rgb="FFFFFF"/>
      <x:name val="Carlito"/>
    </x:font>
    <x:font>
      <x:i/>
      <x:sz val="11"/>
      <x:color rgb="374151"/>
      <x:name val="Carlito"/>
    </x:font>
    <x:font>
      <x:b/>
      <x:sz val="11"/>
      <x:color rgb="FFFFFF"/>
      <x:name val="Carlito"/>
    </x:font>
    <x:font>
      <x:b/>
      <x:sz val="14"/>
      <x:color rgb="FFFFFF"/>
      <x:name val="Carlito"/>
    </x:font>
    <x:font>
      <x:i/>
      <x:sz val="11"/>
      <x:name val="Carlito"/>
    </x:font>
    <x:font>
      <x:b/>
      <x:sz val="11"/>
      <x:name val="Carlito"/>
    </x:font>
  </x:fonts>
  <x:fills count="10">
    <x:fill>
      <x:patternFill patternType="none"/>
    </x:fill>
    <x:fill>
      <x:patternFill patternType="gray125"/>
    </x:fill>
    <x:fill>
      <x:patternFill patternType="solid">
        <x:fgColor rgb="0F172A"/>
      </x:patternFill>
    </x:fill>
    <x:fill>
      <x:patternFill patternType="solid">
        <x:fgColor rgb="F3F4F6"/>
      </x:patternFill>
    </x:fill>
    <x:fill>
      <x:patternFill patternType="solid">
        <x:fgColor rgb="0F766E"/>
      </x:patternFill>
    </x:fill>
    <x:fill>
      <x:patternFill patternType="solid">
        <x:fgColor rgb="FEF3C7"/>
      </x:patternFill>
    </x:fill>
    <x:fill>
      <x:patternFill patternType="solid">
        <x:fgColor rgb="DCFCE7"/>
      </x:patternFill>
    </x:fill>
    <x:fill>
      <x:patternFill patternType="solid">
        <x:fgColor rgb="1D4ED8"/>
      </x:patternFill>
    </x:fill>
    <x:fill>
      <x:patternFill patternType="solid">
        <x:fgColor rgb="1F2937"/>
      </x:patternFill>
    </x:fill>
    <x:fill>
      <x:patternFill patternType="solid">
        <x:fgColor rgb="DBEAFE"/>
      </x:patternFill>
    </x:fill>
  </x:fills>
  <x:borders count="20">
    <x:border/>
    <x:border/>
    <x:border>
      <x:right>
        <x:color rgb="E5E7EB"/>
      </x:right>
      <x:bottom>
        <x:color rgb="E5E7EB"/>
      </x:bottom>
    </x:border>
    <x:border>
      <x:left>
        <x:color rgb="E5E7EB"/>
      </x:left>
      <x:right>
        <x:color rgb="E5E7EB"/>
      </x:right>
      <x:bottom>
        <x:color rgb="E5E7EB"/>
      </x:bottom>
    </x:border>
    <x:border>
      <x:left>
        <x:color rgb="E5E7EB"/>
      </x:left>
      <x:bottom>
        <x:color rgb="E5E7EB"/>
      </x:bottom>
    </x:border>
    <x:border>
      <x:right>
        <x:color rgb="E5E7EB"/>
      </x:right>
      <x:top>
        <x:color rgb="E5E7EB"/>
      </x:top>
      <x:bottom>
        <x:color rgb="E5E7EB"/>
      </x:bottom>
    </x:border>
    <x:border>
      <x:left>
        <x:color rgb="E5E7EB"/>
      </x:left>
      <x:right>
        <x:color rgb="E5E7EB"/>
      </x:right>
      <x:top>
        <x:color rgb="E5E7EB"/>
      </x:top>
      <x:bottom>
        <x:color rgb="E5E7EB"/>
      </x:bottom>
    </x:border>
    <x:border>
      <x:left>
        <x:color rgb="E5E7EB"/>
      </x:left>
      <x:top>
        <x:color rgb="E5E7EB"/>
      </x:top>
      <x:bottom>
        <x:color rgb="E5E7EB"/>
      </x:bottom>
    </x:border>
    <x:border>
      <x:right>
        <x:color rgb="E5E7EB"/>
      </x:right>
      <x:top>
        <x:color rgb="E5E7EB"/>
      </x:top>
    </x:border>
    <x:border>
      <x:left>
        <x:color rgb="E5E7EB"/>
      </x:left>
      <x:right>
        <x:color rgb="E5E7EB"/>
      </x:right>
      <x:top>
        <x:color rgb="E5E7EB"/>
      </x:top>
    </x:border>
    <x:border>
      <x:left>
        <x:color rgb="E5E7EB"/>
      </x:left>
      <x:top>
        <x:color rgb="E5E7EB"/>
      </x:top>
    </x:border>
    <x:border>
      <x:right>
        <x:color rgb="E5E7EB"/>
      </x:right>
      <x:bottom>
        <x:color rgb="E5E7EB"/>
      </x:bottom>
    </x:border>
    <x:border>
      <x:left>
        <x:color rgb="E5E7EB"/>
      </x:left>
      <x:right>
        <x:color rgb="E5E7EB"/>
      </x:right>
      <x:bottom>
        <x:color rgb="E5E7EB"/>
      </x:bottom>
    </x:border>
    <x:border>
      <x:left>
        <x:color rgb="E5E7EB"/>
      </x:left>
      <x:bottom>
        <x:color rgb="E5E7EB"/>
      </x:bottom>
    </x:border>
    <x:border>
      <x:right>
        <x:color rgb="E5E7EB"/>
      </x:right>
      <x:top>
        <x:color rgb="E5E7EB"/>
      </x:top>
      <x:bottom>
        <x:color rgb="E5E7EB"/>
      </x:bottom>
    </x:border>
    <x:border>
      <x:left>
        <x:color rgb="E5E7EB"/>
      </x:left>
      <x:right>
        <x:color rgb="E5E7EB"/>
      </x:right>
      <x:top>
        <x:color rgb="E5E7EB"/>
      </x:top>
      <x:bottom>
        <x:color rgb="E5E7EB"/>
      </x:bottom>
    </x:border>
    <x:border>
      <x:left>
        <x:color rgb="E5E7EB"/>
      </x:left>
      <x:top>
        <x:color rgb="E5E7EB"/>
      </x:top>
      <x:bottom>
        <x:color rgb="E5E7EB"/>
      </x:bottom>
    </x:border>
    <x:border>
      <x:right>
        <x:color rgb="E5E7EB"/>
      </x:right>
      <x:top>
        <x:color rgb="E5E7EB"/>
      </x:top>
    </x:border>
    <x:border>
      <x:left>
        <x:color rgb="E5E7EB"/>
      </x:left>
      <x:right>
        <x:color rgb="E5E7EB"/>
      </x:right>
      <x:top>
        <x:color rgb="E5E7EB"/>
      </x:top>
    </x:border>
    <x:border>
      <x:left>
        <x:color rgb="E5E7EB"/>
      </x:left>
      <x:top>
        <x:color rgb="E5E7EB"/>
      </x:top>
    </x:border>
  </x:borders>
  <x:cellStyleXfs count="1">
    <x:xf numFmtId="0" fontId="0" fillId="0" borderId="0"/>
  </x:cellStyleXfs>
  <x:cellXfs count="2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200" fontId="0" fillId="5" borderId="0" xfId="0" applyNumberFormat="1" applyFont="1" applyFill="1" applyBorder="1" applyAlignment="1">
      <x:alignment vertical="top" wrapText="1"/>
    </x:xf>
    <x:xf numFmtId="200" fontId="0" fillId="6" borderId="0" xfId="0" applyNumberFormat="1" applyFont="1" applyFill="1" applyBorder="1" applyAlignment="1">
      <x:alignment vertical="top" wrapText="1"/>
    </x:xf>
    <x:xf numFmtId="200" fontId="0" fillId="5" borderId="1" xfId="0" applyNumberFormat="1" applyFont="1" applyFill="1" applyBorder="1" applyAlignment="1">
      <x:alignment vertical="top" wrapText="1"/>
    </x:xf>
    <x:xf numFmtId="200" fontId="0" fillId="6" borderId="1" xfId="0" applyNumberFormat="1" applyFont="1" applyFill="1" applyBorder="1" applyAlignment="1">
      <x:alignment vertical="top" wrapText="1"/>
    </x:xf>
    <x:xf numFmtId="201" fontId="0" fillId="5" borderId="0" xfId="0" applyNumberFormat="1" applyFont="1" applyFill="1" applyBorder="1" applyAlignment="1">
      <x:alignment vertical="top" wrapText="1"/>
    </x:xf>
    <x:xf numFmtId="201" fontId="0" fillId="5" borderId="1" xfId="0" applyNumberFormat="1" applyFont="1" applyFill="1" applyBorder="1" applyAlignment="1">
      <x:alignment vertical="top" wrapText="1"/>
    </x:xf>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0" fillId="0" borderId="5" xfId="0" applyNumberFormat="1" applyFont="1" applyFill="1" applyBorder="1" applyAlignment="1">
      <x:alignment vertical="top" wrapText="1"/>
    </x:xf>
    <x:xf numFmtId="200" fontId="0" fillId="5" borderId="6"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201" fontId="0" fillId="5" borderId="6" xfId="0" applyNumberFormat="1" applyFont="1" applyFill="1" applyBorder="1" applyAlignment="1">
      <x:alignment vertical="top" wrapText="1"/>
    </x:xf>
    <x:xf numFmtId="200" fontId="0" fillId="6" borderId="6" xfId="0" applyNumberFormat="1" applyFont="1" applyFill="1" applyBorder="1" applyAlignment="1">
      <x:alignment vertical="top" wrapText="1"/>
    </x:xf>
    <x:xf numFmtId="0" fontId="0" fillId="0" borderId="8" xfId="0" applyNumberFormat="1" applyFont="1" applyFill="1" applyBorder="1" applyAlignment="1">
      <x:alignment vertical="top" wrapText="1"/>
    </x:xf>
    <x:xf numFmtId="200" fontId="0" fillId="6" borderId="9"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3" fillId="4" borderId="11" xfId="0" applyNumberFormat="1" applyFont="1" applyFill="1" applyBorder="1" applyAlignment="1">
      <x:alignment horizontal="center"/>
    </x:xf>
    <x:xf numFmtId="0" fontId="3" fillId="4" borderId="12" xfId="0" applyNumberFormat="1" applyFont="1" applyFill="1" applyBorder="1" applyAlignment="1">
      <x:alignment horizontal="center"/>
    </x:xf>
    <x:xf numFmtId="0" fontId="3" fillId="4" borderId="13" xfId="0" applyNumberFormat="1" applyFont="1" applyFill="1" applyBorder="1" applyAlignment="1">
      <x:alignment horizontal="center"/>
    </x:xf>
    <x:xf numFmtId="0" fontId="0" fillId="0" borderId="14" xfId="0" applyNumberFormat="1" applyFont="1" applyFill="1" applyBorder="1" applyAlignment="1">
      <x:alignment vertical="top" wrapText="1"/>
    </x:xf>
    <x:xf numFmtId="200" fontId="0" fillId="5" borderId="15"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201" fontId="0" fillId="5" borderId="15" xfId="0" applyNumberFormat="1" applyFont="1" applyFill="1" applyBorder="1" applyAlignment="1">
      <x:alignment vertical="top" wrapText="1"/>
    </x:xf>
    <x:xf numFmtId="200" fontId="0" fillId="6" borderId="15"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200" fontId="0" fillId="6" borderId="18"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3" fillId="8" borderId="0" xfId="0" applyNumberFormat="1" applyFont="1" applyFill="1" applyBorder="1"/>
    <x:xf numFmtId="0" fontId="0" fillId="8" borderId="1" xfId="0" applyNumberFormat="1" applyFont="1" applyFill="1" applyBorder="1"/>
    <x:xf numFmtId="0" fontId="3" fillId="8"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3" fillId="7" borderId="0" xfId="0" applyNumberFormat="1" applyFont="1" applyFill="1" applyBorder="1" applyAlignment="1">
      <x:alignment horizontal="center" wrapText="1"/>
    </x:xf>
    <x:xf numFmtId="0" fontId="3" fillId="8"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8"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7" borderId="2" xfId="0" applyNumberFormat="1" applyFont="1" applyFill="1" applyBorder="1" applyAlignment="1">
      <x:alignment horizontal="center" wrapText="1"/>
    </x:xf>
    <x:xf numFmtId="0" fontId="3" fillId="7" borderId="3" xfId="0" applyNumberFormat="1" applyFont="1" applyFill="1" applyBorder="1" applyAlignment="1">
      <x:alignment horizontal="center" wrapText="1"/>
    </x:xf>
    <x:xf numFmtId="0" fontId="3" fillId="7" borderId="4" xfId="0" applyNumberFormat="1" applyFont="1" applyFill="1" applyBorder="1" applyAlignment="1">
      <x:alignment horizontal="center" wrapText="1"/>
    </x:xf>
    <x:xf numFmtId="0" fontId="3" fillId="8" borderId="5" xfId="0" applyNumberFormat="1" applyFont="1" applyFill="1" applyBorder="1" applyAlignment="1">
      <x:alignment wrapText="1"/>
    </x:xf>
    <x:xf numFmtId="0" fontId="3" fillId="8" borderId="6" xfId="0" applyNumberFormat="1" applyFont="1" applyFill="1" applyBorder="1" applyAlignment="1">
      <x:alignment wrapText="1"/>
    </x:xf>
    <x:xf numFmtId="0" fontId="3" fillId="8" borderId="7" xfId="0" applyNumberFormat="1" applyFont="1" applyFill="1" applyBorder="1" applyAlignment="1">
      <x:alignment wrapText="1"/>
    </x:xf>
    <x:xf numFmtId="0" fontId="0" fillId="0" borderId="5" xfId="0" applyNumberFormat="1" applyFont="1" applyFill="1" applyBorder="1" applyAlignment="1">
      <x:alignment wrapText="1"/>
    </x:xf>
    <x:xf numFmtId="200" fontId="0" fillId="0" borderId="6"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3" fillId="7" borderId="11" xfId="0" applyNumberFormat="1" applyFont="1" applyFill="1" applyBorder="1" applyAlignment="1">
      <x:alignment horizontal="center" wrapText="1"/>
    </x:xf>
    <x:xf numFmtId="0" fontId="3" fillId="7" borderId="12" xfId="0" applyNumberFormat="1" applyFont="1" applyFill="1" applyBorder="1" applyAlignment="1">
      <x:alignment horizontal="center" wrapText="1"/>
    </x:xf>
    <x:xf numFmtId="0" fontId="3" fillId="7" borderId="13" xfId="0" applyNumberFormat="1" applyFont="1" applyFill="1" applyBorder="1" applyAlignment="1">
      <x:alignment horizontal="center" wrapText="1"/>
    </x:xf>
    <x:xf numFmtId="0" fontId="3" fillId="8" borderId="14" xfId="0" applyNumberFormat="1" applyFont="1" applyFill="1" applyBorder="1" applyAlignment="1">
      <x:alignment wrapText="1"/>
    </x:xf>
    <x:xf numFmtId="0" fontId="3" fillId="8" borderId="15" xfId="0" applyNumberFormat="1" applyFont="1" applyFill="1" applyBorder="1" applyAlignment="1">
      <x:alignment wrapText="1"/>
    </x:xf>
    <x:xf numFmtId="0" fontId="3" fillId="8" borderId="16" xfId="0" applyNumberFormat="1" applyFont="1" applyFill="1" applyBorder="1" applyAlignment="1">
      <x:alignment wrapText="1"/>
    </x:xf>
    <x:xf numFmtId="0" fontId="0" fillId="0" borderId="14" xfId="0" applyNumberFormat="1" applyFont="1" applyFill="1" applyBorder="1" applyAlignment="1">
      <x:alignment wrapText="1"/>
    </x:xf>
    <x:xf numFmtId="200" fontId="0" fillId="0" borderId="15"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200" fontId="0" fillId="0" borderId="9" xfId="0" applyNumberFormat="1" applyFont="1" applyFill="1" applyBorder="1" applyAlignment="1">
      <x:alignment wrapText="1"/>
    </x:xf>
    <x:xf numFmtId="0" fontId="3" fillId="4" borderId="11" xfId="0" applyNumberFormat="1" applyFont="1" applyFill="1" applyBorder="1" applyAlignment="1">
      <x:alignment horizontal="center" wrapText="1"/>
    </x:xf>
    <x:xf numFmtId="0" fontId="3" fillId="4" borderId="12" xfId="0" applyNumberFormat="1" applyFont="1" applyFill="1" applyBorder="1" applyAlignment="1">
      <x:alignment horizontal="center" wrapText="1"/>
    </x:xf>
    <x:xf numFmtId="0" fontId="3" fillId="4" borderId="13" xfId="0" applyNumberFormat="1" applyFont="1" applyFill="1" applyBorder="1" applyAlignment="1">
      <x:alignment horizontal="center" wrapText="1"/>
    </x:xf>
    <x:xf numFmtId="200" fontId="0" fillId="0" borderId="18" xfId="0" applyNumberFormat="1" applyFont="1" applyFill="1" applyBorder="1" applyAlignment="1">
      <x:alignment wrapText="1"/>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2" fontId="0" fillId="0" borderId="6" xfId="0" applyNumberFormat="1" applyFont="1" applyFill="1" applyBorder="1" applyAlignment="1">
      <x:alignment wrapText="1"/>
    </x:xf>
    <x:xf numFmtId="202" fontId="0" fillId="0" borderId="9" xfId="0" applyNumberFormat="1" applyFont="1" applyFill="1" applyBorder="1" applyAlignment="1">
      <x:alignment wrapText="1"/>
    </x:xf>
    <x:xf numFmtId="202" fontId="0" fillId="0" borderId="15" xfId="0" applyNumberFormat="1" applyFont="1" applyFill="1" applyBorder="1" applyAlignment="1">
      <x:alignment wrapText="1"/>
    </x:xf>
    <x:xf numFmtId="202" fontId="0" fillId="0" borderId="18"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3" fillId="8" borderId="0" xfId="0" applyNumberFormat="1" applyFont="1" applyFill="1" applyBorder="1" applyAlignment="1">
      <x:alignment horizontal="center" wrapText="1"/>
    </x:xf>
    <x:xf numFmtId="0" fontId="3" fillId="8" borderId="1" xfId="0" applyNumberFormat="1" applyFont="1" applyFill="1" applyBorder="1" applyAlignment="1">
      <x:alignment horizontal="center" wrapText="1"/>
    </x:xf>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0" fontId="3" fillId="8" borderId="2" xfId="0" applyNumberFormat="1" applyFont="1" applyFill="1" applyBorder="1" applyAlignment="1">
      <x:alignment horizontal="center" wrapText="1"/>
    </x:xf>
    <x:xf numFmtId="0" fontId="3" fillId="8" borderId="3" xfId="0" applyNumberFormat="1" applyFont="1" applyFill="1" applyBorder="1" applyAlignment="1">
      <x:alignment horizontal="center" wrapText="1"/>
    </x:xf>
    <x:xf numFmtId="0" fontId="3" fillId="8" borderId="4" xfId="0" applyNumberFormat="1" applyFont="1" applyFill="1" applyBorder="1" applyAlignment="1">
      <x:alignment horizontal="center" wrapText="1"/>
    </x:xf>
    <x:xf numFmtId="203" fontId="0" fillId="0" borderId="6" xfId="0" applyNumberFormat="1" applyFont="1" applyFill="1" applyBorder="1" applyAlignment="1">
      <x:alignment wrapText="1"/>
    </x:xf>
    <x:xf numFmtId="203" fontId="0" fillId="0" borderId="9" xfId="0" applyNumberFormat="1" applyFont="1" applyFill="1" applyBorder="1" applyAlignment="1">
      <x:alignment wrapText="1"/>
    </x:xf>
    <x:xf numFmtId="0" fontId="3" fillId="8" borderId="11" xfId="0" applyNumberFormat="1" applyFont="1" applyFill="1" applyBorder="1" applyAlignment="1">
      <x:alignment horizontal="center" wrapText="1"/>
    </x:xf>
    <x:xf numFmtId="0" fontId="3" fillId="8" borderId="12" xfId="0" applyNumberFormat="1" applyFont="1" applyFill="1" applyBorder="1" applyAlignment="1">
      <x:alignment horizontal="center" wrapText="1"/>
    </x:xf>
    <x:xf numFmtId="0" fontId="3" fillId="8" borderId="13" xfId="0" applyNumberFormat="1" applyFont="1" applyFill="1" applyBorder="1" applyAlignment="1">
      <x:alignment horizontal="center" wrapText="1"/>
    </x:xf>
    <x:xf numFmtId="203" fontId="0" fillId="0" borderId="15" xfId="0" applyNumberFormat="1" applyFont="1" applyFill="1" applyBorder="1" applyAlignment="1">
      <x:alignment wrapText="1"/>
    </x:xf>
    <x:xf numFmtId="203" fontId="0" fillId="0" borderId="18" xfId="0" applyNumberFormat="1" applyFont="1" applyFill="1" applyBorder="1" applyAlignment="1">
      <x:alignment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x:xf numFmtId="0" fontId="5" fillId="3" borderId="1" xfId="0" applyNumberFormat="1" applyFont="1" applyFill="1" applyBorder="1" applyAlignment="1">
      <x:alignment wrapText="1"/>
    </x:xf>
    <x:xf numFmtId="0" fontId="0" fillId="0" borderId="2"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9" xfId="0" applyNumberFormat="1" applyFont="1" applyFill="1" applyBorder="1"/>
    <x:xf numFmtId="0" fontId="0" fillId="8" borderId="2" xfId="0" applyNumberFormat="1" applyFont="1" applyFill="1" applyBorder="1"/>
    <x:xf numFmtId="0" fontId="0" fillId="8" borderId="5" xfId="0" applyNumberFormat="1" applyFont="1" applyFill="1" applyBorder="1"/>
    <x:xf numFmtId="0" fontId="0" fillId="8" borderId="8" xfId="0" applyNumberFormat="1" applyFont="1" applyFill="1" applyBorder="1"/>
    <x:xf numFmtId="0" fontId="3" fillId="8" borderId="2" xfId="0" applyNumberFormat="1" applyFont="1" applyFill="1" applyBorder="1"/>
    <x:xf numFmtId="0" fontId="3" fillId="8" borderId="5" xfId="0" applyNumberFormat="1" applyFont="1" applyFill="1" applyBorder="1"/>
    <x:xf numFmtId="0" fontId="3" fillId="8" borderId="8" xfId="0" applyNumberFormat="1" applyFont="1" applyFill="1" applyBorder="1"/>
    <x:xf numFmtId="0" fontId="0" fillId="8" borderId="11" xfId="0" applyNumberFormat="1" applyFont="1" applyFill="1" applyBorder="1"/>
    <x:xf numFmtId="0" fontId="0" fillId="8" borderId="14" xfId="0" applyNumberFormat="1" applyFont="1" applyFill="1" applyBorder="1"/>
    <x:xf numFmtId="0" fontId="0" fillId="8" borderId="17" xfId="0" applyNumberFormat="1" applyFont="1" applyFill="1" applyBorder="1"/>
    <x:xf numFmtId="0" fontId="3" fillId="8" borderId="11" xfId="0" applyNumberFormat="1" applyFont="1" applyFill="1" applyBorder="1"/>
    <x:xf numFmtId="0" fontId="3" fillId="8" borderId="14" xfId="0" applyNumberFormat="1" applyFont="1" applyFill="1" applyBorder="1"/>
    <x:xf numFmtId="0" fontId="3" fillId="8" borderId="17" xfId="0" applyNumberFormat="1" applyFont="1" applyFill="1" applyBorder="1"/>
    <x:xf numFmtId="0" fontId="0" fillId="5" borderId="4" xfId="0" applyNumberFormat="1" applyFont="1" applyFill="1" applyBorder="1"/>
    <x:xf numFmtId="0" fontId="0" fillId="5" borderId="7" xfId="0" applyNumberFormat="1" applyFont="1" applyFill="1" applyBorder="1"/>
    <x:xf numFmtId="0" fontId="0" fillId="5" borderId="10" xfId="0" applyNumberFormat="1" applyFont="1" applyFill="1" applyBorder="1"/>
    <x:xf numFmtId="0" fontId="6" fillId="5" borderId="4" xfId="0" applyNumberFormat="1" applyFont="1" applyFill="1" applyBorder="1"/>
    <x:xf numFmtId="0" fontId="6" fillId="5" borderId="7" xfId="0" applyNumberFormat="1" applyFont="1" applyFill="1" applyBorder="1"/>
    <x:xf numFmtId="0" fontId="6" fillId="5" borderId="10" xfId="0" applyNumberFormat="1" applyFont="1" applyFill="1" applyBorder="1"/>
    <x:xf numFmtId="0" fontId="0" fillId="5" borderId="13" xfId="0" applyNumberFormat="1" applyFont="1" applyFill="1" applyBorder="1"/>
    <x:xf numFmtId="0" fontId="0" fillId="5" borderId="16" xfId="0" applyNumberFormat="1" applyFont="1" applyFill="1" applyBorder="1"/>
    <x:xf numFmtId="0" fontId="0" fillId="5" borderId="19" xfId="0" applyNumberFormat="1" applyFont="1" applyFill="1" applyBorder="1"/>
    <x:xf numFmtId="0" fontId="6" fillId="5" borderId="13" xfId="0" applyNumberFormat="1" applyFont="1" applyFill="1" applyBorder="1"/>
    <x:xf numFmtId="0" fontId="6" fillId="5" borderId="16" xfId="0" applyNumberFormat="1" applyFont="1" applyFill="1" applyBorder="1"/>
    <x:xf numFmtId="0" fontId="6" fillId="5" borderId="19" xfId="0" applyNumberFormat="1" applyFont="1" applyFill="1" applyBorder="1"/>
    <x:xf numFmtId="200" fontId="6" fillId="5" borderId="7" xfId="0" applyNumberFormat="1" applyFont="1" applyFill="1" applyBorder="1"/>
    <x:xf numFmtId="200" fontId="6" fillId="5" borderId="16" xfId="0" applyNumberFormat="1" applyFont="1" applyFill="1" applyBorder="1"/>
    <x:xf numFmtId="200" fontId="0" fillId="0" borderId="6" xfId="0" applyNumberFormat="1" applyFont="1" applyFill="1" applyBorder="1"/>
    <x:xf numFmtId="0" fontId="0" fillId="0" borderId="6" xfId="0" applyNumberFormat="1" applyFont="1" applyFill="1" applyBorder="1"/>
    <x:xf numFmtId="200" fontId="0" fillId="0" borderId="9" xfId="0" applyNumberFormat="1" applyFont="1" applyFill="1" applyBorder="1"/>
    <x:xf numFmtId="0" fontId="0" fillId="0" borderId="9" xfId="0" applyNumberFormat="1" applyFont="1" applyFill="1" applyBorder="1"/>
    <x:xf numFmtId="200" fontId="0" fillId="0" borderId="15" xfId="0" applyNumberFormat="1" applyFont="1" applyFill="1" applyBorder="1"/>
    <x:xf numFmtId="0" fontId="0" fillId="0" borderId="15" xfId="0" applyNumberFormat="1" applyFont="1" applyFill="1" applyBorder="1"/>
    <x:xf numFmtId="200" fontId="0" fillId="0" borderId="18" xfId="0" applyNumberFormat="1" applyFont="1" applyFill="1" applyBorder="1"/>
    <x:xf numFmtId="0" fontId="0" fillId="0" borderId="18" xfId="0" applyNumberFormat="1" applyFont="1" applyFill="1" applyBorder="1"/>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3" xfId="0" applyNumberFormat="1" applyFont="1" applyFill="1" applyBorder="1"/>
    <x:xf numFmtId="0" fontId="3" fillId="8" borderId="6" xfId="0" applyNumberFormat="1" applyFont="1" applyFill="1" applyBorder="1"/>
    <x:xf numFmtId="0" fontId="3" fillId="4" borderId="5" xfId="0" applyNumberFormat="1" applyFont="1" applyFill="1" applyBorder="1" applyAlignment="1">
      <x:alignment horizontal="center"/>
    </x:xf>
    <x:xf numFmtId="0" fontId="3" fillId="8" borderId="7" xfId="0" applyNumberFormat="1" applyFont="1" applyFill="1" applyBorder="1"/>
    <x:xf numFmtId="0" fontId="0" fillId="0" borderId="12" xfId="0" applyNumberFormat="1" applyFont="1" applyFill="1" applyBorder="1"/>
    <x:xf numFmtId="0" fontId="3" fillId="8" borderId="15" xfId="0" applyNumberFormat="1" applyFont="1" applyFill="1" applyBorder="1"/>
    <x:xf numFmtId="0" fontId="3" fillId="4" borderId="14" xfId="0" applyNumberFormat="1" applyFont="1" applyFill="1" applyBorder="1" applyAlignment="1">
      <x:alignment horizontal="center"/>
    </x:xf>
    <x:xf numFmtId="0" fontId="3" fillId="8" borderId="16" xfId="0" applyNumberFormat="1" applyFont="1" applyFill="1" applyBorder="1"/>
    <x:xf numFmtId="0" fontId="3" fillId="4" borderId="5" xfId="0" applyNumberFormat="1" applyFont="1" applyFill="1" applyBorder="1" applyAlignment="1">
      <x:alignment horizontal="center" wrapText="1"/>
    </x:xf>
    <x:xf numFmtId="0" fontId="3" fillId="4" borderId="14" xfId="0" applyNumberFormat="1" applyFont="1" applyFill="1" applyBorder="1" applyAlignment="1">
      <x:alignment horizontal="center" wrapText="1"/>
    </x:xf>
    <x:xf numFmtId="0" fontId="6" fillId="9" borderId="0" xfId="0" applyNumberFormat="1" applyFont="1" applyFill="1" applyBorder="1"/>
    <x:xf numFmtId="0" fontId="6" fillId="9" borderId="1" xfId="0" applyNumberFormat="1" applyFont="1" applyFill="1" applyBorder="1"/>
    <x:xf numFmtId="0" fontId="6" fillId="9" borderId="0" xfId="0" applyNumberFormat="1" applyFont="1" applyFill="1" applyBorder="1" applyAlignment="1">
      <x:alignment wrapText="1"/>
    </x:xf>
    <x:xf numFmtId="0" fontId="6" fillId="9" borderId="1" xfId="0" applyNumberFormat="1" applyFont="1" applyFill="1" applyBorder="1" applyAlignment="1">
      <x:alignment wrapText="1"/>
    </x:xf>
    <x:xf numFmtId="0" fontId="3" fillId="8" borderId="2" xfId="0" applyNumberFormat="1" applyFont="1" applyFill="1" applyBorder="1" applyAlignment="1">
      <x:alignment wrapText="1"/>
    </x:xf>
    <x:xf numFmtId="0" fontId="3" fillId="8" borderId="4" xfId="0" applyNumberFormat="1" applyFont="1" applyFill="1" applyBorder="1" applyAlignment="1">
      <x:alignment wrapText="1"/>
    </x:xf>
    <x:xf numFmtId="0" fontId="6" fillId="9" borderId="5" xfId="0" applyNumberFormat="1" applyFont="1" applyFill="1" applyBorder="1" applyAlignment="1">
      <x:alignment wrapText="1"/>
    </x:xf>
    <x:xf numFmtId="0" fontId="6" fillId="9" borderId="8" xfId="0" applyNumberFormat="1" applyFont="1" applyFill="1" applyBorder="1" applyAlignment="1">
      <x:alignment wrapText="1"/>
    </x:xf>
    <x:xf numFmtId="0" fontId="3" fillId="8" borderId="11" xfId="0" applyNumberFormat="1" applyFont="1" applyFill="1" applyBorder="1" applyAlignment="1">
      <x:alignment wrapText="1"/>
    </x:xf>
    <x:xf numFmtId="0" fontId="3" fillId="8" borderId="13" xfId="0" applyNumberFormat="1" applyFont="1" applyFill="1" applyBorder="1" applyAlignment="1">
      <x:alignment wrapText="1"/>
    </x:xf>
    <x:xf numFmtId="0" fontId="6" fillId="9" borderId="14" xfId="0" applyNumberFormat="1" applyFont="1" applyFill="1" applyBorder="1" applyAlignment="1">
      <x:alignment wrapText="1"/>
    </x:xf>
    <x:xf numFmtId="0" fontId="6" fillId="9" borderId="17"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3" fillId="4" borderId="0" xfId="0" applyNumberFormat="1" applyFont="1" applyFill="1" applyBorder="1" applyAlignment="1">
      <x:alignment wrapText="1"/>
    </x:xf>
    <x:xf numFmtId="0" fontId="0" fillId="6"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6"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4"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8"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13" xfId="0" applyNumberFormat="1" applyFont="1" applyFill="1" applyBorder="1" applyAlignment="1">
      <x:alignment wrapText="1"/>
    </x:xf>
    <x:xf numFmtId="0" fontId="0" fillId="6" borderId="14" xfId="0" applyNumberFormat="1" applyFont="1" applyFill="1" applyBorder="1" applyAlignment="1">
      <x:alignment wrapText="1"/>
    </x:xf>
    <x:xf numFmtId="0" fontId="0" fillId="6" borderId="17" xfId="0" applyNumberFormat="1" applyFont="1" applyFill="1" applyBorder="1" applyAlignment="1">
      <x:alignment wrapText="1"/>
    </x:xf>
    <x:xf numFmtId="0" fontId="3" fillId="8" borderId="3" xfId="0" applyNumberFormat="1" applyFont="1" applyFill="1" applyBorder="1" applyAlignment="1">
      <x:alignment wrapText="1"/>
    </x:xf>
  </x:cellXfs>
  <x:cellStyles count="1">
    <x:cellStyle name="Normal" xfId="0"/>
  </x:cellStyles>
  <x:dxfs count="12">
    <x:dxf>
      <x:font>
        <x:b/>
        <x:color rgb="166534"/>
      </x:font>
      <x:fill>
        <x:patternFill patternType="solid">
          <x:bgColor rgb="DCFCE7"/>
        </x:patternFill>
      </x:fill>
    </x:dxf>
    <x:dxf>
      <x:font>
        <x:b/>
        <x:color rgb="991B1B"/>
      </x:font>
      <x:fill>
        <x:patternFill patternType="solid">
          <x:bgColor rgb="FEE2E2"/>
        </x:patternFill>
      </x:fill>
    </x:dxf>
    <x:dxf>
      <x:font>
        <x:b/>
        <x:color rgb="166534"/>
      </x:font>
      <x:fill>
        <x:patternFill patternType="solid">
          <x:bgColor rgb="DCFCE7"/>
        </x:patternFill>
      </x:fill>
    </x:dxf>
    <x:dxf>
      <x:font>
        <x:b/>
        <x:color rgb="991B1B"/>
      </x:font>
      <x:fill>
        <x:patternFill patternType="solid">
          <x:bgColor rgb="FEE2E2"/>
        </x:patternFill>
      </x:fill>
    </x:dxf>
    <x:dxf>
      <x:font>
        <x:b/>
        <x:color rgb="166534"/>
      </x:font>
      <x:fill>
        <x:patternFill patternType="solid">
          <x:bgColor rgb="DCFCE7"/>
        </x:patternFill>
      </x:fill>
    </x:dxf>
    <x:dxf>
      <x:font>
        <x:b/>
        <x:color rgb="991B1B"/>
      </x:font>
      <x:fill>
        <x:patternFill patternType="solid">
          <x:bgColor rgb="FEE2E2"/>
        </x:patternFill>
      </x:fill>
    </x:dxf>
    <x:dxf>
      <x:font>
        <x:b/>
        <x:color rgb="166534"/>
      </x:font>
      <x:fill>
        <x:patternFill patternType="solid">
          <x:bgColor rgb="DCFCE7"/>
        </x:patternFill>
      </x:fill>
    </x:dxf>
    <x:dxf>
      <x:font>
        <x:b/>
        <x:color rgb="991B1B"/>
      </x:font>
      <x:fill>
        <x:patternFill patternType="solid">
          <x:bgColor rgb="FEE2E2"/>
        </x:patternFill>
      </x:fill>
    </x:dxf>
    <x:dxf>
      <x:font>
        <x:b/>
        <x:color rgb="166534"/>
      </x:font>
      <x:fill>
        <x:patternFill patternType="solid">
          <x:bgColor rgb="DCFCE7"/>
        </x:patternFill>
      </x:fill>
    </x:dxf>
    <x:dxf>
      <x:font>
        <x:b/>
        <x:color rgb="991B1B"/>
      </x:font>
      <x:fill>
        <x:patternFill patternType="solid">
          <x:bgColor rgb="FEE2E2"/>
        </x:patternFill>
      </x:fill>
    </x:dxf>
    <x:dxf>
      <x:font>
        <x:b/>
        <x:color rgb="166534"/>
      </x:font>
      <x:fill>
        <x:patternFill patternType="solid">
          <x:bgColor rgb="DCFCE7"/>
        </x:patternFill>
      </x:fill>
    </x:dxf>
    <x:dxf>
      <x:font>
        <x:b/>
        <x:color rgb="991B1B"/>
      </x:font>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94cfa2a52f4aed" /><Relationship Type="http://schemas.openxmlformats.org/officeDocument/2006/relationships/theme" Target="/xl/theme/theme1.xml" Id="R2e7e5e2d5eb04d1d" /><Relationship Type="http://schemas.openxmlformats.org/officeDocument/2006/relationships/sharedStrings" Target="/xl/sharedStrings.xml" Id="Rcaba227576ab4547" /><Relationship Type="http://schemas.openxmlformats.org/officeDocument/2006/relationships/worksheet" Target="/xl/worksheets/sheet1.xml" Id="R09822f01c7ea4779" /><Relationship Type="http://schemas.openxmlformats.org/officeDocument/2006/relationships/worksheet" Target="/xl/worksheets/sheet2.xml" Id="R0fd5c4dc549d4dea" /><Relationship Type="http://schemas.openxmlformats.org/officeDocument/2006/relationships/worksheet" Target="/xl/worksheets/sheet3.xml" Id="R7f31d23a54814a34" /><Relationship Type="http://schemas.openxmlformats.org/officeDocument/2006/relationships/worksheet" Target="/xl/worksheets/sheet4.xml" Id="R35ec43ec52ae4be9" /><Relationship Type="http://schemas.openxmlformats.org/officeDocument/2006/relationships/worksheet" Target="/xl/worksheets/sheet5.xml" Id="R5cfc2d28bdf349d3" /><Relationship Type="http://schemas.openxmlformats.org/officeDocument/2006/relationships/worksheet" Target="/xl/worksheets/sheet6.xml" Id="R90ce8cb1806346b8" /></Relationships>
</file>

<file path=xl/tables/table1.xml><?xml version="1.0" encoding="utf-8"?>
<x:table xmlns:x="http://schemas.openxmlformats.org/spreadsheetml/2006/main" id="1" name="ScenarioMatrix" displayName="ScenarioMatrix" ref="A2:AI929" headerRowCount="1">
  <x:tableColumns count="35">
    <x:tableColumn id="1" name="ID"/>
    <x:tableColumn id="2" name="Scenario Type"/>
    <x:tableColumn id="3" name="Training / Omega Offer"/>
    <x:tableColumn id="4" name="Omega Months"/>
    <x:tableColumn id="5" name="Queues"/>
    <x:tableColumn id="6" name="MCT Source"/>
    <x:tableColumn id="7" name="Extractor Source"/>
    <x:tableColumn id="8" name="Omega PLEX Total"/>
    <x:tableColumn id="9" name="MCT Unit PLEX"/>
    <x:tableColumn id="10" name="MCT Market Unit ISK"/>
    <x:tableColumn id="11" name="MCT PLEX Total"/>
    <x:tableColumn id="12" name="MCT Market ISK Total"/>
    <x:tableColumn id="13" name="Bundle PLEX Total"/>
    <x:tableColumn id="14" name="Training PLEX Total"/>
    <x:tableColumn id="15" name="Training Cost ISK"/>
    <x:tableColumn id="16" name="Queue-Months"/>
    <x:tableColumn id="17" name="Training SP"/>
    <x:tableColumn id="18" name="Bonus SP"/>
    <x:tableColumn id="19" name="Total SP"/>
    <x:tableColumn id="20" name="Injectors Produced"/>
    <x:tableColumn id="21" name="Full Injectors"/>
    <x:tableColumn id="22" name="Remainder SP"/>
    <x:tableColumn id="23" name="Extractor Unit PLEX"/>
    <x:tableColumn id="24" name="Extractor Unit ISK"/>
    <x:tableColumn id="25" name="Extractor Cost ISK"/>
    <x:tableColumn id="26" name="LSI Gross Revenue"/>
    <x:tableColumn id="27" name="Market Fees"/>
    <x:tableColumn id="28" name="LSI Net Revenue"/>
    <x:tableColumn id="29" name="Total Cost ISK"/>
    <x:tableColumn id="30" name="Profit ISK"/>
    <x:tableColumn id="31" name="Profit / Calendar Month ISK"/>
    <x:tableColumn id="32" name="Profit / Queue-Month ISK"/>
    <x:tableColumn id="33" name="Break-even LSI Sell Price"/>
    <x:tableColumn id="34" name="Status"/>
    <x:tableColumn id="35"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50ac75ec6004211" /></Relationships>
</file>

<file path=xl/worksheets/sheet1.xml><?xml version="1.0" encoding="utf-8"?>
<x:worksheet xmlns:x="http://schemas.openxmlformats.org/spreadsheetml/2006/main">
  <x:sheetFormatPr defaultRowHeight="15"/>
  <x:cols>
    <x:col min="1" max="1" width="42" hidden="0" customWidth="1"/>
    <x:col min="2" max="2" width="18" hidden="0" customWidth="1"/>
    <x:col min="3" max="3" width="14" hidden="0" customWidth="1"/>
    <x:col min="4" max="4" width="52" hidden="0" customWidth="1"/>
    <x:col min="5" max="5" width="18" hidden="0" customWidth="1"/>
    <x:col min="6" max="6" width="24" hidden="0" customWidth="1"/>
    <x:col min="7" max="7" width="18" hidden="0" customWidth="1"/>
    <x:col min="8" max="8" width="60" hidden="0" customWidth="1"/>
    <x:col min="9" max="9" width="52" hidden="0" customWidth="1"/>
    <x:col min="10" max="10" width="22" hidden="0" customWidth="1"/>
    <x:col min="11" max="11" width="16" hidden="0" customWidth="1"/>
    <x:col min="12" max="12" width="16" hidden="0" customWidth="1"/>
    <x:col min="13" max="13" width="16" hidden="0" customWidth="1"/>
    <x:col min="14" max="14" width="16" hidden="0" customWidth="1"/>
  </x:cols>
  <x:sheetData>
    <x:row r="1" ht="28" customHeight="1">
      <x:c r="A1" s="5" t="str">
        <x:v>EVE Online SP Farm Model — PLEX-only New Eden Store + Market ISK Calculations</x:v>
      </x:c>
    </x:row>
    <x:row r="2" ht="22" customHeight="1">
      <x:c r="A2" s="12" t="str">
        <x:v>Purpose: compare SP farm profit/loss using Omega, MCT, Skill Extractors, Large Skill Injector sales, and current market prices. Boosters are excluded by request.</x:v>
      </x:c>
    </x:row>
    <x:row r="4">
      <x:c r="A4" s="36" t="str">
        <x:v>EDIT PANEL — change yellow values here</x:v>
      </x:c>
      <x:c r="B4" s="37" t="str"/>
      <x:c r="C4" s="37" t="str"/>
      <x:c r="D4" s="38" t="str"/>
      <x:c r="F4" s="80" t="str">
        <x:v>Current Market Reference Values</x:v>
      </x:c>
      <x:c r="G4" s="81" t="str"/>
      <x:c r="H4" s="81" t="str"/>
      <x:c r="I4" s="82" t="str"/>
    </x:row>
    <x:row r="5">
      <x:c r="A5" s="39" t="str">
        <x:v>PLEX buy cost / ISK per PLEX</x:v>
      </x:c>
      <x:c r="B5" s="40" t="n">
        <x:v>4810000</x:v>
      </x:c>
      <x:c r="C5" s="41" t="str">
        <x:v>ISK/PLEX</x:v>
      </x:c>
      <x:c r="D5" s="42" t="str">
        <x:v>Default from EVEMogul current reference. Use your actual buy price if acquiring PLEX from market.</x:v>
      </x:c>
      <x:c r="F5" s="83" t="str">
        <x:v>Item</x:v>
      </x:c>
      <x:c r="G5" s="84" t="str">
        <x:v>Current ISK</x:v>
      </x:c>
      <x:c r="H5" s="84" t="str">
        <x:v>Source</x:v>
      </x:c>
      <x:c r="I5" s="85" t="str">
        <x:v>Notes</x:v>
      </x:c>
    </x:row>
    <x:row r="6">
      <x:c r="A6" s="39" t="str">
        <x:v>PLEX sell value / ISK per PLEX</x:v>
      </x:c>
      <x:c r="B6" s="40" t="n">
        <x:v>4810000</x:v>
      </x:c>
      <x:c r="C6" s="41" t="str">
        <x:v>ISK/PLEX</x:v>
      </x:c>
      <x:c r="D6" s="42" t="str">
        <x:v>Use your actual sell price if valuing PLEX you already own.</x:v>
      </x:c>
      <x:c r="F6" s="86" t="str">
        <x:v>PLEX</x:v>
      </x:c>
      <x:c r="G6" s="87" t="n">
        <x:v>4810000</x:v>
      </x:c>
      <x:c r="H6" s="88" t="str">
        <x:v>https://www.evemogul.com/items</x:v>
      </x:c>
      <x:c r="I6" s="89" t="str">
        <x:v>EVEMogul popular item reference.</x:v>
      </x:c>
    </x:row>
    <x:row r="7">
      <x:c r="A7" s="39" t="str">
        <x:v>Model PLEX cost basis used for PLEX-spend items</x:v>
      </x:c>
      <x:c r="B7" s="40" t="n">
        <x:v>4810000</x:v>
      </x:c>
      <x:c r="C7" s="41" t="str">
        <x:v>ISK/PLEX</x:v>
      </x:c>
      <x:c r="D7" s="42" t="str">
        <x:v>All NES PLEX costs are converted to ISK using this cell. Set this to 4,650,000 if you want the earlier baseline from this chat.</x:v>
      </x:c>
      <x:c r="F7" s="86" t="str">
        <x:v>Large Skill Injector</x:v>
      </x:c>
      <x:c r="G7" s="87" t="n">
        <x:v>752900000</x:v>
      </x:c>
      <x:c r="H7" s="88" t="str">
        <x:v>https://www.evemogul.com/items</x:v>
      </x:c>
      <x:c r="I7" s="89" t="str">
        <x:v>Used as default LSI sell price.</x:v>
      </x:c>
    </x:row>
    <x:row r="8">
      <x:c r="A8" s="39" t="str">
        <x:v>Large Skill Injector sell price</x:v>
      </x:c>
      <x:c r="B8" s="40" t="n">
        <x:v>752900000</x:v>
      </x:c>
      <x:c r="C8" s="41" t="str">
        <x:v>ISK each</x:v>
      </x:c>
      <x:c r="D8" s="42" t="str">
        <x:v>Default from EVEMogul current reference; update to your local market sell price.</x:v>
      </x:c>
      <x:c r="F8" s="86" t="str">
        <x:v>Skill Extractor</x:v>
      </x:c>
      <x:c r="G8" s="87" t="n">
        <x:v>463500000</x:v>
      </x:c>
      <x:c r="H8" s="88" t="str">
        <x:v>https://www.evemogul.com/items</x:v>
      </x:c>
      <x:c r="I8" s="89" t="str">
        <x:v>Used as default extractor market buy price.</x:v>
      </x:c>
    </x:row>
    <x:row r="9">
      <x:c r="A9" s="39" t="str">
        <x:v>Skill Extractor market buy price</x:v>
      </x:c>
      <x:c r="B9" s="40" t="n">
        <x:v>463500000</x:v>
      </x:c>
      <x:c r="C9" s="41" t="str">
        <x:v>ISK each</x:v>
      </x:c>
      <x:c r="D9" s="42" t="str">
        <x:v>Default from EVEMogul current reference; used when extractor source is Market ISK.</x:v>
      </x:c>
      <x:c r="F9" s="90" t="str">
        <x:v>MCT market price</x:v>
      </x:c>
      <x:c r="G9" s="91" t="str">
        <x:v>Manual / market dependent</x:v>
      </x:c>
      <x:c r="H9" s="91" t="str">
        <x:v>https://support.eveonline.com/hc/en-us/articles/203411052-Multiple-Character-Training</x:v>
      </x:c>
      <x:c r="I9" s="92" t="str">
        <x:v>MCT can be activated via PLEX/NES or certificates; market liquidity varies.</x:v>
      </x:c>
    </x:row>
    <x:row r="10">
      <x:c r="A10" s="39" t="str">
        <x:v>MCT market buy price</x:v>
      </x:c>
      <x:c r="B10" s="40" t="n">
        <x:v>2332850000</x:v>
      </x:c>
      <x:c r="C10" s="41" t="str">
        <x:v>ISK each</x:v>
      </x:c>
      <x:c r="D10" s="42" t="str">
        <x:v>Manual/default proxy: MCT base PLEX × model PLEX cost. Overwrite if buying tradable MCT certificates in market.</x:v>
      </x:c>
    </x:row>
    <x:row r="11">
      <x:c r="A11" s="39" t="str">
        <x:v>Market sale fees + taxes on Large Skill Injectors</x:v>
      </x:c>
      <x:c r="B11" s="43" t="n">
        <x:v>0.05</x:v>
      </x:c>
      <x:c r="C11" s="41" t="str">
        <x:v>% of gross</x:v>
      </x:c>
      <x:c r="D11" s="42" t="str">
        <x:v>Editable; 5% is a conservative placeholder. Your skills/structure/standing may differ.</x:v>
      </x:c>
      <x:c r="J11" s="64" t="str">
        <x:v>Reading the model</x:v>
      </x:c>
    </x:row>
    <x:row r="12">
      <x:c r="A12" s="39" t="str">
        <x:v>Optimized Omega SP/month/queue</x:v>
      </x:c>
      <x:c r="B12" s="40" t="n">
        <x:v>1944000</x:v>
      </x:c>
      <x:c r="C12" s="41" t="str">
        <x:v>SP/month</x:v>
      </x:c>
      <x:c r="D12" s="42" t="str">
        <x:v>45 SP/min × 60 × 24 × 30 = 1,944,000 SP.</x:v>
      </x:c>
      <x:c r="J12" s="126" t="str">
        <x:v>Yellow cells in the edit panel are the main assumptions.
Final profitability is calculated in ISK, not USD.
PLEX-paid items are converted to ISK using the Model PLEX cost basis cell.
Market extractor purchases use the Skill Extractor market buy price cell.
Large Skill Injector sales use the LSI sell price minus fees/taxes.
Long-run injector output uses fractional injectors; real extraction is in 500k SP chunks and remainder carries forward.
Boosters are intentionally excluded from this workbook.
Setup costs are not included: +5 implants, skillbooks, initial 5.5M SP seed, hauling/order update costs.</x:v>
      </x:c>
    </x:row>
    <x:row r="13">
      <x:c r="A13" s="39" t="str">
        <x:v>1M Omega bonus SP</x:v>
      </x:c>
      <x:c r="B13" s="40" t="n">
        <x:v>100000</x:v>
      </x:c>
      <x:c r="C13" s="41" t="str">
        <x:v>SP</x:v>
      </x:c>
      <x:c r="D13" s="42" t="str">
        <x:v>Applied once per account-period when using the 1M Omega + Bonus Items pack or Capsuleer Day 1M offer.</x:v>
      </x:c>
    </x:row>
    <x:row r="14">
      <x:c r="A14" s="39" t="str">
        <x:v>SP per Large Skill Injector / Extractor</x:v>
      </x:c>
      <x:c r="B14" s="40" t="n">
        <x:v>500000</x:v>
      </x:c>
      <x:c r="C14" s="41" t="str">
        <x:v>SP</x:v>
      </x:c>
      <x:c r="D14" s="42" t="str">
        <x:v>Each extractor consumes 500,000 SP to create one Large Skill Injector.</x:v>
      </x:c>
    </x:row>
    <x:row r="15">
      <x:c r="A15" s="39" t="str">
        <x:v>Minimum SP before extraction</x:v>
      </x:c>
      <x:c r="B15" s="40" t="n">
        <x:v>5500000</x:v>
      </x:c>
      <x:c r="C15" s="41" t="str">
        <x:v>SP</x:v>
      </x:c>
      <x:c r="D15" s="42" t="str">
        <x:v>CCP support requires at least 5.5M SP to use extractors.</x:v>
      </x:c>
    </x:row>
    <x:row r="16">
      <x:c r="A16" s="39" t="str">
        <x:v>MCT NES base PLEX per 30-day queue</x:v>
      </x:c>
      <x:c r="B16" s="40" t="n">
        <x:v>485</x:v>
      </x:c>
      <x:c r="C16" s="41" t="str">
        <x:v>PLEX</x:v>
      </x:c>
      <x:c r="D16" s="42" t="str">
        <x:v>Historical/current editable NES base used in this model; change if your store shows a different price.</x:v>
      </x:c>
    </x:row>
    <x:row r="17">
      <x:c r="A17" s="39" t="str">
        <x:v>Skill Extractor NES single price</x:v>
      </x:c>
      <x:c r="B17" s="40" t="n">
        <x:v>140</x:v>
      </x:c>
      <x:c r="C17" s="41" t="str">
        <x:v>PLEX</x:v>
      </x:c>
      <x:c r="D17" s="42" t="str">
        <x:v>Base single-extractor cost.</x:v>
      </x:c>
    </x:row>
    <x:row r="18">
      <x:c r="A18" s="39" t="str">
        <x:v>Skill Extractor NES 5-pack total</x:v>
      </x:c>
      <x:c r="B18" s="40" t="n">
        <x:v>630</x:v>
      </x:c>
      <x:c r="C18" s="41" t="str">
        <x:v>PLEX</x:v>
      </x:c>
      <x:c r="D18" s="42" t="str">
        <x:v>Base 5-pack total; averages 126 PLEX/extractor.</x:v>
      </x:c>
    </x:row>
    <x:row r="19">
      <x:c r="A19" s="39" t="str">
        <x:v>Skill Extractor NES 10-pack total</x:v>
      </x:c>
      <x:c r="B19" s="40" t="n">
        <x:v>1190</x:v>
      </x:c>
      <x:c r="C19" s="41" t="str">
        <x:v>PLEX</x:v>
      </x:c>
      <x:c r="D19" s="42" t="str">
        <x:v>Base 10-pack total; averages 119 PLEX/extractor.</x:v>
      </x:c>
    </x:row>
    <x:row r="20">
      <x:c r="A20" s="39" t="str">
        <x:v>Skill Extractor NES 50-pack total</x:v>
      </x:c>
      <x:c r="B20" s="40" t="n">
        <x:v>5600</x:v>
      </x:c>
      <x:c r="C20" s="41" t="str">
        <x:v>PLEX</x:v>
      </x:c>
      <x:c r="D20" s="42" t="str">
        <x:v>Base 50-pack total; averages 112 PLEX/extractor.</x:v>
      </x:c>
    </x:row>
    <x:row r="21">
      <x:c r="A21" s="39" t="str">
        <x:v>1M Omega NES base PLEX</x:v>
      </x:c>
      <x:c r="B21" s="40" t="n">
        <x:v>500</x:v>
      </x:c>
      <x:c r="C21" s="41" t="str">
        <x:v>PLEX</x:v>
      </x:c>
      <x:c r="D21" s="42" t="str">
        <x:v>From user screenshot; includes 100,000 SP bonus.</x:v>
      </x:c>
    </x:row>
    <x:row r="22">
      <x:c r="A22" s="39" t="str">
        <x:v>3M Omega NES base PLEX</x:v>
      </x:c>
      <x:c r="B22" s="40" t="n">
        <x:v>1200</x:v>
      </x:c>
      <x:c r="C22" s="41" t="str">
        <x:v>PLEX</x:v>
      </x:c>
      <x:c r="D22" s="42" t="str">
        <x:v>From user screenshot.</x:v>
      </x:c>
    </x:row>
    <x:row r="23">
      <x:c r="A23" s="39" t="str">
        <x:v>6M Omega NES base PLEX</x:v>
      </x:c>
      <x:c r="B23" s="40" t="n">
        <x:v>2100</x:v>
      </x:c>
      <x:c r="C23" s="41" t="str">
        <x:v>PLEX</x:v>
      </x:c>
      <x:c r="D23" s="42" t="str">
        <x:v>From user screenshot.</x:v>
      </x:c>
    </x:row>
    <x:row r="24">
      <x:c r="A24" s="39" t="str">
        <x:v>12M Omega NES base PLEX</x:v>
      </x:c>
      <x:c r="B24" s="40" t="n">
        <x:v>3600</x:v>
      </x:c>
      <x:c r="C24" s="41" t="str">
        <x:v>PLEX</x:v>
      </x:c>
      <x:c r="D24" s="42" t="str">
        <x:v>From user screenshot.</x:v>
      </x:c>
    </x:row>
    <x:row r="25">
      <x:c r="A25" s="39" t="str">
        <x:v>24M Omega NES base PLEX</x:v>
      </x:c>
      <x:c r="B25" s="40" t="n">
        <x:v>6600</x:v>
      </x:c>
      <x:c r="C25" s="41" t="str">
        <x:v>PLEX</x:v>
      </x:c>
      <x:c r="D25" s="42" t="str">
        <x:v>From published NES pricing references; edit if not using 24M.</x:v>
      </x:c>
    </x:row>
    <x:row r="26">
      <x:c r="A26" s="39" t="str">
        <x:v>Capsuleer Day 1M Omega offer</x:v>
      </x:c>
      <x:c r="B26" s="40" t="n">
        <x:v>400</x:v>
      </x:c>
      <x:c r="C26" s="41" t="str">
        <x:v>PLEX</x:v>
      </x:c>
      <x:c r="D26" s="42" t="str">
        <x:v>From user screenshot: 1M Omega + 100k SP + 1 skin.</x:v>
      </x:c>
    </x:row>
    <x:row r="27">
      <x:c r="A27" s="39" t="str">
        <x:v>Capsuleer Day 3M Omega offer</x:v>
      </x:c>
      <x:c r="B27" s="40" t="n">
        <x:v>960</x:v>
      </x:c>
      <x:c r="C27" s="41" t="str">
        <x:v>PLEX</x:v>
      </x:c>
      <x:c r="D27" s="42" t="str">
        <x:v>From user screenshot: 3M Omega + 2 skins.</x:v>
      </x:c>
    </x:row>
    <x:row r="28">
      <x:c r="A28" s="39" t="str">
        <x:v>Winter 12M Omega sale</x:v>
      </x:c>
      <x:c r="B28" s="40" t="n">
        <x:v>2700</x:v>
      </x:c>
      <x:c r="C28" s="41" t="str">
        <x:v>PLEX</x:v>
      </x:c>
      <x:c r="D28" s="42" t="str">
        <x:v>Official sale example: 12M 3600 → 2700 PLEX.</x:v>
      </x:c>
    </x:row>
    <x:row r="29">
      <x:c r="A29" s="39" t="str">
        <x:v>Winter 24M Omega sale</x:v>
      </x:c>
      <x:c r="B29" s="40" t="n">
        <x:v>5280</x:v>
      </x:c>
      <x:c r="C29" s="41" t="str">
        <x:v>PLEX</x:v>
      </x:c>
      <x:c r="D29" s="42" t="str">
        <x:v>Official sale example: 24M 6600 → 5280 PLEX.</x:v>
      </x:c>
    </x:row>
    <x:row r="30">
      <x:c r="A30" s="39" t="str">
        <x:v>MCT 20% sale unit PLEX</x:v>
      </x:c>
      <x:c r="B30" s="44" t="n">
        <x:f>B16*0.8</x:f>
        <x:v>388</x:v>
      </x:c>
      <x:c r="C30" s="41" t="str">
        <x:v>PLEX</x:v>
      </x:c>
      <x:c r="D30" s="42" t="str">
        <x:v>Formula from base MCT cost × 80%.</x:v>
      </x:c>
    </x:row>
    <x:row r="31">
      <x:c r="A31" s="39" t="str">
        <x:v>MCT 30% sale unit PLEX</x:v>
      </x:c>
      <x:c r="B31" s="44" t="n">
        <x:f>B16*0.7</x:f>
        <x:v>339.5</x:v>
      </x:c>
      <x:c r="C31" s="41" t="str">
        <x:v>PLEX</x:v>
      </x:c>
      <x:c r="D31" s="42" t="str">
        <x:v>Formula from base MCT cost × 70%.</x:v>
      </x:c>
    </x:row>
    <x:row r="32">
      <x:c r="A32" s="39" t="str">
        <x:v>MCT 40% sale unit PLEX</x:v>
      </x:c>
      <x:c r="B32" s="44" t="n">
        <x:f>B16*0.6</x:f>
        <x:v>291</x:v>
      </x:c>
      <x:c r="C32" s="41" t="str">
        <x:v>PLEX</x:v>
      </x:c>
      <x:c r="D32" s="42" t="str">
        <x:v>Formula from base MCT cost × 60%.</x:v>
      </x:c>
    </x:row>
    <x:row r="33">
      <x:c r="A33" s="39" t="str">
        <x:v>Extractor 3-for-2 unit PLEX</x:v>
      </x:c>
      <x:c r="B33" s="44" t="n">
        <x:f>B17*2/3</x:f>
        <x:v>93.33333333333333</x:v>
      </x:c>
      <x:c r="C33" s="41" t="str">
        <x:v>PLEX</x:v>
      </x:c>
      <x:c r="D33" s="42" t="str">
        <x:v>Formula: pay for 2, receive 3.</x:v>
      </x:c>
    </x:row>
    <x:row r="34">
      <x:c r="A34" s="45" t="str">
        <x:v>Extractor 2-for-1 unit PLEX</x:v>
      </x:c>
      <x:c r="B34" s="46" t="n">
        <x:f>B17/2</x:f>
        <x:v>70</x:v>
      </x:c>
      <x:c r="C34" s="47" t="str">
        <x:v>PLEX</x:v>
      </x:c>
      <x:c r="D34" s="48" t="str">
        <x:v>Formula: pay for 1, receive 2.</x:v>
      </x:c>
    </x:row>
    <x:row r="36">
      <x:c r="A36" s="108" t="str">
        <x:v>NES Base Costs — PLEX and ISK using edit panel</x:v>
      </x:c>
      <x:c r="B36" s="109" t="str"/>
      <x:c r="C36" s="109" t="str"/>
      <x:c r="D36" s="109" t="str"/>
      <x:c r="E36" s="109" t="str"/>
      <x:c r="F36" s="109" t="str"/>
      <x:c r="G36" s="109" t="str"/>
      <x:c r="H36" s="110" t="str"/>
    </x:row>
    <x:row r="37">
      <x:c r="A37" s="83" t="str">
        <x:v>Category</x:v>
      </x:c>
      <x:c r="B37" s="84" t="str">
        <x:v>Item</x:v>
      </x:c>
      <x:c r="C37" s="84" t="str">
        <x:v>Months / Units</x:v>
      </x:c>
      <x:c r="D37" s="84" t="str">
        <x:v>PLEX Cost</x:v>
      </x:c>
      <x:c r="E37" s="84" t="str">
        <x:v>PLEX per month/unit</x:v>
      </x:c>
      <x:c r="F37" s="84" t="str">
        <x:v>ISK Cost @ Model PLEX</x:v>
      </x:c>
      <x:c r="G37" s="84" t="str">
        <x:v>Bonus SP</x:v>
      </x:c>
      <x:c r="H37" s="85" t="str">
        <x:v>Source / Notes</x:v>
      </x:c>
    </x:row>
    <x:row r="38">
      <x:c r="A38" s="86" t="str">
        <x:v>Omega</x:v>
      </x:c>
      <x:c r="B38" s="88" t="str">
        <x:v>1M Omega + Bonus Items</x:v>
      </x:c>
      <x:c r="C38" s="88" t="n">
        <x:v>1</x:v>
      </x:c>
      <x:c r="D38" s="87" t="n">
        <x:f>$B$21</x:f>
        <x:v>500</x:v>
      </x:c>
      <x:c r="E38" s="87" t="n">
        <x:f>D38/C38</x:f>
        <x:v>500</x:v>
      </x:c>
      <x:c r="F38" s="87" t="n">
        <x:f>D38*$B$7</x:f>
        <x:v>2405000000</x:v>
      </x:c>
      <x:c r="G38" s="87" t="n">
        <x:f>$B$13</x:f>
        <x:v>100000</x:v>
      </x:c>
      <x:c r="H38" s="89" t="str">
        <x:v>User screenshot; 100k SP bonus.</x:v>
      </x:c>
    </x:row>
    <x:row r="39">
      <x:c r="A39" s="86" t="str">
        <x:v>Omega</x:v>
      </x:c>
      <x:c r="B39" s="88" t="str">
        <x:v>3M Omega</x:v>
      </x:c>
      <x:c r="C39" s="88" t="n">
        <x:v>3</x:v>
      </x:c>
      <x:c r="D39" s="87" t="n">
        <x:f>$B$22</x:f>
        <x:v>1200</x:v>
      </x:c>
      <x:c r="E39" s="87" t="n">
        <x:f>D39/C39</x:f>
        <x:v>400</x:v>
      </x:c>
      <x:c r="F39" s="87" t="n">
        <x:f>D39*$B$7</x:f>
        <x:v>5772000000</x:v>
      </x:c>
      <x:c r="G39" s="87" t="n">
        <x:v>0</x:v>
      </x:c>
      <x:c r="H39" s="89" t="str">
        <x:v>User screenshot.</x:v>
      </x:c>
    </x:row>
    <x:row r="40">
      <x:c r="A40" s="86" t="str">
        <x:v>Omega</x:v>
      </x:c>
      <x:c r="B40" s="88" t="str">
        <x:v>6M Omega</x:v>
      </x:c>
      <x:c r="C40" s="88" t="n">
        <x:v>6</x:v>
      </x:c>
      <x:c r="D40" s="87" t="n">
        <x:f>$B$23</x:f>
        <x:v>2100</x:v>
      </x:c>
      <x:c r="E40" s="87" t="n">
        <x:f>D40/C40</x:f>
        <x:v>350</x:v>
      </x:c>
      <x:c r="F40" s="87" t="n">
        <x:f>D40*$B$7</x:f>
        <x:v>10101000000</x:v>
      </x:c>
      <x:c r="G40" s="87" t="n">
        <x:v>0</x:v>
      </x:c>
      <x:c r="H40" s="89" t="str">
        <x:v>User screenshot.</x:v>
      </x:c>
    </x:row>
    <x:row r="41">
      <x:c r="A41" s="86" t="str">
        <x:v>Omega</x:v>
      </x:c>
      <x:c r="B41" s="88" t="str">
        <x:v>12M Omega</x:v>
      </x:c>
      <x:c r="C41" s="88" t="n">
        <x:v>12</x:v>
      </x:c>
      <x:c r="D41" s="87" t="n">
        <x:f>$B$24</x:f>
        <x:v>3600</x:v>
      </x:c>
      <x:c r="E41" s="87" t="n">
        <x:f>D41/C41</x:f>
        <x:v>300</x:v>
      </x:c>
      <x:c r="F41" s="87" t="n">
        <x:f>D41*$B$7</x:f>
        <x:v>17316000000</x:v>
      </x:c>
      <x:c r="G41" s="87" t="n">
        <x:v>0</x:v>
      </x:c>
      <x:c r="H41" s="89" t="str">
        <x:v>User screenshot.</x:v>
      </x:c>
    </x:row>
    <x:row r="42">
      <x:c r="A42" s="86" t="str">
        <x:v>Omega</x:v>
      </x:c>
      <x:c r="B42" s="88" t="str">
        <x:v>24M Omega</x:v>
      </x:c>
      <x:c r="C42" s="88" t="n">
        <x:v>24</x:v>
      </x:c>
      <x:c r="D42" s="87" t="n">
        <x:f>$B$25</x:f>
        <x:v>6600</x:v>
      </x:c>
      <x:c r="E42" s="87" t="n">
        <x:f>D42/C42</x:f>
        <x:v>275</x:v>
      </x:c>
      <x:c r="F42" s="87" t="n">
        <x:f>D42*$B$7</x:f>
        <x:v>31746000000</x:v>
      </x:c>
      <x:c r="G42" s="87" t="n">
        <x:v>0</x:v>
      </x:c>
      <x:c r="H42" s="89" t="str">
        <x:v>Published NES pricing reference; edit if not using 24M.</x:v>
      </x:c>
    </x:row>
    <x:row r="43">
      <x:c r="A43" s="86" t="str">
        <x:v>MCT</x:v>
      </x:c>
      <x:c r="B43" s="88" t="str">
        <x:v>1x 30-day MCT queue</x:v>
      </x:c>
      <x:c r="C43" s="88" t="n">
        <x:v>1</x:v>
      </x:c>
      <x:c r="D43" s="87" t="n">
        <x:f>$B$16</x:f>
        <x:v>485</x:v>
      </x:c>
      <x:c r="E43" s="87" t="n">
        <x:f>D43/C43</x:f>
        <x:v>485</x:v>
      </x:c>
      <x:c r="F43" s="87" t="n">
        <x:f>D43*$B$7</x:f>
        <x:v>2332850000</x:v>
      </x:c>
      <x:c r="G43" s="87" t="n">
        <x:v>0</x:v>
      </x:c>
      <x:c r="H43" s="89" t="str">
        <x:v>MCT certificate / extra queue.</x:v>
      </x:c>
    </x:row>
    <x:row r="44">
      <x:c r="A44" s="86" t="str">
        <x:v>Skill Extractor</x:v>
      </x:c>
      <x:c r="B44" s="88" t="str">
        <x:v>1x Skill Extractor</x:v>
      </x:c>
      <x:c r="C44" s="88" t="n">
        <x:v>1</x:v>
      </x:c>
      <x:c r="D44" s="87" t="n">
        <x:f>$B$17</x:f>
        <x:v>140</x:v>
      </x:c>
      <x:c r="E44" s="87" t="n">
        <x:f>D44/C44</x:f>
        <x:v>140</x:v>
      </x:c>
      <x:c r="F44" s="87" t="n">
        <x:f>D44*$B$7</x:f>
        <x:v>673400000</x:v>
      </x:c>
      <x:c r="G44" s="87" t="n">
        <x:v>0</x:v>
      </x:c>
      <x:c r="H44" s="89" t="str">
        <x:v>Base single-extractor.</x:v>
      </x:c>
    </x:row>
    <x:row r="45">
      <x:c r="A45" s="86" t="str">
        <x:v>Skill Extractor</x:v>
      </x:c>
      <x:c r="B45" s="88" t="str">
        <x:v>5x Skill Extractors</x:v>
      </x:c>
      <x:c r="C45" s="88" t="n">
        <x:v>5</x:v>
      </x:c>
      <x:c r="D45" s="87" t="n">
        <x:f>$B$18</x:f>
        <x:v>630</x:v>
      </x:c>
      <x:c r="E45" s="87" t="n">
        <x:f>D45/C45</x:f>
        <x:v>126</x:v>
      </x:c>
      <x:c r="F45" s="87" t="n">
        <x:f>D45*$B$7</x:f>
        <x:v>3030300000</x:v>
      </x:c>
      <x:c r="G45" s="87" t="n">
        <x:v>0</x:v>
      </x:c>
      <x:c r="H45" s="89" t="str">
        <x:v>Base 5-pack.</x:v>
      </x:c>
    </x:row>
    <x:row r="46">
      <x:c r="A46" s="86" t="str">
        <x:v>Skill Extractor</x:v>
      </x:c>
      <x:c r="B46" s="88" t="str">
        <x:v>10x Skill Extractors</x:v>
      </x:c>
      <x:c r="C46" s="88" t="n">
        <x:v>10</x:v>
      </x:c>
      <x:c r="D46" s="87" t="n">
        <x:f>$B$19</x:f>
        <x:v>1190</x:v>
      </x:c>
      <x:c r="E46" s="87" t="n">
        <x:f>D46/C46</x:f>
        <x:v>119</x:v>
      </x:c>
      <x:c r="F46" s="87" t="n">
        <x:f>D46*$B$7</x:f>
        <x:v>5723900000</x:v>
      </x:c>
      <x:c r="G46" s="87" t="n">
        <x:v>0</x:v>
      </x:c>
      <x:c r="H46" s="89" t="str">
        <x:v>Base 10-pack.</x:v>
      </x:c>
    </x:row>
    <x:row r="47">
      <x:c r="A47" s="90" t="str">
        <x:v>Skill Extractor</x:v>
      </x:c>
      <x:c r="B47" s="91" t="str">
        <x:v>50x Skill Extractors</x:v>
      </x:c>
      <x:c r="C47" s="91" t="n">
        <x:v>50</x:v>
      </x:c>
      <x:c r="D47" s="111" t="n">
        <x:f>$B$20</x:f>
        <x:v>5600</x:v>
      </x:c>
      <x:c r="E47" s="111" t="n">
        <x:f>D47/C47</x:f>
        <x:v>112</x:v>
      </x:c>
      <x:c r="F47" s="111" t="n">
        <x:f>D47*$B$7</x:f>
        <x:v>26936000000</x:v>
      </x:c>
      <x:c r="G47" s="111" t="n">
        <x:v>0</x:v>
      </x:c>
      <x:c r="H47" s="92" t="str">
        <x:v>Base 50-pack.</x:v>
      </x:c>
    </x:row>
    <x:row r="49">
      <x:c r="A49" s="108" t="str">
        <x:v>Recurrent / Historical NES Sales — PLEX costs and descriptions</x:v>
      </x:c>
      <x:c r="B49" s="109" t="str"/>
      <x:c r="C49" s="109" t="str"/>
      <x:c r="D49" s="109" t="str"/>
      <x:c r="E49" s="109" t="str"/>
      <x:c r="F49" s="109" t="str"/>
      <x:c r="G49" s="109" t="str"/>
      <x:c r="H49" s="110" t="str"/>
    </x:row>
    <x:row r="50">
      <x:c r="A50" s="83" t="str">
        <x:v>Component</x:v>
      </x:c>
      <x:c r="B50" s="84" t="str">
        <x:v>Offer / Sale</x:v>
      </x:c>
      <x:c r="C50" s="84" t="str">
        <x:v>Discount</x:v>
      </x:c>
      <x:c r="D50" s="84" t="str">
        <x:v>PLEX Cost</x:v>
      </x:c>
      <x:c r="E50" s="84" t="str">
        <x:v>Unit PLEX</x:v>
      </x:c>
      <x:c r="F50" s="84" t="str">
        <x:v>Applies To</x:v>
      </x:c>
      <x:c r="G50" s="84" t="str">
        <x:v>Source URL / Evidence</x:v>
      </x:c>
      <x:c r="H50" s="85" t="str">
        <x:v>Description</x:v>
      </x:c>
    </x:row>
    <x:row r="51">
      <x:c r="A51" s="86" t="str">
        <x:v>Omega</x:v>
      </x:c>
      <x:c r="B51" s="88" t="str">
        <x:v>Capsuleer Day XXIIII 1M Omega + 100k SP + skin</x:v>
      </x:c>
      <x:c r="C51" s="88" t="str">
        <x:v>20% vs 500</x:v>
      </x:c>
      <x:c r="D51" s="120" t="n">
        <x:f>$B$26</x:f>
        <x:v>400</x:v>
      </x:c>
      <x:c r="E51" s="120" t="n">
        <x:f>D51/1</x:f>
        <x:v>400</x:v>
      </x:c>
      <x:c r="F51" s="88" t="str">
        <x:v>1 month Omega</x:v>
      </x:c>
      <x:c r="G51" s="88" t="str">
        <x:v>User screenshot</x:v>
      </x:c>
      <x:c r="H51" s="89" t="str">
        <x:v>Event offer from images supplied in chat.</x:v>
      </x:c>
    </x:row>
    <x:row r="52">
      <x:c r="A52" s="86" t="str">
        <x:v>Omega</x:v>
      </x:c>
      <x:c r="B52" s="88" t="str">
        <x:v>Capsuleer Day XXIIII 3M Omega + 2 skins</x:v>
      </x:c>
      <x:c r="C52" s="88" t="str">
        <x:v>20% vs 1200</x:v>
      </x:c>
      <x:c r="D52" s="120" t="n">
        <x:f>$B$27</x:f>
        <x:v>960</x:v>
      </x:c>
      <x:c r="E52" s="120" t="n">
        <x:f>D52/3</x:f>
        <x:v>320</x:v>
      </x:c>
      <x:c r="F52" s="88" t="str">
        <x:v>3 months Omega</x:v>
      </x:c>
      <x:c r="G52" s="88" t="str">
        <x:v>User screenshot</x:v>
      </x:c>
      <x:c r="H52" s="89" t="str">
        <x:v>Event offer from images supplied in chat.</x:v>
      </x:c>
    </x:row>
    <x:row r="53">
      <x:c r="A53" s="86" t="str">
        <x:v>Omega</x:v>
      </x:c>
      <x:c r="B53" s="88" t="str">
        <x:v>Winter 12M Omega sale</x:v>
      </x:c>
      <x:c r="C53" s="88" t="str">
        <x:v>25% off 12M</x:v>
      </x:c>
      <x:c r="D53" s="120" t="n">
        <x:f>$B$28</x:f>
        <x:v>2700</x:v>
      </x:c>
      <x:c r="E53" s="120" t="n">
        <x:f>D53/12</x:f>
        <x:v>225</x:v>
      </x:c>
      <x:c r="F53" s="88" t="str">
        <x:v>12 months Omega</x:v>
      </x:c>
      <x:c r="G53" s="88" t="str">
        <x:v>https://www.eveonline.com/news/view/get-in-the-holiday-spirit-with-omega</x:v>
      </x:c>
      <x:c r="H53" s="89" t="str">
        <x:v>Official example: 3600 → 2700 PLEX.</x:v>
      </x:c>
    </x:row>
    <x:row r="54">
      <x:c r="A54" s="86" t="str">
        <x:v>Omega</x:v>
      </x:c>
      <x:c r="B54" s="88" t="str">
        <x:v>Winter 24M Omega sale</x:v>
      </x:c>
      <x:c r="C54" s="88" t="str">
        <x:v>20% off 24M</x:v>
      </x:c>
      <x:c r="D54" s="120" t="n">
        <x:f>$B$29</x:f>
        <x:v>5280</x:v>
      </x:c>
      <x:c r="E54" s="120" t="n">
        <x:f>D54/24</x:f>
        <x:v>220</x:v>
      </x:c>
      <x:c r="F54" s="88" t="str">
        <x:v>24 months Omega</x:v>
      </x:c>
      <x:c r="G54" s="88" t="str">
        <x:v>https://www.eveonline.com/news/view/get-in-the-holiday-spirit-with-omega</x:v>
      </x:c>
      <x:c r="H54" s="89" t="str">
        <x:v>Official example: 6600 → 5280 PLEX.</x:v>
      </x:c>
    </x:row>
    <x:row r="55">
      <x:c r="A55" s="86" t="str">
        <x:v>MCT</x:v>
      </x:c>
      <x:c r="B55" s="88" t="str">
        <x:v>MCT 20% off</x:v>
      </x:c>
      <x:c r="C55" s="88" t="str">
        <x:v>20% off</x:v>
      </x:c>
      <x:c r="D55" s="120" t="n">
        <x:f>$B$30</x:f>
        <x:v>388</x:v>
      </x:c>
      <x:c r="E55" s="120" t="n">
        <x:f>D55</x:f>
        <x:v>388</x:v>
      </x:c>
      <x:c r="F55" s="88" t="str">
        <x:v>1x 30-day queue</x:v>
      </x:c>
      <x:c r="G55" s="88" t="str">
        <x:v>https://www.eveonline.com/news/view/20-off-multiple-character-training-24-hours-remaining</x:v>
      </x:c>
      <x:c r="H55" s="89" t="str">
        <x:v>Official example: 485 → 388 PLEX.</x:v>
      </x:c>
    </x:row>
    <x:row r="56">
      <x:c r="A56" s="86" t="str">
        <x:v>MCT</x:v>
      </x:c>
      <x:c r="B56" s="88" t="str">
        <x:v>MCT 30% off</x:v>
      </x:c>
      <x:c r="C56" s="88" t="str">
        <x:v>30% off</x:v>
      </x:c>
      <x:c r="D56" s="120" t="n">
        <x:f>$B$31</x:f>
        <x:v>339.5</x:v>
      </x:c>
      <x:c r="E56" s="120" t="n">
        <x:f>D56</x:f>
        <x:v>339.5</x:v>
      </x:c>
      <x:c r="F56" s="88" t="str">
        <x:v>1x 30-day queue</x:v>
      </x:c>
      <x:c r="G56" s="88" t="str">
        <x:v>https://www.eveonline.com/news/view/20-off-plex</x:v>
      </x:c>
      <x:c r="H56" s="89" t="str">
        <x:v>Official 2024 NES sale mentioned 30% off MCT.</x:v>
      </x:c>
    </x:row>
    <x:row r="57">
      <x:c r="A57" s="86" t="str">
        <x:v>MCT</x:v>
      </x:c>
      <x:c r="B57" s="88" t="str">
        <x:v>MCT 40% off</x:v>
      </x:c>
      <x:c r="C57" s="88" t="str">
        <x:v>40% off</x:v>
      </x:c>
      <x:c r="D57" s="120" t="n">
        <x:f>$B$32</x:f>
        <x:v>291</x:v>
      </x:c>
      <x:c r="E57" s="120" t="n">
        <x:f>D57</x:f>
        <x:v>291</x:v>
      </x:c>
      <x:c r="F57" s="88" t="str">
        <x:v>1x 30-day queue</x:v>
      </x:c>
      <x:c r="G57" s="88" t="str">
        <x:v>https://www.eveonline.com/news/view/save-40-on-mct-in-the-nes</x:v>
      </x:c>
      <x:c r="H57" s="89" t="str">
        <x:v>Official 2024 NES sale mentioned 40% off MCT.</x:v>
      </x:c>
    </x:row>
    <x:row r="58">
      <x:c r="A58" s="86" t="str">
        <x:v>Omega + MCT</x:v>
      </x:c>
      <x:c r="B58" s="88" t="str">
        <x:v>1M Omega + 2M MCT 50% sale bundle</x:v>
      </x:c>
      <x:c r="C58" s="88" t="str">
        <x:v>50% off bundle</x:v>
      </x:c>
      <x:c r="D58" s="120" t="n">
        <x:f>($B$21+2*$B$16)*0.5</x:f>
        <x:v>735</x:v>
      </x:c>
      <x:c r="E58" s="120" t="n">
        <x:f>D58/3</x:f>
        <x:v>245</x:v>
      </x:c>
      <x:c r="F58" s="88" t="str">
        <x:v>1 month / 3 queues</x:v>
      </x:c>
      <x:c r="G58" s="88" t="str">
        <x:v>https://www.eveonline.com/news/view/24-save-50-on-omega-mct-in-september</x:v>
      </x:c>
      <x:c r="H58" s="89" t="str">
        <x:v>Regular Omega + MCT bundle sale format.</x:v>
      </x:c>
    </x:row>
    <x:row r="59">
      <x:c r="A59" s="86" t="str">
        <x:v>Omega + MCT</x:v>
      </x:c>
      <x:c r="B59" s="88" t="str">
        <x:v>3M Omega + 6M MCT 50% sale bundle</x:v>
      </x:c>
      <x:c r="C59" s="88" t="str">
        <x:v>50% off bundle</x:v>
      </x:c>
      <x:c r="D59" s="120" t="n">
        <x:f>($B$22+6*$B$16)*0.5</x:f>
        <x:v>2055</x:v>
      </x:c>
      <x:c r="E59" s="120" t="n">
        <x:f>D59/9</x:f>
        <x:v>228.33333333333334</x:v>
      </x:c>
      <x:c r="F59" s="88" t="str">
        <x:v>3 months / 3 queues</x:v>
      </x:c>
      <x:c r="G59" s="88" t="str">
        <x:v>https://www.eveonline.com/news/view/24-save-50-on-omega-mct-in-september</x:v>
      </x:c>
      <x:c r="H59" s="89" t="str">
        <x:v>Regular Omega + MCT bundle sale format.</x:v>
      </x:c>
    </x:row>
    <x:row r="60">
      <x:c r="A60" s="86" t="str">
        <x:v>Omega + MCT</x:v>
      </x:c>
      <x:c r="B60" s="88" t="str">
        <x:v>6M Omega + 12M MCT 50% sale bundle</x:v>
      </x:c>
      <x:c r="C60" s="88" t="str">
        <x:v>50% off bundle</x:v>
      </x:c>
      <x:c r="D60" s="120" t="n">
        <x:f>($B$23+12*$B$16)*0.5</x:f>
        <x:v>3960</x:v>
      </x:c>
      <x:c r="E60" s="120" t="n">
        <x:f>D60/18</x:f>
        <x:v>220</x:v>
      </x:c>
      <x:c r="F60" s="88" t="str">
        <x:v>6 months / 3 queues</x:v>
      </x:c>
      <x:c r="G60" s="88" t="str">
        <x:v>https://www.eveonline.com/news/view/24-save-50-on-omega-mct-in-september</x:v>
      </x:c>
      <x:c r="H60" s="89" t="str">
        <x:v>Regular Omega + MCT bundle sale format.</x:v>
      </x:c>
    </x:row>
    <x:row r="61">
      <x:c r="A61" s="86" t="str">
        <x:v>Omega + MCT</x:v>
      </x:c>
      <x:c r="B61" s="88" t="str">
        <x:v>12M Omega + 24M MCT 50% sale bundle</x:v>
      </x:c>
      <x:c r="C61" s="88" t="str">
        <x:v>50% off bundle</x:v>
      </x:c>
      <x:c r="D61" s="120" t="n">
        <x:f>($B$24+24*$B$16)*0.5</x:f>
        <x:v>7620</x:v>
      </x:c>
      <x:c r="E61" s="120" t="n">
        <x:f>D61/36</x:f>
        <x:v>211.66666666666666</x:v>
      </x:c>
      <x:c r="F61" s="88" t="str">
        <x:v>12 months / 3 queues</x:v>
      </x:c>
      <x:c r="G61" s="88" t="str">
        <x:v>https://www.eveonline.com/news/view/24-save-50-on-omega-mct-in-september</x:v>
      </x:c>
      <x:c r="H61" s="89" t="str">
        <x:v>Regular Omega + MCT bundle sale format.</x:v>
      </x:c>
    </x:row>
    <x:row r="62">
      <x:c r="A62" s="86" t="str">
        <x:v>Skill Extractor</x:v>
      </x:c>
      <x:c r="B62" s="88" t="str">
        <x:v>3-for-2 extractor sale</x:v>
      </x:c>
      <x:c r="C62" s="88" t="str">
        <x:v>33.3% off</x:v>
      </x:c>
      <x:c r="D62" s="120" t="n">
        <x:f>$B$33</x:f>
        <x:v>93.33333333333333</x:v>
      </x:c>
      <x:c r="E62" s="120" t="n">
        <x:f>D62</x:f>
        <x:v>93.33333333333333</x:v>
      </x:c>
      <x:c r="F62" s="88" t="str">
        <x:v>1 extractor equivalent</x:v>
      </x:c>
      <x:c r="G62" s="88" t="str">
        <x:v>https://www.eveonline.com/news/view/nes-sale-save-up-to-70</x:v>
      </x:c>
      <x:c r="H62" s="89" t="str">
        <x:v>Official 2026 NES sale: Skill Extractors 3 for 2.</x:v>
      </x:c>
    </x:row>
    <x:row r="63">
      <x:c r="A63" s="86" t="str">
        <x:v>Skill Extractor</x:v>
      </x:c>
      <x:c r="B63" s="88" t="str">
        <x:v>2-for-1 extractor sale</x:v>
      </x:c>
      <x:c r="C63" s="88" t="str">
        <x:v>50% off</x:v>
      </x:c>
      <x:c r="D63" s="120" t="n">
        <x:f>$B$34</x:f>
        <x:v>70</x:v>
      </x:c>
      <x:c r="E63" s="120" t="n">
        <x:f>D63</x:f>
        <x:v>70</x:v>
      </x:c>
      <x:c r="F63" s="88" t="str">
        <x:v>1 extractor equivalent</x:v>
      </x:c>
      <x:c r="G63" s="88" t="str">
        <x:v>https://www.eveonline.com/news/view/plex-for-less-june</x:v>
      </x:c>
      <x:c r="H63" s="89" t="str">
        <x:v>Official 2023 NES sale: 2-for-1 Skill Extractors.</x:v>
      </x:c>
    </x:row>
    <x:row r="64">
      <x:c r="A64" s="86" t="str">
        <x:v>Skill Extractor</x:v>
      </x:c>
      <x:c r="B64" s="88" t="str">
        <x:v>10-pack extractor sale 20% off</x:v>
      </x:c>
      <x:c r="C64" s="88" t="str">
        <x:v>20% off 10-pack</x:v>
      </x:c>
      <x:c r="D64" s="120" t="n">
        <x:f>$B$19*0.8</x:f>
        <x:v>952</x:v>
      </x:c>
      <x:c r="E64" s="120" t="n">
        <x:f>D64/10</x:f>
        <x:v>95.2</x:v>
      </x:c>
      <x:c r="F64" s="88" t="str">
        <x:v>10-pack</x:v>
      </x:c>
      <x:c r="G64" s="88" t="str">
        <x:v>https://www.eveonline.com/news/view/save-big-on-skill-point-bundles</x:v>
      </x:c>
      <x:c r="H64" s="89" t="str">
        <x:v>Official 2024 sale: 10 extractors 1190 → 952 PLEX.</x:v>
      </x:c>
    </x:row>
    <x:row r="65">
      <x:c r="A65" s="90" t="str">
        <x:v>Skill Extractor</x:v>
      </x:c>
      <x:c r="B65" s="91" t="str">
        <x:v>50-pack extractor sale 20% off</x:v>
      </x:c>
      <x:c r="C65" s="91" t="str">
        <x:v>20% off 50-pack</x:v>
      </x:c>
      <x:c r="D65" s="121" t="n">
        <x:f>$B$20*0.8</x:f>
        <x:v>4480</x:v>
      </x:c>
      <x:c r="E65" s="121" t="n">
        <x:f>D65/50</x:f>
        <x:v>89.6</x:v>
      </x:c>
      <x:c r="F65" s="91" t="str">
        <x:v>50-pack</x:v>
      </x:c>
      <x:c r="G65" s="91" t="str">
        <x:v>https://www.eveonline.com/news/view/save-big-on-skill-point-bundles</x:v>
      </x:c>
      <x:c r="H65" s="92" t="str">
        <x:v>Official 2024 sale: 50 extractors 5600 → 4480 PLEX.</x:v>
      </x:c>
    </x:row>
  </x:sheetData>
  <x:mergeCells>
    <x:mergeCell ref="A1:N1"/>
    <x:mergeCell ref="A2:N2"/>
    <x:mergeCell ref="J11:N11"/>
    <x:mergeCell ref="J12:N20"/>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34" hidden="0" customWidth="1"/>
    <x:col min="4" max="4" width="12" hidden="0" customWidth="1"/>
    <x:col min="5" max="5" width="8" hidden="0" customWidth="1"/>
    <x:col min="6" max="6" width="26" hidden="0" customWidth="1"/>
    <x:col min="7" max="7" width="30" hidden="0" customWidth="1"/>
    <x:col min="8" max="8" width="14" hidden="0" customWidth="1"/>
    <x:col min="9" max="9" width="13" hidden="0" customWidth="1"/>
    <x:col min="10" max="10" width="16" hidden="0" customWidth="1"/>
    <x:col min="11" max="11" width="14" hidden="0" customWidth="1"/>
    <x:col min="12" max="12" width="16" hidden="0" customWidth="1"/>
    <x:col min="13" max="13" width="14" hidden="0" customWidth="1"/>
    <x:col min="14" max="14" width="14" hidden="0" customWidth="1"/>
    <x:col min="15" max="15" width="18" hidden="0" customWidth="1"/>
    <x:col min="16" max="16" width="12" hidden="0" customWidth="1"/>
    <x:col min="17" max="17" width="14" hidden="0" customWidth="1"/>
    <x:col min="18" max="18" width="12" hidden="0" customWidth="1"/>
    <x:col min="19" max="19" width="14" hidden="0" customWidth="1"/>
    <x:col min="20" max="20" width="13" hidden="0" customWidth="1"/>
    <x:col min="21" max="21" width="12" hidden="0" customWidth="1"/>
    <x:col min="22" max="22" width="13" hidden="0" customWidth="1"/>
    <x:col min="23" max="23" width="14" hidden="0" customWidth="1"/>
    <x:col min="24" max="24" width="14" hidden="0" customWidth="1"/>
    <x:col min="25" max="25" width="18" hidden="0" customWidth="1"/>
    <x:col min="26" max="26" width="18" hidden="0" customWidth="1"/>
    <x:col min="27" max="27" width="14"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0" hidden="0" customWidth="1"/>
    <x:col min="35" max="35" width="50" hidden="0" customWidth="1"/>
  </x:cols>
  <x:sheetData>
    <x:row r="1" ht="28" customHeight="1">
      <x:c r="A1" s="131" t="str">
        <x:v>SP Farm Scenario Matrix — all combinations of Omega/MCT/extractor source using PLEX or ISK market</x:v>
      </x:c>
    </x:row>
    <x:row r="2">
      <x:c r="A2" s="138" t="str">
        <x:v>ID</x:v>
      </x:c>
      <x:c r="B2" s="139" t="str">
        <x:v>Scenario Type</x:v>
      </x:c>
      <x:c r="C2" s="139" t="str">
        <x:v>Training / Omega Offer</x:v>
      </x:c>
      <x:c r="D2" s="139" t="str">
        <x:v>Omega Months</x:v>
      </x:c>
      <x:c r="E2" s="139" t="str">
        <x:v>Queues</x:v>
      </x:c>
      <x:c r="F2" s="139" t="str">
        <x:v>MCT Source</x:v>
      </x:c>
      <x:c r="G2" s="139" t="str">
        <x:v>Extractor Source</x:v>
      </x:c>
      <x:c r="H2" s="139" t="str">
        <x:v>Omega PLEX Total</x:v>
      </x:c>
      <x:c r="I2" s="139" t="str">
        <x:v>MCT Unit PLEX</x:v>
      </x:c>
      <x:c r="J2" s="139" t="str">
        <x:v>MCT Market Unit ISK</x:v>
      </x:c>
      <x:c r="K2" s="139" t="str">
        <x:v>MCT PLEX Total</x:v>
      </x:c>
      <x:c r="L2" s="139" t="str">
        <x:v>MCT Market ISK Total</x:v>
      </x:c>
      <x:c r="M2" s="139" t="str">
        <x:v>Bundle PLEX Total</x:v>
      </x:c>
      <x:c r="N2" s="139" t="str">
        <x:v>Training PLEX Total</x:v>
      </x:c>
      <x:c r="O2" s="139" t="str">
        <x:v>Training Cost ISK</x:v>
      </x:c>
      <x:c r="P2" s="139" t="str">
        <x:v>Queue-Months</x:v>
      </x:c>
      <x:c r="Q2" s="139" t="str">
        <x:v>Training SP</x:v>
      </x:c>
      <x:c r="R2" s="139" t="str">
        <x:v>Bonus SP</x:v>
      </x:c>
      <x:c r="S2" s="139" t="str">
        <x:v>Total SP</x:v>
      </x:c>
      <x:c r="T2" s="139" t="str">
        <x:v>Injectors Produced</x:v>
      </x:c>
      <x:c r="U2" s="139" t="str">
        <x:v>Full Injectors</x:v>
      </x:c>
      <x:c r="V2" s="139" t="str">
        <x:v>Remainder SP</x:v>
      </x:c>
      <x:c r="W2" s="139" t="str">
        <x:v>Extractor Unit PLEX</x:v>
      </x:c>
      <x:c r="X2" s="139" t="str">
        <x:v>Extractor Unit ISK</x:v>
      </x:c>
      <x:c r="Y2" s="139" t="str">
        <x:v>Extractor Cost ISK</x:v>
      </x:c>
      <x:c r="Z2" s="139" t="str">
        <x:v>LSI Gross Revenue</x:v>
      </x:c>
      <x:c r="AA2" s="139" t="str">
        <x:v>Market Fees</x:v>
      </x:c>
      <x:c r="AB2" s="139" t="str">
        <x:v>LSI Net Revenue</x:v>
      </x:c>
      <x:c r="AC2" s="139" t="str">
        <x:v>Total Cost ISK</x:v>
      </x:c>
      <x:c r="AD2" s="139" t="str">
        <x:v>Profit ISK</x:v>
      </x:c>
      <x:c r="AE2" s="139" t="str">
        <x:v>Profit / Calendar Month ISK</x:v>
      </x:c>
      <x:c r="AF2" s="139" t="str">
        <x:v>Profit / Queue-Month ISK</x:v>
      </x:c>
      <x:c r="AG2" s="139" t="str">
        <x:v>Break-even LSI Sell Price</x:v>
      </x:c>
      <x:c r="AH2" s="139" t="str">
        <x:v>Status</x:v>
      </x:c>
      <x:c r="AI2" s="140" t="str">
        <x:v>Notes</x:v>
      </x:c>
    </x:row>
    <x:row r="3">
      <x:c r="A3" s="86" t="n">
        <x:v>1</x:v>
      </x:c>
      <x:c r="B3" s="88" t="str">
        <x:v>Base</x:v>
      </x:c>
      <x:c r="C3" s="88" t="str">
        <x:v>1M Omega + Bonus Items</x:v>
      </x:c>
      <x:c r="D3" s="88" t="n">
        <x:v>1</x:v>
      </x:c>
      <x:c r="E3" s="88" t="n">
        <x:v>1</x:v>
      </x:c>
      <x:c r="F3" s="88" t="str">
        <x:v>No MCT</x:v>
      </x:c>
      <x:c r="G3" s="88" t="str">
        <x:v>NES single extractor</x:v>
      </x:c>
      <x:c r="H3" s="87" t="n">
        <x:f>'01 Base Costs'!$B$21</x:f>
        <x:v>500</x:v>
      </x:c>
      <x:c r="I3" s="87" t="n">
        <x:f>0</x:f>
        <x:v>0</x:v>
      </x:c>
      <x:c r="J3" s="87" t="n">
        <x:f>0</x:f>
        <x:v>0</x:v>
      </x:c>
      <x:c r="K3" s="87" t="n">
        <x:f>D3*(E3-1)*I3</x:f>
        <x:v>0</x:v>
      </x:c>
      <x:c r="L3" s="87" t="n">
        <x:f>D3*(E3-1)*J3</x:f>
        <x:v>0</x:v>
      </x:c>
      <x:c r="M3" s="87" t="n">
        <x:f>0</x:f>
        <x:v>0</x:v>
      </x:c>
      <x:c r="N3" s="87" t="n">
        <x:f>H3+K3+M3</x:f>
        <x:v>500</x:v>
      </x:c>
      <x:c r="O3" s="87" t="n">
        <x:f>N3*'01 Base Costs'!$B$7+L3</x:f>
        <x:v>2405000000</x:v>
      </x:c>
      <x:c r="P3" s="87" t="n">
        <x:f>D3*E3</x:f>
        <x:v>1</x:v>
      </x:c>
      <x:c r="Q3" s="87" t="n">
        <x:f>P3*'01 Base Costs'!$B$12</x:f>
        <x:v>1944000</x:v>
      </x:c>
      <x:c r="R3" s="87" t="n">
        <x:f>'01 Base Costs'!$B$13</x:f>
        <x:v>100000</x:v>
      </x:c>
      <x:c r="S3" s="87" t="n">
        <x:f>Q3+R3</x:f>
        <x:v>2044000</x:v>
      </x:c>
      <x:c r="T3" s="141" t="n">
        <x:f>S3/'01 Base Costs'!$B$14</x:f>
        <x:v>4.088</x:v>
      </x:c>
      <x:c r="U3" s="87" t="n">
        <x:f>INT(T3)</x:f>
        <x:v>4</x:v>
      </x:c>
      <x:c r="V3" s="87" t="n">
        <x:f>S3-U3*'01 Base Costs'!$B$14</x:f>
        <x:v>44000</x:v>
      </x:c>
      <x:c r="W3" s="120" t="n">
        <x:f>'01 Base Costs'!$B$17</x:f>
        <x:v>140</x:v>
      </x:c>
      <x:c r="X3" s="120" t="n">
        <x:f>0</x:f>
        <x:v>0</x:v>
      </x:c>
      <x:c r="Y3" s="87" t="n">
        <x:f>T3*(W3*'01 Base Costs'!$B$7+X3)</x:f>
        <x:v>2752859200</x:v>
      </x:c>
      <x:c r="Z3" s="87" t="n">
        <x:f>T3*'01 Base Costs'!$B$8</x:f>
        <x:v>3077855200</x:v>
      </x:c>
      <x:c r="AA3" s="87" t="n">
        <x:f>Z3*'01 Base Costs'!$B$11</x:f>
        <x:v>153892760</x:v>
      </x:c>
      <x:c r="AB3" s="87" t="n">
        <x:f>Z3-AA3</x:f>
        <x:v>2923962440</x:v>
      </x:c>
      <x:c r="AC3" s="87" t="n">
        <x:f>O3+Y3</x:f>
        <x:v>5157859200</x:v>
      </x:c>
      <x:c r="AD3" s="87" t="n">
        <x:f>AB3-AC3</x:f>
        <x:v>-2233896760</x:v>
      </x:c>
      <x:c r="AE3" s="87" t="n">
        <x:f>AD3/D3</x:f>
        <x:v>-2233896760</x:v>
      </x:c>
      <x:c r="AF3" s="87" t="n">
        <x:f>AD3/P3</x:f>
        <x:v>-2233896760</x:v>
      </x:c>
      <x:c r="AG3" s="87" t="n">
        <x:f>IF(T3=0,0,AC3/T3/(1-'01 Base Costs'!$B$11))</x:f>
        <x:v>1328112884.9521062</x:v>
      </x:c>
      <x:c r="AH3" s="88" t="str">
        <x:f>IF(AD3&gt;0,"PROFIT","LOSS")</x:f>
        <x:v>LOSS</x:v>
      </x:c>
      <x:c r="AI3" s="89" t="str">
        <x:v>Base 1M Omega; includes 100k SP bonus. One training queue only. Base single extractor.</x:v>
      </x:c>
    </x:row>
    <x:row r="4">
      <x:c r="A4" s="86" t="n">
        <x:v>2</x:v>
      </x:c>
      <x:c r="B4" s="88" t="str">
        <x:v>Base</x:v>
      </x:c>
      <x:c r="C4" s="88" t="str">
        <x:v>1M Omega + Bonus Items</x:v>
      </x:c>
      <x:c r="D4" s="88" t="n">
        <x:v>1</x:v>
      </x:c>
      <x:c r="E4" s="88" t="n">
        <x:v>1</x:v>
      </x:c>
      <x:c r="F4" s="88" t="str">
        <x:v>No MCT</x:v>
      </x:c>
      <x:c r="G4" s="88" t="str">
        <x:v>NES 5-pack extractor</x:v>
      </x:c>
      <x:c r="H4" s="87" t="n">
        <x:f>'01 Base Costs'!$B$21</x:f>
        <x:v>500</x:v>
      </x:c>
      <x:c r="I4" s="87" t="n">
        <x:f>0</x:f>
        <x:v>0</x:v>
      </x:c>
      <x:c r="J4" s="87" t="n">
        <x:f>0</x:f>
        <x:v>0</x:v>
      </x:c>
      <x:c r="K4" s="87" t="n">
        <x:f>D4*(E4-1)*I4</x:f>
        <x:v>0</x:v>
      </x:c>
      <x:c r="L4" s="87" t="n">
        <x:f>D4*(E4-1)*J4</x:f>
        <x:v>0</x:v>
      </x:c>
      <x:c r="M4" s="87" t="n">
        <x:f>0</x:f>
        <x:v>0</x:v>
      </x:c>
      <x:c r="N4" s="87" t="n">
        <x:f>H4+K4+M4</x:f>
        <x:v>500</x:v>
      </x:c>
      <x:c r="O4" s="87" t="n">
        <x:f>N4*'01 Base Costs'!$B$7+L4</x:f>
        <x:v>2405000000</x:v>
      </x:c>
      <x:c r="P4" s="87" t="n">
        <x:f>D4*E4</x:f>
        <x:v>1</x:v>
      </x:c>
      <x:c r="Q4" s="87" t="n">
        <x:f>P4*'01 Base Costs'!$B$12</x:f>
        <x:v>1944000</x:v>
      </x:c>
      <x:c r="R4" s="87" t="n">
        <x:f>'01 Base Costs'!$B$13</x:f>
        <x:v>100000</x:v>
      </x:c>
      <x:c r="S4" s="87" t="n">
        <x:f>Q4+R4</x:f>
        <x:v>2044000</x:v>
      </x:c>
      <x:c r="T4" s="141" t="n">
        <x:f>S4/'01 Base Costs'!$B$14</x:f>
        <x:v>4.088</x:v>
      </x:c>
      <x:c r="U4" s="87" t="n">
        <x:f>INT(T4)</x:f>
        <x:v>4</x:v>
      </x:c>
      <x:c r="V4" s="87" t="n">
        <x:f>S4-U4*'01 Base Costs'!$B$14</x:f>
        <x:v>44000</x:v>
      </x:c>
      <x:c r="W4" s="120" t="n">
        <x:f>'01 Base Costs'!$B$18/5</x:f>
        <x:v>126</x:v>
      </x:c>
      <x:c r="X4" s="120" t="n">
        <x:f>0</x:f>
        <x:v>0</x:v>
      </x:c>
      <x:c r="Y4" s="87" t="n">
        <x:f>T4*(W4*'01 Base Costs'!$B$7+X4)</x:f>
        <x:v>2477573280</x:v>
      </x:c>
      <x:c r="Z4" s="87" t="n">
        <x:f>T4*'01 Base Costs'!$B$8</x:f>
        <x:v>3077855200</x:v>
      </x:c>
      <x:c r="AA4" s="87" t="n">
        <x:f>Z4*'01 Base Costs'!$B$11</x:f>
        <x:v>153892760</x:v>
      </x:c>
      <x:c r="AB4" s="87" t="n">
        <x:f>Z4-AA4</x:f>
        <x:v>2923962440</x:v>
      </x:c>
      <x:c r="AC4" s="87" t="n">
        <x:f>O4+Y4</x:f>
        <x:v>4882573280</x:v>
      </x:c>
      <x:c r="AD4" s="87" t="n">
        <x:f>AB4-AC4</x:f>
        <x:v>-1958610840</x:v>
      </x:c>
      <x:c r="AE4" s="87" t="n">
        <x:f>AD4/D4</x:f>
        <x:v>-1958610840</x:v>
      </x:c>
      <x:c r="AF4" s="87" t="n">
        <x:f>AD4/P4</x:f>
        <x:v>-1958610840</x:v>
      </x:c>
      <x:c r="AG4" s="87" t="n">
        <x:f>IF(T4=0,0,AC4/T4/(1-'01 Base Costs'!$B$11))</x:f>
        <x:v>1257228674.4257905</x:v>
      </x:c>
      <x:c r="AH4" s="88" t="str">
        <x:f>IF(AD4&gt;0,"PROFIT","LOSS")</x:f>
        <x:v>LOSS</x:v>
      </x:c>
      <x:c r="AI4" s="89" t="str">
        <x:v>Base 1M Omega; includes 100k SP bonus. One training queue only. Base 5-pack average.</x:v>
      </x:c>
    </x:row>
    <x:row r="5">
      <x:c r="A5" s="86" t="n">
        <x:v>3</x:v>
      </x:c>
      <x:c r="B5" s="88" t="str">
        <x:v>Base</x:v>
      </x:c>
      <x:c r="C5" s="88" t="str">
        <x:v>1M Omega + Bonus Items</x:v>
      </x:c>
      <x:c r="D5" s="88" t="n">
        <x:v>1</x:v>
      </x:c>
      <x:c r="E5" s="88" t="n">
        <x:v>1</x:v>
      </x:c>
      <x:c r="F5" s="88" t="str">
        <x:v>No MCT</x:v>
      </x:c>
      <x:c r="G5" s="88" t="str">
        <x:v>NES 10-pack extractor</x:v>
      </x:c>
      <x:c r="H5" s="87" t="n">
        <x:f>'01 Base Costs'!$B$21</x:f>
        <x:v>500</x:v>
      </x:c>
      <x:c r="I5" s="87" t="n">
        <x:f>0</x:f>
        <x:v>0</x:v>
      </x:c>
      <x:c r="J5" s="87" t="n">
        <x:f>0</x:f>
        <x:v>0</x:v>
      </x:c>
      <x:c r="K5" s="87" t="n">
        <x:f>D5*(E5-1)*I5</x:f>
        <x:v>0</x:v>
      </x:c>
      <x:c r="L5" s="87" t="n">
        <x:f>D5*(E5-1)*J5</x:f>
        <x:v>0</x:v>
      </x:c>
      <x:c r="M5" s="87" t="n">
        <x:f>0</x:f>
        <x:v>0</x:v>
      </x:c>
      <x:c r="N5" s="87" t="n">
        <x:f>H5+K5+M5</x:f>
        <x:v>500</x:v>
      </x:c>
      <x:c r="O5" s="87" t="n">
        <x:f>N5*'01 Base Costs'!$B$7+L5</x:f>
        <x:v>2405000000</x:v>
      </x:c>
      <x:c r="P5" s="87" t="n">
        <x:f>D5*E5</x:f>
        <x:v>1</x:v>
      </x:c>
      <x:c r="Q5" s="87" t="n">
        <x:f>P5*'01 Base Costs'!$B$12</x:f>
        <x:v>1944000</x:v>
      </x:c>
      <x:c r="R5" s="87" t="n">
        <x:f>'01 Base Costs'!$B$13</x:f>
        <x:v>100000</x:v>
      </x:c>
      <x:c r="S5" s="87" t="n">
        <x:f>Q5+R5</x:f>
        <x:v>2044000</x:v>
      </x:c>
      <x:c r="T5" s="141" t="n">
        <x:f>S5/'01 Base Costs'!$B$14</x:f>
        <x:v>4.088</x:v>
      </x:c>
      <x:c r="U5" s="87" t="n">
        <x:f>INT(T5)</x:f>
        <x:v>4</x:v>
      </x:c>
      <x:c r="V5" s="87" t="n">
        <x:f>S5-U5*'01 Base Costs'!$B$14</x:f>
        <x:v>44000</x:v>
      </x:c>
      <x:c r="W5" s="120" t="n">
        <x:f>'01 Base Costs'!$B$19/10</x:f>
        <x:v>119</x:v>
      </x:c>
      <x:c r="X5" s="120" t="n">
        <x:f>0</x:f>
        <x:v>0</x:v>
      </x:c>
      <x:c r="Y5" s="87" t="n">
        <x:f>T5*(W5*'01 Base Costs'!$B$7+X5)</x:f>
        <x:v>2339930320</x:v>
      </x:c>
      <x:c r="Z5" s="87" t="n">
        <x:f>T5*'01 Base Costs'!$B$8</x:f>
        <x:v>3077855200</x:v>
      </x:c>
      <x:c r="AA5" s="87" t="n">
        <x:f>Z5*'01 Base Costs'!$B$11</x:f>
        <x:v>153892760</x:v>
      </x:c>
      <x:c r="AB5" s="87" t="n">
        <x:f>Z5-AA5</x:f>
        <x:v>2923962440</x:v>
      </x:c>
      <x:c r="AC5" s="87" t="n">
        <x:f>O5+Y5</x:f>
        <x:v>4744930320</x:v>
      </x:c>
      <x:c r="AD5" s="87" t="n">
        <x:f>AB5-AC5</x:f>
        <x:v>-1820967880</x:v>
      </x:c>
      <x:c r="AE5" s="87" t="n">
        <x:f>AD5/D5</x:f>
        <x:v>-1820967880</x:v>
      </x:c>
      <x:c r="AF5" s="87" t="n">
        <x:f>AD5/P5</x:f>
        <x:v>-1820967880</x:v>
      </x:c>
      <x:c r="AG5" s="87" t="n">
        <x:f>IF(T5=0,0,AC5/T5/(1-'01 Base Costs'!$B$11))</x:f>
        <x:v>1221786569.1626327</x:v>
      </x:c>
      <x:c r="AH5" s="88" t="str">
        <x:f>IF(AD5&gt;0,"PROFIT","LOSS")</x:f>
        <x:v>LOSS</x:v>
      </x:c>
      <x:c r="AI5" s="89" t="str">
        <x:v>Base 1M Omega; includes 100k SP bonus. One training queue only. Base 10-pack average.</x:v>
      </x:c>
    </x:row>
    <x:row r="6">
      <x:c r="A6" s="86" t="n">
        <x:v>4</x:v>
      </x:c>
      <x:c r="B6" s="88" t="str">
        <x:v>Base</x:v>
      </x:c>
      <x:c r="C6" s="88" t="str">
        <x:v>1M Omega + Bonus Items</x:v>
      </x:c>
      <x:c r="D6" s="88" t="n">
        <x:v>1</x:v>
      </x:c>
      <x:c r="E6" s="88" t="n">
        <x:v>1</x:v>
      </x:c>
      <x:c r="F6" s="88" t="str">
        <x:v>No MCT</x:v>
      </x:c>
      <x:c r="G6" s="88" t="str">
        <x:v>NES 50-pack extractor</x:v>
      </x:c>
      <x:c r="H6" s="87" t="n">
        <x:f>'01 Base Costs'!$B$21</x:f>
        <x:v>500</x:v>
      </x:c>
      <x:c r="I6" s="87" t="n">
        <x:f>0</x:f>
        <x:v>0</x:v>
      </x:c>
      <x:c r="J6" s="87" t="n">
        <x:f>0</x:f>
        <x:v>0</x:v>
      </x:c>
      <x:c r="K6" s="87" t="n">
        <x:f>D6*(E6-1)*I6</x:f>
        <x:v>0</x:v>
      </x:c>
      <x:c r="L6" s="87" t="n">
        <x:f>D6*(E6-1)*J6</x:f>
        <x:v>0</x:v>
      </x:c>
      <x:c r="M6" s="87" t="n">
        <x:f>0</x:f>
        <x:v>0</x:v>
      </x:c>
      <x:c r="N6" s="87" t="n">
        <x:f>H6+K6+M6</x:f>
        <x:v>500</x:v>
      </x:c>
      <x:c r="O6" s="87" t="n">
        <x:f>N6*'01 Base Costs'!$B$7+L6</x:f>
        <x:v>2405000000</x:v>
      </x:c>
      <x:c r="P6" s="87" t="n">
        <x:f>D6*E6</x:f>
        <x:v>1</x:v>
      </x:c>
      <x:c r="Q6" s="87" t="n">
        <x:f>P6*'01 Base Costs'!$B$12</x:f>
        <x:v>1944000</x:v>
      </x:c>
      <x:c r="R6" s="87" t="n">
        <x:f>'01 Base Costs'!$B$13</x:f>
        <x:v>100000</x:v>
      </x:c>
      <x:c r="S6" s="87" t="n">
        <x:f>Q6+R6</x:f>
        <x:v>2044000</x:v>
      </x:c>
      <x:c r="T6" s="141" t="n">
        <x:f>S6/'01 Base Costs'!$B$14</x:f>
        <x:v>4.088</x:v>
      </x:c>
      <x:c r="U6" s="87" t="n">
        <x:f>INT(T6)</x:f>
        <x:v>4</x:v>
      </x:c>
      <x:c r="V6" s="87" t="n">
        <x:f>S6-U6*'01 Base Costs'!$B$14</x:f>
        <x:v>44000</x:v>
      </x:c>
      <x:c r="W6" s="120" t="n">
        <x:f>'01 Base Costs'!$B$20/50</x:f>
        <x:v>112</x:v>
      </x:c>
      <x:c r="X6" s="120" t="n">
        <x:f>0</x:f>
        <x:v>0</x:v>
      </x:c>
      <x:c r="Y6" s="87" t="n">
        <x:f>T6*(W6*'01 Base Costs'!$B$7+X6)</x:f>
        <x:v>2202287360</x:v>
      </x:c>
      <x:c r="Z6" s="87" t="n">
        <x:f>T6*'01 Base Costs'!$B$8</x:f>
        <x:v>3077855200</x:v>
      </x:c>
      <x:c r="AA6" s="87" t="n">
        <x:f>Z6*'01 Base Costs'!$B$11</x:f>
        <x:v>153892760</x:v>
      </x:c>
      <x:c r="AB6" s="87" t="n">
        <x:f>Z6-AA6</x:f>
        <x:v>2923962440</x:v>
      </x:c>
      <x:c r="AC6" s="87" t="n">
        <x:f>O6+Y6</x:f>
        <x:v>4607287360</x:v>
      </x:c>
      <x:c r="AD6" s="87" t="n">
        <x:f>AB6-AC6</x:f>
        <x:v>-1683324920</x:v>
      </x:c>
      <x:c r="AE6" s="87" t="n">
        <x:f>AD6/D6</x:f>
        <x:v>-1683324920</x:v>
      </x:c>
      <x:c r="AF6" s="87" t="n">
        <x:f>AD6/P6</x:f>
        <x:v>-1683324920</x:v>
      </x:c>
      <x:c r="AG6" s="87" t="n">
        <x:f>IF(T6=0,0,AC6/T6/(1-'01 Base Costs'!$B$11))</x:f>
        <x:v>1186344463.8994746</x:v>
      </x:c>
      <x:c r="AH6" s="88" t="str">
        <x:f>IF(AD6&gt;0,"PROFIT","LOSS")</x:f>
        <x:v>LOSS</x:v>
      </x:c>
      <x:c r="AI6" s="89" t="str">
        <x:v>Base 1M Omega; includes 100k SP bonus. One training queue only. Base 50-pack average.</x:v>
      </x:c>
    </x:row>
    <x:row r="7">
      <x:c r="A7" s="86" t="n">
        <x:v>5</x:v>
      </x:c>
      <x:c r="B7" s="88" t="str">
        <x:v>Base</x:v>
      </x:c>
      <x:c r="C7" s="88" t="str">
        <x:v>1M Omega + Bonus Items</x:v>
      </x:c>
      <x:c r="D7" s="88" t="n">
        <x:v>1</x:v>
      </x:c>
      <x:c r="E7" s="88" t="n">
        <x:v>1</x:v>
      </x:c>
      <x:c r="F7" s="88" t="str">
        <x:v>No MCT</x:v>
      </x:c>
      <x:c r="G7" s="88" t="str">
        <x:v>NES 3-for-2 extractor sale</x:v>
      </x:c>
      <x:c r="H7" s="87" t="n">
        <x:f>'01 Base Costs'!$B$21</x:f>
        <x:v>500</x:v>
      </x:c>
      <x:c r="I7" s="87" t="n">
        <x:f>0</x:f>
        <x:v>0</x:v>
      </x:c>
      <x:c r="J7" s="87" t="n">
        <x:f>0</x:f>
        <x:v>0</x:v>
      </x:c>
      <x:c r="K7" s="87" t="n">
        <x:f>D7*(E7-1)*I7</x:f>
        <x:v>0</x:v>
      </x:c>
      <x:c r="L7" s="87" t="n">
        <x:f>D7*(E7-1)*J7</x:f>
        <x:v>0</x:v>
      </x:c>
      <x:c r="M7" s="87" t="n">
        <x:f>0</x:f>
        <x:v>0</x:v>
      </x:c>
      <x:c r="N7" s="87" t="n">
        <x:f>H7+K7+M7</x:f>
        <x:v>500</x:v>
      </x:c>
      <x:c r="O7" s="87" t="n">
        <x:f>N7*'01 Base Costs'!$B$7+L7</x:f>
        <x:v>2405000000</x:v>
      </x:c>
      <x:c r="P7" s="87" t="n">
        <x:f>D7*E7</x:f>
        <x:v>1</x:v>
      </x:c>
      <x:c r="Q7" s="87" t="n">
        <x:f>P7*'01 Base Costs'!$B$12</x:f>
        <x:v>1944000</x:v>
      </x:c>
      <x:c r="R7" s="87" t="n">
        <x:f>'01 Base Costs'!$B$13</x:f>
        <x:v>100000</x:v>
      </x:c>
      <x:c r="S7" s="87" t="n">
        <x:f>Q7+R7</x:f>
        <x:v>2044000</x:v>
      </x:c>
      <x:c r="T7" s="141" t="n">
        <x:f>S7/'01 Base Costs'!$B$14</x:f>
        <x:v>4.088</x:v>
      </x:c>
      <x:c r="U7" s="87" t="n">
        <x:f>INT(T7)</x:f>
        <x:v>4</x:v>
      </x:c>
      <x:c r="V7" s="87" t="n">
        <x:f>S7-U7*'01 Base Costs'!$B$14</x:f>
        <x:v>44000</x:v>
      </x:c>
      <x:c r="W7" s="120" t="n">
        <x:f>'01 Base Costs'!$B$17*2/3</x:f>
        <x:v>93.33333333333333</x:v>
      </x:c>
      <x:c r="X7" s="120" t="n">
        <x:f>0</x:f>
        <x:v>0</x:v>
      </x:c>
      <x:c r="Y7" s="87" t="n">
        <x:f>T7*(W7*'01 Base Costs'!$B$7+X7)</x:f>
        <x:v>1835239466.6666665</x:v>
      </x:c>
      <x:c r="Z7" s="87" t="n">
        <x:f>T7*'01 Base Costs'!$B$8</x:f>
        <x:v>3077855200</x:v>
      </x:c>
      <x:c r="AA7" s="87" t="n">
        <x:f>Z7*'01 Base Costs'!$B$11</x:f>
        <x:v>153892760</x:v>
      </x:c>
      <x:c r="AB7" s="87" t="n">
        <x:f>Z7-AA7</x:f>
        <x:v>2923962440</x:v>
      </x:c>
      <x:c r="AC7" s="87" t="n">
        <x:f>O7+Y7</x:f>
        <x:v>4240239466.6666665</x:v>
      </x:c>
      <x:c r="AD7" s="87" t="n">
        <x:f>AB7-AC7</x:f>
        <x:v>-1316277026.6666665</x:v>
      </x:c>
      <x:c r="AE7" s="87" t="n">
        <x:f>AD7/D7</x:f>
        <x:v>-1316277026.6666665</x:v>
      </x:c>
      <x:c r="AF7" s="87" t="n">
        <x:f>AD7/P7</x:f>
        <x:v>-1316277026.6666665</x:v>
      </x:c>
      <x:c r="AG7" s="87" t="n">
        <x:f>IF(T7=0,0,AC7/T7/(1-'01 Base Costs'!$B$11))</x:f>
        <x:v>1091832183.1977203</x:v>
      </x:c>
      <x:c r="AH7" s="88" t="str">
        <x:f>IF(AD7&gt;0,"PROFIT","LOSS")</x:f>
        <x:v>LOSS</x:v>
      </x:c>
      <x:c r="AI7" s="89" t="str">
        <x:v>Base 1M Omega; includes 100k SP bonus. One training queue only. Extractor 3-for-2 sale.</x:v>
      </x:c>
    </x:row>
    <x:row r="8">
      <x:c r="A8" s="86" t="n">
        <x:v>6</x:v>
      </x:c>
      <x:c r="B8" s="88" t="str">
        <x:v>Base</x:v>
      </x:c>
      <x:c r="C8" s="88" t="str">
        <x:v>1M Omega + Bonus Items</x:v>
      </x:c>
      <x:c r="D8" s="88" t="n">
        <x:v>1</x:v>
      </x:c>
      <x:c r="E8" s="88" t="n">
        <x:v>1</x:v>
      </x:c>
      <x:c r="F8" s="88" t="str">
        <x:v>No MCT</x:v>
      </x:c>
      <x:c r="G8" s="88" t="str">
        <x:v>NES 2-for-1 extractor sale</x:v>
      </x:c>
      <x:c r="H8" s="87" t="n">
        <x:f>'01 Base Costs'!$B$21</x:f>
        <x:v>500</x:v>
      </x:c>
      <x:c r="I8" s="87" t="n">
        <x:f>0</x:f>
        <x:v>0</x:v>
      </x:c>
      <x:c r="J8" s="87" t="n">
        <x:f>0</x:f>
        <x:v>0</x:v>
      </x:c>
      <x:c r="K8" s="87" t="n">
        <x:f>D8*(E8-1)*I8</x:f>
        <x:v>0</x:v>
      </x:c>
      <x:c r="L8" s="87" t="n">
        <x:f>D8*(E8-1)*J8</x:f>
        <x:v>0</x:v>
      </x:c>
      <x:c r="M8" s="87" t="n">
        <x:f>0</x:f>
        <x:v>0</x:v>
      </x:c>
      <x:c r="N8" s="87" t="n">
        <x:f>H8+K8+M8</x:f>
        <x:v>500</x:v>
      </x:c>
      <x:c r="O8" s="87" t="n">
        <x:f>N8*'01 Base Costs'!$B$7+L8</x:f>
        <x:v>2405000000</x:v>
      </x:c>
      <x:c r="P8" s="87" t="n">
        <x:f>D8*E8</x:f>
        <x:v>1</x:v>
      </x:c>
      <x:c r="Q8" s="87" t="n">
        <x:f>P8*'01 Base Costs'!$B$12</x:f>
        <x:v>1944000</x:v>
      </x:c>
      <x:c r="R8" s="87" t="n">
        <x:f>'01 Base Costs'!$B$13</x:f>
        <x:v>100000</x:v>
      </x:c>
      <x:c r="S8" s="87" t="n">
        <x:f>Q8+R8</x:f>
        <x:v>2044000</x:v>
      </x:c>
      <x:c r="T8" s="141" t="n">
        <x:f>S8/'01 Base Costs'!$B$14</x:f>
        <x:v>4.088</x:v>
      </x:c>
      <x:c r="U8" s="87" t="n">
        <x:f>INT(T8)</x:f>
        <x:v>4</x:v>
      </x:c>
      <x:c r="V8" s="87" t="n">
        <x:f>S8-U8*'01 Base Costs'!$B$14</x:f>
        <x:v>44000</x:v>
      </x:c>
      <x:c r="W8" s="120" t="n">
        <x:f>'01 Base Costs'!$B$17/2</x:f>
        <x:v>70</x:v>
      </x:c>
      <x:c r="X8" s="120" t="n">
        <x:f>0</x:f>
        <x:v>0</x:v>
      </x:c>
      <x:c r="Y8" s="87" t="n">
        <x:f>T8*(W8*'01 Base Costs'!$B$7+X8)</x:f>
        <x:v>1376429600</x:v>
      </x:c>
      <x:c r="Z8" s="87" t="n">
        <x:f>T8*'01 Base Costs'!$B$8</x:f>
        <x:v>3077855200</x:v>
      </x:c>
      <x:c r="AA8" s="87" t="n">
        <x:f>Z8*'01 Base Costs'!$B$11</x:f>
        <x:v>153892760</x:v>
      </x:c>
      <x:c r="AB8" s="87" t="n">
        <x:f>Z8-AA8</x:f>
        <x:v>2923962440</x:v>
      </x:c>
      <x:c r="AC8" s="87" t="n">
        <x:f>O8+Y8</x:f>
        <x:v>3781429600</x:v>
      </x:c>
      <x:c r="AD8" s="87" t="n">
        <x:f>AB8-AC8</x:f>
        <x:v>-857467160</x:v>
      </x:c>
      <x:c r="AE8" s="87" t="n">
        <x:f>AD8/D8</x:f>
        <x:v>-857467160</x:v>
      </x:c>
      <x:c r="AF8" s="87" t="n">
        <x:f>AD8/P8</x:f>
        <x:v>-857467160</x:v>
      </x:c>
      <x:c r="AG8" s="87" t="n">
        <x:f>IF(T8=0,0,AC8/T8/(1-'01 Base Costs'!$B$11))</x:f>
        <x:v>973691832.3205273</x:v>
      </x:c>
      <x:c r="AH8" s="88" t="str">
        <x:f>IF(AD8&gt;0,"PROFIT","LOSS")</x:f>
        <x:v>LOSS</x:v>
      </x:c>
      <x:c r="AI8" s="89" t="str">
        <x:v>Base 1M Omega; includes 100k SP bonus. One training queue only. Extractor 2-for-1 sale.</x:v>
      </x:c>
    </x:row>
    <x:row r="9">
      <x:c r="A9" s="86" t="n">
        <x:v>7</x:v>
      </x:c>
      <x:c r="B9" s="88" t="str">
        <x:v>Base</x:v>
      </x:c>
      <x:c r="C9" s="88" t="str">
        <x:v>1M Omega + Bonus Items</x:v>
      </x:c>
      <x:c r="D9" s="88" t="n">
        <x:v>1</x:v>
      </x:c>
      <x:c r="E9" s="88" t="n">
        <x:v>1</x:v>
      </x:c>
      <x:c r="F9" s="88" t="str">
        <x:v>No MCT</x:v>
      </x:c>
      <x:c r="G9" s="88" t="str">
        <x:v>NES 10-pack extractor 20% sale</x:v>
      </x:c>
      <x:c r="H9" s="87" t="n">
        <x:f>'01 Base Costs'!$B$21</x:f>
        <x:v>500</x:v>
      </x:c>
      <x:c r="I9" s="87" t="n">
        <x:f>0</x:f>
        <x:v>0</x:v>
      </x:c>
      <x:c r="J9" s="87" t="n">
        <x:f>0</x:f>
        <x:v>0</x:v>
      </x:c>
      <x:c r="K9" s="87" t="n">
        <x:f>D9*(E9-1)*I9</x:f>
        <x:v>0</x:v>
      </x:c>
      <x:c r="L9" s="87" t="n">
        <x:f>D9*(E9-1)*J9</x:f>
        <x:v>0</x:v>
      </x:c>
      <x:c r="M9" s="87" t="n">
        <x:f>0</x:f>
        <x:v>0</x:v>
      </x:c>
      <x:c r="N9" s="87" t="n">
        <x:f>H9+K9+M9</x:f>
        <x:v>500</x:v>
      </x:c>
      <x:c r="O9" s="87" t="n">
        <x:f>N9*'01 Base Costs'!$B$7+L9</x:f>
        <x:v>2405000000</x:v>
      </x:c>
      <x:c r="P9" s="87" t="n">
        <x:f>D9*E9</x:f>
        <x:v>1</x:v>
      </x:c>
      <x:c r="Q9" s="87" t="n">
        <x:f>P9*'01 Base Costs'!$B$12</x:f>
        <x:v>1944000</x:v>
      </x:c>
      <x:c r="R9" s="87" t="n">
        <x:f>'01 Base Costs'!$B$13</x:f>
        <x:v>100000</x:v>
      </x:c>
      <x:c r="S9" s="87" t="n">
        <x:f>Q9+R9</x:f>
        <x:v>2044000</x:v>
      </x:c>
      <x:c r="T9" s="141" t="n">
        <x:f>S9/'01 Base Costs'!$B$14</x:f>
        <x:v>4.088</x:v>
      </x:c>
      <x:c r="U9" s="87" t="n">
        <x:f>INT(T9)</x:f>
        <x:v>4</x:v>
      </x:c>
      <x:c r="V9" s="87" t="n">
        <x:f>S9-U9*'01 Base Costs'!$B$14</x:f>
        <x:v>44000</x:v>
      </x:c>
      <x:c r="W9" s="120" t="n">
        <x:f>'01 Base Costs'!$B$19*0.8/10</x:f>
        <x:v>95.2</x:v>
      </x:c>
      <x:c r="X9" s="120" t="n">
        <x:f>0</x:f>
        <x:v>0</x:v>
      </x:c>
      <x:c r="Y9" s="87" t="n">
        <x:f>T9*(W9*'01 Base Costs'!$B$7+X9)</x:f>
        <x:v>1871944256</x:v>
      </x:c>
      <x:c r="Z9" s="87" t="n">
        <x:f>T9*'01 Base Costs'!$B$8</x:f>
        <x:v>3077855200</x:v>
      </x:c>
      <x:c r="AA9" s="87" t="n">
        <x:f>Z9*'01 Base Costs'!$B$11</x:f>
        <x:v>153892760</x:v>
      </x:c>
      <x:c r="AB9" s="87" t="n">
        <x:f>Z9-AA9</x:f>
        <x:v>2923962440</x:v>
      </x:c>
      <x:c r="AC9" s="87" t="n">
        <x:f>O9+Y9</x:f>
        <x:v>4276944256</x:v>
      </x:c>
      <x:c r="AD9" s="87" t="n">
        <x:f>AB9-AC9</x:f>
        <x:v>-1352981816</x:v>
      </x:c>
      <x:c r="AE9" s="87" t="n">
        <x:f>AD9/D9</x:f>
        <x:v>-1352981816</x:v>
      </x:c>
      <x:c r="AF9" s="87" t="n">
        <x:f>AD9/P9</x:f>
        <x:v>-1352981816</x:v>
      </x:c>
      <x:c r="AG9" s="87" t="n">
        <x:f>IF(T9=0,0,AC9/T9/(1-'01 Base Costs'!$B$11))</x:f>
        <x:v>1101283411.2678957</x:v>
      </x:c>
      <x:c r="AH9" s="88" t="str">
        <x:f>IF(AD9&gt;0,"PROFIT","LOSS")</x:f>
        <x:v>LOSS</x:v>
      </x:c>
      <x:c r="AI9" s="89" t="str">
        <x:v>Base 1M Omega; includes 100k SP bonus. One training queue only. 10-pack at 20% off.</x:v>
      </x:c>
    </x:row>
    <x:row r="10">
      <x:c r="A10" s="86" t="n">
        <x:v>8</x:v>
      </x:c>
      <x:c r="B10" s="88" t="str">
        <x:v>Base</x:v>
      </x:c>
      <x:c r="C10" s="88" t="str">
        <x:v>1M Omega + Bonus Items</x:v>
      </x:c>
      <x:c r="D10" s="88" t="n">
        <x:v>1</x:v>
      </x:c>
      <x:c r="E10" s="88" t="n">
        <x:v>1</x:v>
      </x:c>
      <x:c r="F10" s="88" t="str">
        <x:v>No MCT</x:v>
      </x:c>
      <x:c r="G10" s="88" t="str">
        <x:v>NES 50-pack extractor 20% sale</x:v>
      </x:c>
      <x:c r="H10" s="87" t="n">
        <x:f>'01 Base Costs'!$B$21</x:f>
        <x:v>500</x:v>
      </x:c>
      <x:c r="I10" s="87" t="n">
        <x:f>0</x:f>
        <x:v>0</x:v>
      </x:c>
      <x:c r="J10" s="87" t="n">
        <x:f>0</x:f>
        <x:v>0</x:v>
      </x:c>
      <x:c r="K10" s="87" t="n">
        <x:f>D10*(E10-1)*I10</x:f>
        <x:v>0</x:v>
      </x:c>
      <x:c r="L10" s="87" t="n">
        <x:f>D10*(E10-1)*J10</x:f>
        <x:v>0</x:v>
      </x:c>
      <x:c r="M10" s="87" t="n">
        <x:f>0</x:f>
        <x:v>0</x:v>
      </x:c>
      <x:c r="N10" s="87" t="n">
        <x:f>H10+K10+M10</x:f>
        <x:v>500</x:v>
      </x:c>
      <x:c r="O10" s="87" t="n">
        <x:f>N10*'01 Base Costs'!$B$7+L10</x:f>
        <x:v>2405000000</x:v>
      </x:c>
      <x:c r="P10" s="87" t="n">
        <x:f>D10*E10</x:f>
        <x:v>1</x:v>
      </x:c>
      <x:c r="Q10" s="87" t="n">
        <x:f>P10*'01 Base Costs'!$B$12</x:f>
        <x:v>1944000</x:v>
      </x:c>
      <x:c r="R10" s="87" t="n">
        <x:f>'01 Base Costs'!$B$13</x:f>
        <x:v>100000</x:v>
      </x:c>
      <x:c r="S10" s="87" t="n">
        <x:f>Q10+R10</x:f>
        <x:v>2044000</x:v>
      </x:c>
      <x:c r="T10" s="141" t="n">
        <x:f>S10/'01 Base Costs'!$B$14</x:f>
        <x:v>4.088</x:v>
      </x:c>
      <x:c r="U10" s="87" t="n">
        <x:f>INT(T10)</x:f>
        <x:v>4</x:v>
      </x:c>
      <x:c r="V10" s="87" t="n">
        <x:f>S10-U10*'01 Base Costs'!$B$14</x:f>
        <x:v>44000</x:v>
      </x:c>
      <x:c r="W10" s="120" t="n">
        <x:f>'01 Base Costs'!$B$20*0.8/50</x:f>
        <x:v>89.6</x:v>
      </x:c>
      <x:c r="X10" s="120" t="n">
        <x:f>0</x:f>
        <x:v>0</x:v>
      </x:c>
      <x:c r="Y10" s="87" t="n">
        <x:f>T10*(W10*'01 Base Costs'!$B$7+X10)</x:f>
        <x:v>1761829888</x:v>
      </x:c>
      <x:c r="Z10" s="87" t="n">
        <x:f>T10*'01 Base Costs'!$B$8</x:f>
        <x:v>3077855200</x:v>
      </x:c>
      <x:c r="AA10" s="87" t="n">
        <x:f>Z10*'01 Base Costs'!$B$11</x:f>
        <x:v>153892760</x:v>
      </x:c>
      <x:c r="AB10" s="87" t="n">
        <x:f>Z10-AA10</x:f>
        <x:v>2923962440</x:v>
      </x:c>
      <x:c r="AC10" s="87" t="n">
        <x:f>O10+Y10</x:f>
        <x:v>4166829888</x:v>
      </x:c>
      <x:c r="AD10" s="87" t="n">
        <x:f>AB10-AC10</x:f>
        <x:v>-1242867448</x:v>
      </x:c>
      <x:c r="AE10" s="87" t="n">
        <x:f>AD10/D10</x:f>
        <x:v>-1242867448</x:v>
      </x:c>
      <x:c r="AF10" s="87" t="n">
        <x:f>AD10/P10</x:f>
        <x:v>-1242867448</x:v>
      </x:c>
      <x:c r="AG10" s="87" t="n">
        <x:f>IF(T10=0,0,AC10/T10/(1-'01 Base Costs'!$B$11))</x:f>
        <x:v>1072929727.0573695</x:v>
      </x:c>
      <x:c r="AH10" s="88" t="str">
        <x:f>IF(AD10&gt;0,"PROFIT","LOSS")</x:f>
        <x:v>LOSS</x:v>
      </x:c>
      <x:c r="AI10" s="89" t="str">
        <x:v>Base 1M Omega; includes 100k SP bonus. One training queue only. 50-pack at 20% off.</x:v>
      </x:c>
    </x:row>
    <x:row r="11">
      <x:c r="A11" s="86" t="n">
        <x:v>9</x:v>
      </x:c>
      <x:c r="B11" s="88" t="str">
        <x:v>Base</x:v>
      </x:c>
      <x:c r="C11" s="88" t="str">
        <x:v>1M Omega + Bonus Items</x:v>
      </x:c>
      <x:c r="D11" s="88" t="n">
        <x:v>1</x:v>
      </x:c>
      <x:c r="E11" s="88" t="n">
        <x:v>1</x:v>
      </x:c>
      <x:c r="F11" s="88" t="str">
        <x:v>No MCT</x:v>
      </x:c>
      <x:c r="G11" s="88" t="str">
        <x:v>Market Skill Extractor</x:v>
      </x:c>
      <x:c r="H11" s="87" t="n">
        <x:f>'01 Base Costs'!$B$21</x:f>
        <x:v>500</x:v>
      </x:c>
      <x:c r="I11" s="87" t="n">
        <x:f>0</x:f>
        <x:v>0</x:v>
      </x:c>
      <x:c r="J11" s="87" t="n">
        <x:f>0</x:f>
        <x:v>0</x:v>
      </x:c>
      <x:c r="K11" s="87" t="n">
        <x:f>D11*(E11-1)*I11</x:f>
        <x:v>0</x:v>
      </x:c>
      <x:c r="L11" s="87" t="n">
        <x:f>D11*(E11-1)*J11</x:f>
        <x:v>0</x:v>
      </x:c>
      <x:c r="M11" s="87" t="n">
        <x:f>0</x:f>
        <x:v>0</x:v>
      </x:c>
      <x:c r="N11" s="87" t="n">
        <x:f>H11+K11+M11</x:f>
        <x:v>500</x:v>
      </x:c>
      <x:c r="O11" s="87" t="n">
        <x:f>N11*'01 Base Costs'!$B$7+L11</x:f>
        <x:v>2405000000</x:v>
      </x:c>
      <x:c r="P11" s="87" t="n">
        <x:f>D11*E11</x:f>
        <x:v>1</x:v>
      </x:c>
      <x:c r="Q11" s="87" t="n">
        <x:f>P11*'01 Base Costs'!$B$12</x:f>
        <x:v>1944000</x:v>
      </x:c>
      <x:c r="R11" s="87" t="n">
        <x:f>'01 Base Costs'!$B$13</x:f>
        <x:v>100000</x:v>
      </x:c>
      <x:c r="S11" s="87" t="n">
        <x:f>Q11+R11</x:f>
        <x:v>2044000</x:v>
      </x:c>
      <x:c r="T11" s="141" t="n">
        <x:f>S11/'01 Base Costs'!$B$14</x:f>
        <x:v>4.088</x:v>
      </x:c>
      <x:c r="U11" s="87" t="n">
        <x:f>INT(T11)</x:f>
        <x:v>4</x:v>
      </x:c>
      <x:c r="V11" s="87" t="n">
        <x:f>S11-U11*'01 Base Costs'!$B$14</x:f>
        <x:v>44000</x:v>
      </x:c>
      <x:c r="W11" s="120" t="n">
        <x:f>0</x:f>
        <x:v>0</x:v>
      </x:c>
      <x:c r="X11" s="120" t="n">
        <x:f>'01 Base Costs'!$B$9</x:f>
        <x:v>463500000</x:v>
      </x:c>
      <x:c r="Y11" s="87" t="n">
        <x:f>T11*(W11*'01 Base Costs'!$B$7+X11)</x:f>
        <x:v>1894788000</x:v>
      </x:c>
      <x:c r="Z11" s="87" t="n">
        <x:f>T11*'01 Base Costs'!$B$8</x:f>
        <x:v>3077855200</x:v>
      </x:c>
      <x:c r="AA11" s="87" t="n">
        <x:f>Z11*'01 Base Costs'!$B$11</x:f>
        <x:v>153892760</x:v>
      </x:c>
      <x:c r="AB11" s="87" t="n">
        <x:f>Z11-AA11</x:f>
        <x:v>2923962440</x:v>
      </x:c>
      <x:c r="AC11" s="87" t="n">
        <x:f>O11+Y11</x:f>
        <x:v>4299788000</x:v>
      </x:c>
      <x:c r="AD11" s="87" t="n">
        <x:f>AB11-AC11</x:f>
        <x:v>-1375825560</x:v>
      </x:c>
      <x:c r="AE11" s="87" t="n">
        <x:f>AD11/D11</x:f>
        <x:v>-1375825560</x:v>
      </x:c>
      <x:c r="AF11" s="87" t="n">
        <x:f>AD11/P11</x:f>
        <x:v>-1375825560</x:v>
      </x:c>
      <x:c r="AG11" s="87" t="n">
        <x:f>IF(T11=0,0,AC11/T11/(1-'01 Base Costs'!$B$11))</x:f>
        <x:v>1107165516.5310535</x:v>
      </x:c>
      <x:c r="AH11" s="88" t="str">
        <x:f>IF(AD11&gt;0,"PROFIT","LOSS")</x:f>
        <x:v>LOSS</x:v>
      </x:c>
      <x:c r="AI11" s="89" t="str">
        <x:v>Base 1M Omega; includes 100k SP bonus. One training queue only. Extractor bought on market with ISK.</x:v>
      </x:c>
    </x:row>
    <x:row r="12">
      <x:c r="A12" s="86" t="n">
        <x:v>10</x:v>
      </x:c>
      <x:c r="B12" s="88" t="str">
        <x:v>Base</x:v>
      </x:c>
      <x:c r="C12" s="88" t="str">
        <x:v>1M Omega + Bonus Items</x:v>
      </x:c>
      <x:c r="D12" s="88" t="n">
        <x:v>1</x:v>
      </x:c>
      <x:c r="E12" s="88" t="n">
        <x:v>2</x:v>
      </x:c>
      <x:c r="F12" s="88" t="str">
        <x:v>NES base MCT</x:v>
      </x:c>
      <x:c r="G12" s="88" t="str">
        <x:v>NES single extractor</x:v>
      </x:c>
      <x:c r="H12" s="87" t="n">
        <x:f>'01 Base Costs'!$B$21</x:f>
        <x:v>500</x:v>
      </x:c>
      <x:c r="I12" s="87" t="n">
        <x:f>'01 Base Costs'!$B$16</x:f>
        <x:v>485</x:v>
      </x:c>
      <x:c r="J12" s="87" t="n">
        <x:f>0</x:f>
        <x:v>0</x:v>
      </x:c>
      <x:c r="K12" s="87" t="n">
        <x:f>D12*(E12-1)*I12</x:f>
        <x:v>485</x:v>
      </x:c>
      <x:c r="L12" s="87" t="n">
        <x:f>D12*(E12-1)*J12</x:f>
        <x:v>0</x:v>
      </x:c>
      <x:c r="M12" s="87" t="n">
        <x:f>0</x:f>
        <x:v>0</x:v>
      </x:c>
      <x:c r="N12" s="87" t="n">
        <x:f>H12+K12+M12</x:f>
        <x:v>985</x:v>
      </x:c>
      <x:c r="O12" s="87" t="n">
        <x:f>N12*'01 Base Costs'!$B$7+L12</x:f>
        <x:v>4737850000</x:v>
      </x:c>
      <x:c r="P12" s="87" t="n">
        <x:f>D12*E12</x:f>
        <x:v>2</x:v>
      </x:c>
      <x:c r="Q12" s="87" t="n">
        <x:f>P12*'01 Base Costs'!$B$12</x:f>
        <x:v>3888000</x:v>
      </x:c>
      <x:c r="R12" s="87" t="n">
        <x:f>'01 Base Costs'!$B$13</x:f>
        <x:v>100000</x:v>
      </x:c>
      <x:c r="S12" s="87" t="n">
        <x:f>Q12+R12</x:f>
        <x:v>3988000</x:v>
      </x:c>
      <x:c r="T12" s="141" t="n">
        <x:f>S12/'01 Base Costs'!$B$14</x:f>
        <x:v>7.976</x:v>
      </x:c>
      <x:c r="U12" s="87" t="n">
        <x:f>INT(T12)</x:f>
        <x:v>7</x:v>
      </x:c>
      <x:c r="V12" s="87" t="n">
        <x:f>S12-U12*'01 Base Costs'!$B$14</x:f>
        <x:v>488000</x:v>
      </x:c>
      <x:c r="W12" s="120" t="n">
        <x:f>'01 Base Costs'!$B$17</x:f>
        <x:v>140</x:v>
      </x:c>
      <x:c r="X12" s="120" t="n">
        <x:f>0</x:f>
        <x:v>0</x:v>
      </x:c>
      <x:c r="Y12" s="87" t="n">
        <x:f>T12*(W12*'01 Base Costs'!$B$7+X12)</x:f>
        <x:v>5371038400</x:v>
      </x:c>
      <x:c r="Z12" s="87" t="n">
        <x:f>T12*'01 Base Costs'!$B$8</x:f>
        <x:v>6005130400</x:v>
      </x:c>
      <x:c r="AA12" s="87" t="n">
        <x:f>Z12*'01 Base Costs'!$B$11</x:f>
        <x:v>300256520</x:v>
      </x:c>
      <x:c r="AB12" s="87" t="n">
        <x:f>Z12-AA12</x:f>
        <x:v>5704873880</x:v>
      </x:c>
      <x:c r="AC12" s="87" t="n">
        <x:f>O12+Y12</x:f>
        <x:v>10108888400</x:v>
      </x:c>
      <x:c r="AD12" s="87" t="n">
        <x:f>AB12-AC12</x:f>
        <x:v>-4404014520</x:v>
      </x:c>
      <x:c r="AE12" s="87" t="n">
        <x:f>AD12/D12</x:f>
        <x:v>-4404014520</x:v>
      </x:c>
      <x:c r="AF12" s="87" t="n">
        <x:f>AD12/P12</x:f>
        <x:v>-2202007260</x:v>
      </x:c>
      <x:c r="AG12" s="87" t="n">
        <x:f>IF(T12=0,0,AC12/T12/(1-'01 Base Costs'!$B$11))</x:f>
        <x:v>1334119252.4943252</x:v>
      </x:c>
      <x:c r="AH12" s="88" t="str">
        <x:f>IF(AD12&gt;0,"PROFIT","LOSS")</x:f>
        <x:v>LOSS</x:v>
      </x:c>
      <x:c r="AI12" s="89" t="str">
        <x:v>Base 1M Omega; includes 100k SP bonus. MCT purchased with PLEX in NES. Base single extractor.</x:v>
      </x:c>
    </x:row>
    <x:row r="13">
      <x:c r="A13" s="86" t="n">
        <x:v>11</x:v>
      </x:c>
      <x:c r="B13" s="88" t="str">
        <x:v>Base</x:v>
      </x:c>
      <x:c r="C13" s="88" t="str">
        <x:v>1M Omega + Bonus Items</x:v>
      </x:c>
      <x:c r="D13" s="88" t="n">
        <x:v>1</x:v>
      </x:c>
      <x:c r="E13" s="88" t="n">
        <x:v>2</x:v>
      </x:c>
      <x:c r="F13" s="88" t="str">
        <x:v>NES base MCT</x:v>
      </x:c>
      <x:c r="G13" s="88" t="str">
        <x:v>NES 5-pack extractor</x:v>
      </x:c>
      <x:c r="H13" s="87" t="n">
        <x:f>'01 Base Costs'!$B$21</x:f>
        <x:v>500</x:v>
      </x:c>
      <x:c r="I13" s="87" t="n">
        <x:f>'01 Base Costs'!$B$16</x:f>
        <x:v>485</x:v>
      </x:c>
      <x:c r="J13" s="87" t="n">
        <x:f>0</x:f>
        <x:v>0</x:v>
      </x:c>
      <x:c r="K13" s="87" t="n">
        <x:f>D13*(E13-1)*I13</x:f>
        <x:v>485</x:v>
      </x:c>
      <x:c r="L13" s="87" t="n">
        <x:f>D13*(E13-1)*J13</x:f>
        <x:v>0</x:v>
      </x:c>
      <x:c r="M13" s="87" t="n">
        <x:f>0</x:f>
        <x:v>0</x:v>
      </x:c>
      <x:c r="N13" s="87" t="n">
        <x:f>H13+K13+M13</x:f>
        <x:v>985</x:v>
      </x:c>
      <x:c r="O13" s="87" t="n">
        <x:f>N13*'01 Base Costs'!$B$7+L13</x:f>
        <x:v>4737850000</x:v>
      </x:c>
      <x:c r="P13" s="87" t="n">
        <x:f>D13*E13</x:f>
        <x:v>2</x:v>
      </x:c>
      <x:c r="Q13" s="87" t="n">
        <x:f>P13*'01 Base Costs'!$B$12</x:f>
        <x:v>3888000</x:v>
      </x:c>
      <x:c r="R13" s="87" t="n">
        <x:f>'01 Base Costs'!$B$13</x:f>
        <x:v>100000</x:v>
      </x:c>
      <x:c r="S13" s="87" t="n">
        <x:f>Q13+R13</x:f>
        <x:v>3988000</x:v>
      </x:c>
      <x:c r="T13" s="141" t="n">
        <x:f>S13/'01 Base Costs'!$B$14</x:f>
        <x:v>7.976</x:v>
      </x:c>
      <x:c r="U13" s="87" t="n">
        <x:f>INT(T13)</x:f>
        <x:v>7</x:v>
      </x:c>
      <x:c r="V13" s="87" t="n">
        <x:f>S13-U13*'01 Base Costs'!$B$14</x:f>
        <x:v>488000</x:v>
      </x:c>
      <x:c r="W13" s="120" t="n">
        <x:f>'01 Base Costs'!$B$18/5</x:f>
        <x:v>126</x:v>
      </x:c>
      <x:c r="X13" s="120" t="n">
        <x:f>0</x:f>
        <x:v>0</x:v>
      </x:c>
      <x:c r="Y13" s="87" t="n">
        <x:f>T13*(W13*'01 Base Costs'!$B$7+X13)</x:f>
        <x:v>4833934560</x:v>
      </x:c>
      <x:c r="Z13" s="87" t="n">
        <x:f>T13*'01 Base Costs'!$B$8</x:f>
        <x:v>6005130400</x:v>
      </x:c>
      <x:c r="AA13" s="87" t="n">
        <x:f>Z13*'01 Base Costs'!$B$11</x:f>
        <x:v>300256520</x:v>
      </x:c>
      <x:c r="AB13" s="87" t="n">
        <x:f>Z13-AA13</x:f>
        <x:v>5704873880</x:v>
      </x:c>
      <x:c r="AC13" s="87" t="n">
        <x:f>O13+Y13</x:f>
        <x:v>9571784560</x:v>
      </x:c>
      <x:c r="AD13" s="87" t="n">
        <x:f>AB13-AC13</x:f>
        <x:v>-3866910680</x:v>
      </x:c>
      <x:c r="AE13" s="87" t="n">
        <x:f>AD13/D13</x:f>
        <x:v>-3866910680</x:v>
      </x:c>
      <x:c r="AF13" s="87" t="n">
        <x:f>AD13/P13</x:f>
        <x:v>-1933455340</x:v>
      </x:c>
      <x:c r="AG13" s="87" t="n">
        <x:f>IF(T13=0,0,AC13/T13/(1-'01 Base Costs'!$B$11))</x:f>
        <x:v>1263235041.9680095</x:v>
      </x:c>
      <x:c r="AH13" s="88" t="str">
        <x:f>IF(AD13&gt;0,"PROFIT","LOSS")</x:f>
        <x:v>LOSS</x:v>
      </x:c>
      <x:c r="AI13" s="89" t="str">
        <x:v>Base 1M Omega; includes 100k SP bonus. MCT purchased with PLEX in NES. Base 5-pack average.</x:v>
      </x:c>
    </x:row>
    <x:row r="14">
      <x:c r="A14" s="86" t="n">
        <x:v>12</x:v>
      </x:c>
      <x:c r="B14" s="88" t="str">
        <x:v>Base</x:v>
      </x:c>
      <x:c r="C14" s="88" t="str">
        <x:v>1M Omega + Bonus Items</x:v>
      </x:c>
      <x:c r="D14" s="88" t="n">
        <x:v>1</x:v>
      </x:c>
      <x:c r="E14" s="88" t="n">
        <x:v>2</x:v>
      </x:c>
      <x:c r="F14" s="88" t="str">
        <x:v>NES base MCT</x:v>
      </x:c>
      <x:c r="G14" s="88" t="str">
        <x:v>NES 10-pack extractor</x:v>
      </x:c>
      <x:c r="H14" s="87" t="n">
        <x:f>'01 Base Costs'!$B$21</x:f>
        <x:v>500</x:v>
      </x:c>
      <x:c r="I14" s="87" t="n">
        <x:f>'01 Base Costs'!$B$16</x:f>
        <x:v>485</x:v>
      </x:c>
      <x:c r="J14" s="87" t="n">
        <x:f>0</x:f>
        <x:v>0</x:v>
      </x:c>
      <x:c r="K14" s="87" t="n">
        <x:f>D14*(E14-1)*I14</x:f>
        <x:v>485</x:v>
      </x:c>
      <x:c r="L14" s="87" t="n">
        <x:f>D14*(E14-1)*J14</x:f>
        <x:v>0</x:v>
      </x:c>
      <x:c r="M14" s="87" t="n">
        <x:f>0</x:f>
        <x:v>0</x:v>
      </x:c>
      <x:c r="N14" s="87" t="n">
        <x:f>H14+K14+M14</x:f>
        <x:v>985</x:v>
      </x:c>
      <x:c r="O14" s="87" t="n">
        <x:f>N14*'01 Base Costs'!$B$7+L14</x:f>
        <x:v>4737850000</x:v>
      </x:c>
      <x:c r="P14" s="87" t="n">
        <x:f>D14*E14</x:f>
        <x:v>2</x:v>
      </x:c>
      <x:c r="Q14" s="87" t="n">
        <x:f>P14*'01 Base Costs'!$B$12</x:f>
        <x:v>3888000</x:v>
      </x:c>
      <x:c r="R14" s="87" t="n">
        <x:f>'01 Base Costs'!$B$13</x:f>
        <x:v>100000</x:v>
      </x:c>
      <x:c r="S14" s="87" t="n">
        <x:f>Q14+R14</x:f>
        <x:v>3988000</x:v>
      </x:c>
      <x:c r="T14" s="141" t="n">
        <x:f>S14/'01 Base Costs'!$B$14</x:f>
        <x:v>7.976</x:v>
      </x:c>
      <x:c r="U14" s="87" t="n">
        <x:f>INT(T14)</x:f>
        <x:v>7</x:v>
      </x:c>
      <x:c r="V14" s="87" t="n">
        <x:f>S14-U14*'01 Base Costs'!$B$14</x:f>
        <x:v>488000</x:v>
      </x:c>
      <x:c r="W14" s="120" t="n">
        <x:f>'01 Base Costs'!$B$19/10</x:f>
        <x:v>119</x:v>
      </x:c>
      <x:c r="X14" s="120" t="n">
        <x:f>0</x:f>
        <x:v>0</x:v>
      </x:c>
      <x:c r="Y14" s="87" t="n">
        <x:f>T14*(W14*'01 Base Costs'!$B$7+X14)</x:f>
        <x:v>4565382640</x:v>
      </x:c>
      <x:c r="Z14" s="87" t="n">
        <x:f>T14*'01 Base Costs'!$B$8</x:f>
        <x:v>6005130400</x:v>
      </x:c>
      <x:c r="AA14" s="87" t="n">
        <x:f>Z14*'01 Base Costs'!$B$11</x:f>
        <x:v>300256520</x:v>
      </x:c>
      <x:c r="AB14" s="87" t="n">
        <x:f>Z14-AA14</x:f>
        <x:v>5704873880</x:v>
      </x:c>
      <x:c r="AC14" s="87" t="n">
        <x:f>O14+Y14</x:f>
        <x:v>9303232640</x:v>
      </x:c>
      <x:c r="AD14" s="87" t="n">
        <x:f>AB14-AC14</x:f>
        <x:v>-3598358760</x:v>
      </x:c>
      <x:c r="AE14" s="87" t="n">
        <x:f>AD14/D14</x:f>
        <x:v>-3598358760</x:v>
      </x:c>
      <x:c r="AF14" s="87" t="n">
        <x:f>AD14/P14</x:f>
        <x:v>-1799179380</x:v>
      </x:c>
      <x:c r="AG14" s="87" t="n">
        <x:f>IF(T14=0,0,AC14/T14/(1-'01 Base Costs'!$B$11))</x:f>
        <x:v>1227792936.7048516</x:v>
      </x:c>
      <x:c r="AH14" s="88" t="str">
        <x:f>IF(AD14&gt;0,"PROFIT","LOSS")</x:f>
        <x:v>LOSS</x:v>
      </x:c>
      <x:c r="AI14" s="89" t="str">
        <x:v>Base 1M Omega; includes 100k SP bonus. MCT purchased with PLEX in NES. Base 10-pack average.</x:v>
      </x:c>
    </x:row>
    <x:row r="15">
      <x:c r="A15" s="86" t="n">
        <x:v>13</x:v>
      </x:c>
      <x:c r="B15" s="88" t="str">
        <x:v>Base</x:v>
      </x:c>
      <x:c r="C15" s="88" t="str">
        <x:v>1M Omega + Bonus Items</x:v>
      </x:c>
      <x:c r="D15" s="88" t="n">
        <x:v>1</x:v>
      </x:c>
      <x:c r="E15" s="88" t="n">
        <x:v>2</x:v>
      </x:c>
      <x:c r="F15" s="88" t="str">
        <x:v>NES base MCT</x:v>
      </x:c>
      <x:c r="G15" s="88" t="str">
        <x:v>NES 50-pack extractor</x:v>
      </x:c>
      <x:c r="H15" s="87" t="n">
        <x:f>'01 Base Costs'!$B$21</x:f>
        <x:v>500</x:v>
      </x:c>
      <x:c r="I15" s="87" t="n">
        <x:f>'01 Base Costs'!$B$16</x:f>
        <x:v>485</x:v>
      </x:c>
      <x:c r="J15" s="87" t="n">
        <x:f>0</x:f>
        <x:v>0</x:v>
      </x:c>
      <x:c r="K15" s="87" t="n">
        <x:f>D15*(E15-1)*I15</x:f>
        <x:v>485</x:v>
      </x:c>
      <x:c r="L15" s="87" t="n">
        <x:f>D15*(E15-1)*J15</x:f>
        <x:v>0</x:v>
      </x:c>
      <x:c r="M15" s="87" t="n">
        <x:f>0</x:f>
        <x:v>0</x:v>
      </x:c>
      <x:c r="N15" s="87" t="n">
        <x:f>H15+K15+M15</x:f>
        <x:v>985</x:v>
      </x:c>
      <x:c r="O15" s="87" t="n">
        <x:f>N15*'01 Base Costs'!$B$7+L15</x:f>
        <x:v>4737850000</x:v>
      </x:c>
      <x:c r="P15" s="87" t="n">
        <x:f>D15*E15</x:f>
        <x:v>2</x:v>
      </x:c>
      <x:c r="Q15" s="87" t="n">
        <x:f>P15*'01 Base Costs'!$B$12</x:f>
        <x:v>3888000</x:v>
      </x:c>
      <x:c r="R15" s="87" t="n">
        <x:f>'01 Base Costs'!$B$13</x:f>
        <x:v>100000</x:v>
      </x:c>
      <x:c r="S15" s="87" t="n">
        <x:f>Q15+R15</x:f>
        <x:v>3988000</x:v>
      </x:c>
      <x:c r="T15" s="141" t="n">
        <x:f>S15/'01 Base Costs'!$B$14</x:f>
        <x:v>7.976</x:v>
      </x:c>
      <x:c r="U15" s="87" t="n">
        <x:f>INT(T15)</x:f>
        <x:v>7</x:v>
      </x:c>
      <x:c r="V15" s="87" t="n">
        <x:f>S15-U15*'01 Base Costs'!$B$14</x:f>
        <x:v>488000</x:v>
      </x:c>
      <x:c r="W15" s="120" t="n">
        <x:f>'01 Base Costs'!$B$20/50</x:f>
        <x:v>112</x:v>
      </x:c>
      <x:c r="X15" s="120" t="n">
        <x:f>0</x:f>
        <x:v>0</x:v>
      </x:c>
      <x:c r="Y15" s="87" t="n">
        <x:f>T15*(W15*'01 Base Costs'!$B$7+X15)</x:f>
        <x:v>4296830720</x:v>
      </x:c>
      <x:c r="Z15" s="87" t="n">
        <x:f>T15*'01 Base Costs'!$B$8</x:f>
        <x:v>6005130400</x:v>
      </x:c>
      <x:c r="AA15" s="87" t="n">
        <x:f>Z15*'01 Base Costs'!$B$11</x:f>
        <x:v>300256520</x:v>
      </x:c>
      <x:c r="AB15" s="87" t="n">
        <x:f>Z15-AA15</x:f>
        <x:v>5704873880</x:v>
      </x:c>
      <x:c r="AC15" s="87" t="n">
        <x:f>O15+Y15</x:f>
        <x:v>9034680720</x:v>
      </x:c>
      <x:c r="AD15" s="87" t="n">
        <x:f>AB15-AC15</x:f>
        <x:v>-3329806840</x:v>
      </x:c>
      <x:c r="AE15" s="87" t="n">
        <x:f>AD15/D15</x:f>
        <x:v>-3329806840</x:v>
      </x:c>
      <x:c r="AF15" s="87" t="n">
        <x:f>AD15/P15</x:f>
        <x:v>-1664903420</x:v>
      </x:c>
      <x:c r="AG15" s="87" t="n">
        <x:f>IF(T15=0,0,AC15/T15/(1-'01 Base Costs'!$B$11))</x:f>
        <x:v>1192350831.4416935</x:v>
      </x:c>
      <x:c r="AH15" s="88" t="str">
        <x:f>IF(AD15&gt;0,"PROFIT","LOSS")</x:f>
        <x:v>LOSS</x:v>
      </x:c>
      <x:c r="AI15" s="89" t="str">
        <x:v>Base 1M Omega; includes 100k SP bonus. MCT purchased with PLEX in NES. Base 50-pack average.</x:v>
      </x:c>
    </x:row>
    <x:row r="16">
      <x:c r="A16" s="86" t="n">
        <x:v>14</x:v>
      </x:c>
      <x:c r="B16" s="88" t="str">
        <x:v>Base</x:v>
      </x:c>
      <x:c r="C16" s="88" t="str">
        <x:v>1M Omega + Bonus Items</x:v>
      </x:c>
      <x:c r="D16" s="88" t="n">
        <x:v>1</x:v>
      </x:c>
      <x:c r="E16" s="88" t="n">
        <x:v>2</x:v>
      </x:c>
      <x:c r="F16" s="88" t="str">
        <x:v>NES base MCT</x:v>
      </x:c>
      <x:c r="G16" s="88" t="str">
        <x:v>NES 3-for-2 extractor sale</x:v>
      </x:c>
      <x:c r="H16" s="87" t="n">
        <x:f>'01 Base Costs'!$B$21</x:f>
        <x:v>500</x:v>
      </x:c>
      <x:c r="I16" s="87" t="n">
        <x:f>'01 Base Costs'!$B$16</x:f>
        <x:v>485</x:v>
      </x:c>
      <x:c r="J16" s="87" t="n">
        <x:f>0</x:f>
        <x:v>0</x:v>
      </x:c>
      <x:c r="K16" s="87" t="n">
        <x:f>D16*(E16-1)*I16</x:f>
        <x:v>485</x:v>
      </x:c>
      <x:c r="L16" s="87" t="n">
        <x:f>D16*(E16-1)*J16</x:f>
        <x:v>0</x:v>
      </x:c>
      <x:c r="M16" s="87" t="n">
        <x:f>0</x:f>
        <x:v>0</x:v>
      </x:c>
      <x:c r="N16" s="87" t="n">
        <x:f>H16+K16+M16</x:f>
        <x:v>985</x:v>
      </x:c>
      <x:c r="O16" s="87" t="n">
        <x:f>N16*'01 Base Costs'!$B$7+L16</x:f>
        <x:v>4737850000</x:v>
      </x:c>
      <x:c r="P16" s="87" t="n">
        <x:f>D16*E16</x:f>
        <x:v>2</x:v>
      </x:c>
      <x:c r="Q16" s="87" t="n">
        <x:f>P16*'01 Base Costs'!$B$12</x:f>
        <x:v>3888000</x:v>
      </x:c>
      <x:c r="R16" s="87" t="n">
        <x:f>'01 Base Costs'!$B$13</x:f>
        <x:v>100000</x:v>
      </x:c>
      <x:c r="S16" s="87" t="n">
        <x:f>Q16+R16</x:f>
        <x:v>3988000</x:v>
      </x:c>
      <x:c r="T16" s="141" t="n">
        <x:f>S16/'01 Base Costs'!$B$14</x:f>
        <x:v>7.976</x:v>
      </x:c>
      <x:c r="U16" s="87" t="n">
        <x:f>INT(T16)</x:f>
        <x:v>7</x:v>
      </x:c>
      <x:c r="V16" s="87" t="n">
        <x:f>S16-U16*'01 Base Costs'!$B$14</x:f>
        <x:v>488000</x:v>
      </x:c>
      <x:c r="W16" s="120" t="n">
        <x:f>'01 Base Costs'!$B$17*2/3</x:f>
        <x:v>93.33333333333333</x:v>
      </x:c>
      <x:c r="X16" s="120" t="n">
        <x:f>0</x:f>
        <x:v>0</x:v>
      </x:c>
      <x:c r="Y16" s="87" t="n">
        <x:f>T16*(W16*'01 Base Costs'!$B$7+X16)</x:f>
        <x:v>3580692266.6666665</x:v>
      </x:c>
      <x:c r="Z16" s="87" t="n">
        <x:f>T16*'01 Base Costs'!$B$8</x:f>
        <x:v>6005130400</x:v>
      </x:c>
      <x:c r="AA16" s="87" t="n">
        <x:f>Z16*'01 Base Costs'!$B$11</x:f>
        <x:v>300256520</x:v>
      </x:c>
      <x:c r="AB16" s="87" t="n">
        <x:f>Z16-AA16</x:f>
        <x:v>5704873880</x:v>
      </x:c>
      <x:c r="AC16" s="87" t="n">
        <x:f>O16+Y16</x:f>
        <x:v>8318542266.666666</x:v>
      </x:c>
      <x:c r="AD16" s="87" t="n">
        <x:f>AB16-AC16</x:f>
        <x:v>-2613668386.666666</x:v>
      </x:c>
      <x:c r="AE16" s="87" t="n">
        <x:f>AD16/D16</x:f>
        <x:v>-2613668386.666666</x:v>
      </x:c>
      <x:c r="AF16" s="87" t="n">
        <x:f>AD16/P16</x:f>
        <x:v>-1306834193.333333</x:v>
      </x:c>
      <x:c r="AG16" s="87" t="n">
        <x:f>IF(T16=0,0,AC16/T16/(1-'01 Base Costs'!$B$11))</x:f>
        <x:v>1097838550.7399392</x:v>
      </x:c>
      <x:c r="AH16" s="88" t="str">
        <x:f>IF(AD16&gt;0,"PROFIT","LOSS")</x:f>
        <x:v>LOSS</x:v>
      </x:c>
      <x:c r="AI16" s="89" t="str">
        <x:v>Base 1M Omega; includes 100k SP bonus. MCT purchased with PLEX in NES. Extractor 3-for-2 sale.</x:v>
      </x:c>
    </x:row>
    <x:row r="17">
      <x:c r="A17" s="86" t="n">
        <x:v>15</x:v>
      </x:c>
      <x:c r="B17" s="88" t="str">
        <x:v>Base</x:v>
      </x:c>
      <x:c r="C17" s="88" t="str">
        <x:v>1M Omega + Bonus Items</x:v>
      </x:c>
      <x:c r="D17" s="88" t="n">
        <x:v>1</x:v>
      </x:c>
      <x:c r="E17" s="88" t="n">
        <x:v>2</x:v>
      </x:c>
      <x:c r="F17" s="88" t="str">
        <x:v>NES base MCT</x:v>
      </x:c>
      <x:c r="G17" s="88" t="str">
        <x:v>NES 2-for-1 extractor sale</x:v>
      </x:c>
      <x:c r="H17" s="87" t="n">
        <x:f>'01 Base Costs'!$B$21</x:f>
        <x:v>500</x:v>
      </x:c>
      <x:c r="I17" s="87" t="n">
        <x:f>'01 Base Costs'!$B$16</x:f>
        <x:v>485</x:v>
      </x:c>
      <x:c r="J17" s="87" t="n">
        <x:f>0</x:f>
        <x:v>0</x:v>
      </x:c>
      <x:c r="K17" s="87" t="n">
        <x:f>D17*(E17-1)*I17</x:f>
        <x:v>485</x:v>
      </x:c>
      <x:c r="L17" s="87" t="n">
        <x:f>D17*(E17-1)*J17</x:f>
        <x:v>0</x:v>
      </x:c>
      <x:c r="M17" s="87" t="n">
        <x:f>0</x:f>
        <x:v>0</x:v>
      </x:c>
      <x:c r="N17" s="87" t="n">
        <x:f>H17+K17+M17</x:f>
        <x:v>985</x:v>
      </x:c>
      <x:c r="O17" s="87" t="n">
        <x:f>N17*'01 Base Costs'!$B$7+L17</x:f>
        <x:v>4737850000</x:v>
      </x:c>
      <x:c r="P17" s="87" t="n">
        <x:f>D17*E17</x:f>
        <x:v>2</x:v>
      </x:c>
      <x:c r="Q17" s="87" t="n">
        <x:f>P17*'01 Base Costs'!$B$12</x:f>
        <x:v>3888000</x:v>
      </x:c>
      <x:c r="R17" s="87" t="n">
        <x:f>'01 Base Costs'!$B$13</x:f>
        <x:v>100000</x:v>
      </x:c>
      <x:c r="S17" s="87" t="n">
        <x:f>Q17+R17</x:f>
        <x:v>3988000</x:v>
      </x:c>
      <x:c r="T17" s="141" t="n">
        <x:f>S17/'01 Base Costs'!$B$14</x:f>
        <x:v>7.976</x:v>
      </x:c>
      <x:c r="U17" s="87" t="n">
        <x:f>INT(T17)</x:f>
        <x:v>7</x:v>
      </x:c>
      <x:c r="V17" s="87" t="n">
        <x:f>S17-U17*'01 Base Costs'!$B$14</x:f>
        <x:v>488000</x:v>
      </x:c>
      <x:c r="W17" s="120" t="n">
        <x:f>'01 Base Costs'!$B$17/2</x:f>
        <x:v>70</x:v>
      </x:c>
      <x:c r="X17" s="120" t="n">
        <x:f>0</x:f>
        <x:v>0</x:v>
      </x:c>
      <x:c r="Y17" s="87" t="n">
        <x:f>T17*(W17*'01 Base Costs'!$B$7+X17)</x:f>
        <x:v>2685519200</x:v>
      </x:c>
      <x:c r="Z17" s="87" t="n">
        <x:f>T17*'01 Base Costs'!$B$8</x:f>
        <x:v>6005130400</x:v>
      </x:c>
      <x:c r="AA17" s="87" t="n">
        <x:f>Z17*'01 Base Costs'!$B$11</x:f>
        <x:v>300256520</x:v>
      </x:c>
      <x:c r="AB17" s="87" t="n">
        <x:f>Z17-AA17</x:f>
        <x:v>5704873880</x:v>
      </x:c>
      <x:c r="AC17" s="87" t="n">
        <x:f>O17+Y17</x:f>
        <x:v>7423369200</x:v>
      </x:c>
      <x:c r="AD17" s="87" t="n">
        <x:f>AB17-AC17</x:f>
        <x:v>-1718495320</x:v>
      </x:c>
      <x:c r="AE17" s="87" t="n">
        <x:f>AD17/D17</x:f>
        <x:v>-1718495320</x:v>
      </x:c>
      <x:c r="AF17" s="87" t="n">
        <x:f>AD17/P17</x:f>
        <x:v>-859247660</x:v>
      </x:c>
      <x:c r="AG17" s="87" t="n">
        <x:f>IF(T17=0,0,AC17/T17/(1-'01 Base Costs'!$B$11))</x:f>
        <x:v>979698199.8627462</x:v>
      </x:c>
      <x:c r="AH17" s="88" t="str">
        <x:f>IF(AD17&gt;0,"PROFIT","LOSS")</x:f>
        <x:v>LOSS</x:v>
      </x:c>
      <x:c r="AI17" s="89" t="str">
        <x:v>Base 1M Omega; includes 100k SP bonus. MCT purchased with PLEX in NES. Extractor 2-for-1 sale.</x:v>
      </x:c>
    </x:row>
    <x:row r="18">
      <x:c r="A18" s="86" t="n">
        <x:v>16</x:v>
      </x:c>
      <x:c r="B18" s="88" t="str">
        <x:v>Base</x:v>
      </x:c>
      <x:c r="C18" s="88" t="str">
        <x:v>1M Omega + Bonus Items</x:v>
      </x:c>
      <x:c r="D18" s="88" t="n">
        <x:v>1</x:v>
      </x:c>
      <x:c r="E18" s="88" t="n">
        <x:v>2</x:v>
      </x:c>
      <x:c r="F18" s="88" t="str">
        <x:v>NES base MCT</x:v>
      </x:c>
      <x:c r="G18" s="88" t="str">
        <x:v>NES 10-pack extractor 20% sale</x:v>
      </x:c>
      <x:c r="H18" s="87" t="n">
        <x:f>'01 Base Costs'!$B$21</x:f>
        <x:v>500</x:v>
      </x:c>
      <x:c r="I18" s="87" t="n">
        <x:f>'01 Base Costs'!$B$16</x:f>
        <x:v>485</x:v>
      </x:c>
      <x:c r="J18" s="87" t="n">
        <x:f>0</x:f>
        <x:v>0</x:v>
      </x:c>
      <x:c r="K18" s="87" t="n">
        <x:f>D18*(E18-1)*I18</x:f>
        <x:v>485</x:v>
      </x:c>
      <x:c r="L18" s="87" t="n">
        <x:f>D18*(E18-1)*J18</x:f>
        <x:v>0</x:v>
      </x:c>
      <x:c r="M18" s="87" t="n">
        <x:f>0</x:f>
        <x:v>0</x:v>
      </x:c>
      <x:c r="N18" s="87" t="n">
        <x:f>H18+K18+M18</x:f>
        <x:v>985</x:v>
      </x:c>
      <x:c r="O18" s="87" t="n">
        <x:f>N18*'01 Base Costs'!$B$7+L18</x:f>
        <x:v>4737850000</x:v>
      </x:c>
      <x:c r="P18" s="87" t="n">
        <x:f>D18*E18</x:f>
        <x:v>2</x:v>
      </x:c>
      <x:c r="Q18" s="87" t="n">
        <x:f>P18*'01 Base Costs'!$B$12</x:f>
        <x:v>3888000</x:v>
      </x:c>
      <x:c r="R18" s="87" t="n">
        <x:f>'01 Base Costs'!$B$13</x:f>
        <x:v>100000</x:v>
      </x:c>
      <x:c r="S18" s="87" t="n">
        <x:f>Q18+R18</x:f>
        <x:v>3988000</x:v>
      </x:c>
      <x:c r="T18" s="141" t="n">
        <x:f>S18/'01 Base Costs'!$B$14</x:f>
        <x:v>7.976</x:v>
      </x:c>
      <x:c r="U18" s="87" t="n">
        <x:f>INT(T18)</x:f>
        <x:v>7</x:v>
      </x:c>
      <x:c r="V18" s="87" t="n">
        <x:f>S18-U18*'01 Base Costs'!$B$14</x:f>
        <x:v>488000</x:v>
      </x:c>
      <x:c r="W18" s="120" t="n">
        <x:f>'01 Base Costs'!$B$19*0.8/10</x:f>
        <x:v>95.2</x:v>
      </x:c>
      <x:c r="X18" s="120" t="n">
        <x:f>0</x:f>
        <x:v>0</x:v>
      </x:c>
      <x:c r="Y18" s="87" t="n">
        <x:f>T18*(W18*'01 Base Costs'!$B$7+X18)</x:f>
        <x:v>3652306112</x:v>
      </x:c>
      <x:c r="Z18" s="87" t="n">
        <x:f>T18*'01 Base Costs'!$B$8</x:f>
        <x:v>6005130400</x:v>
      </x:c>
      <x:c r="AA18" s="87" t="n">
        <x:f>Z18*'01 Base Costs'!$B$11</x:f>
        <x:v>300256520</x:v>
      </x:c>
      <x:c r="AB18" s="87" t="n">
        <x:f>Z18-AA18</x:f>
        <x:v>5704873880</x:v>
      </x:c>
      <x:c r="AC18" s="87" t="n">
        <x:f>O18+Y18</x:f>
        <x:v>8390156112</x:v>
      </x:c>
      <x:c r="AD18" s="87" t="n">
        <x:f>AB18-AC18</x:f>
        <x:v>-2685282232</x:v>
      </x:c>
      <x:c r="AE18" s="87" t="n">
        <x:f>AD18/D18</x:f>
        <x:v>-2685282232</x:v>
      </x:c>
      <x:c r="AF18" s="87" t="n">
        <x:f>AD18/P18</x:f>
        <x:v>-1342641116</x:v>
      </x:c>
      <x:c r="AG18" s="87" t="n">
        <x:f>IF(T18=0,0,AC18/T18/(1-'01 Base Costs'!$B$11))</x:f>
        <x:v>1107289778.8101146</x:v>
      </x:c>
      <x:c r="AH18" s="88" t="str">
        <x:f>IF(AD18&gt;0,"PROFIT","LOSS")</x:f>
        <x:v>LOSS</x:v>
      </x:c>
      <x:c r="AI18" s="89" t="str">
        <x:v>Base 1M Omega; includes 100k SP bonus. MCT purchased with PLEX in NES. 10-pack at 20% off.</x:v>
      </x:c>
    </x:row>
    <x:row r="19">
      <x:c r="A19" s="86" t="n">
        <x:v>17</x:v>
      </x:c>
      <x:c r="B19" s="88" t="str">
        <x:v>Base</x:v>
      </x:c>
      <x:c r="C19" s="88" t="str">
        <x:v>1M Omega + Bonus Items</x:v>
      </x:c>
      <x:c r="D19" s="88" t="n">
        <x:v>1</x:v>
      </x:c>
      <x:c r="E19" s="88" t="n">
        <x:v>2</x:v>
      </x:c>
      <x:c r="F19" s="88" t="str">
        <x:v>NES base MCT</x:v>
      </x:c>
      <x:c r="G19" s="88" t="str">
        <x:v>NES 50-pack extractor 20% sale</x:v>
      </x:c>
      <x:c r="H19" s="87" t="n">
        <x:f>'01 Base Costs'!$B$21</x:f>
        <x:v>500</x:v>
      </x:c>
      <x:c r="I19" s="87" t="n">
        <x:f>'01 Base Costs'!$B$16</x:f>
        <x:v>485</x:v>
      </x:c>
      <x:c r="J19" s="87" t="n">
        <x:f>0</x:f>
        <x:v>0</x:v>
      </x:c>
      <x:c r="K19" s="87" t="n">
        <x:f>D19*(E19-1)*I19</x:f>
        <x:v>485</x:v>
      </x:c>
      <x:c r="L19" s="87" t="n">
        <x:f>D19*(E19-1)*J19</x:f>
        <x:v>0</x:v>
      </x:c>
      <x:c r="M19" s="87" t="n">
        <x:f>0</x:f>
        <x:v>0</x:v>
      </x:c>
      <x:c r="N19" s="87" t="n">
        <x:f>H19+K19+M19</x:f>
        <x:v>985</x:v>
      </x:c>
      <x:c r="O19" s="87" t="n">
        <x:f>N19*'01 Base Costs'!$B$7+L19</x:f>
        <x:v>4737850000</x:v>
      </x:c>
      <x:c r="P19" s="87" t="n">
        <x:f>D19*E19</x:f>
        <x:v>2</x:v>
      </x:c>
      <x:c r="Q19" s="87" t="n">
        <x:f>P19*'01 Base Costs'!$B$12</x:f>
        <x:v>3888000</x:v>
      </x:c>
      <x:c r="R19" s="87" t="n">
        <x:f>'01 Base Costs'!$B$13</x:f>
        <x:v>100000</x:v>
      </x:c>
      <x:c r="S19" s="87" t="n">
        <x:f>Q19+R19</x:f>
        <x:v>3988000</x:v>
      </x:c>
      <x:c r="T19" s="141" t="n">
        <x:f>S19/'01 Base Costs'!$B$14</x:f>
        <x:v>7.976</x:v>
      </x:c>
      <x:c r="U19" s="87" t="n">
        <x:f>INT(T19)</x:f>
        <x:v>7</x:v>
      </x:c>
      <x:c r="V19" s="87" t="n">
        <x:f>S19-U19*'01 Base Costs'!$B$14</x:f>
        <x:v>488000</x:v>
      </x:c>
      <x:c r="W19" s="120" t="n">
        <x:f>'01 Base Costs'!$B$20*0.8/50</x:f>
        <x:v>89.6</x:v>
      </x:c>
      <x:c r="X19" s="120" t="n">
        <x:f>0</x:f>
        <x:v>0</x:v>
      </x:c>
      <x:c r="Y19" s="87" t="n">
        <x:f>T19*(W19*'01 Base Costs'!$B$7+X19)</x:f>
        <x:v>3437464576</x:v>
      </x:c>
      <x:c r="Z19" s="87" t="n">
        <x:f>T19*'01 Base Costs'!$B$8</x:f>
        <x:v>6005130400</x:v>
      </x:c>
      <x:c r="AA19" s="87" t="n">
        <x:f>Z19*'01 Base Costs'!$B$11</x:f>
        <x:v>300256520</x:v>
      </x:c>
      <x:c r="AB19" s="87" t="n">
        <x:f>Z19-AA19</x:f>
        <x:v>5704873880</x:v>
      </x:c>
      <x:c r="AC19" s="87" t="n">
        <x:f>O19+Y19</x:f>
        <x:v>8175314576</x:v>
      </x:c>
      <x:c r="AD19" s="87" t="n">
        <x:f>AB19-AC19</x:f>
        <x:v>-2470440696</x:v>
      </x:c>
      <x:c r="AE19" s="87" t="n">
        <x:f>AD19/D19</x:f>
        <x:v>-2470440696</x:v>
      </x:c>
      <x:c r="AF19" s="87" t="n">
        <x:f>AD19/P19</x:f>
        <x:v>-1235220348</x:v>
      </x:c>
      <x:c r="AG19" s="87" t="n">
        <x:f>IF(T19=0,0,AC19/T19/(1-'01 Base Costs'!$B$11))</x:f>
        <x:v>1078936094.5995884</x:v>
      </x:c>
      <x:c r="AH19" s="88" t="str">
        <x:f>IF(AD19&gt;0,"PROFIT","LOSS")</x:f>
        <x:v>LOSS</x:v>
      </x:c>
      <x:c r="AI19" s="89" t="str">
        <x:v>Base 1M Omega; includes 100k SP bonus. MCT purchased with PLEX in NES. 50-pack at 20% off.</x:v>
      </x:c>
    </x:row>
    <x:row r="20">
      <x:c r="A20" s="86" t="n">
        <x:v>18</x:v>
      </x:c>
      <x:c r="B20" s="88" t="str">
        <x:v>Base</x:v>
      </x:c>
      <x:c r="C20" s="88" t="str">
        <x:v>1M Omega + Bonus Items</x:v>
      </x:c>
      <x:c r="D20" s="88" t="n">
        <x:v>1</x:v>
      </x:c>
      <x:c r="E20" s="88" t="n">
        <x:v>2</x:v>
      </x:c>
      <x:c r="F20" s="88" t="str">
        <x:v>NES base MCT</x:v>
      </x:c>
      <x:c r="G20" s="88" t="str">
        <x:v>Market Skill Extractor</x:v>
      </x:c>
      <x:c r="H20" s="87" t="n">
        <x:f>'01 Base Costs'!$B$21</x:f>
        <x:v>500</x:v>
      </x:c>
      <x:c r="I20" s="87" t="n">
        <x:f>'01 Base Costs'!$B$16</x:f>
        <x:v>485</x:v>
      </x:c>
      <x:c r="J20" s="87" t="n">
        <x:f>0</x:f>
        <x:v>0</x:v>
      </x:c>
      <x:c r="K20" s="87" t="n">
        <x:f>D20*(E20-1)*I20</x:f>
        <x:v>485</x:v>
      </x:c>
      <x:c r="L20" s="87" t="n">
        <x:f>D20*(E20-1)*J20</x:f>
        <x:v>0</x:v>
      </x:c>
      <x:c r="M20" s="87" t="n">
        <x:f>0</x:f>
        <x:v>0</x:v>
      </x:c>
      <x:c r="N20" s="87" t="n">
        <x:f>H20+K20+M20</x:f>
        <x:v>985</x:v>
      </x:c>
      <x:c r="O20" s="87" t="n">
        <x:f>N20*'01 Base Costs'!$B$7+L20</x:f>
        <x:v>4737850000</x:v>
      </x:c>
      <x:c r="P20" s="87" t="n">
        <x:f>D20*E20</x:f>
        <x:v>2</x:v>
      </x:c>
      <x:c r="Q20" s="87" t="n">
        <x:f>P20*'01 Base Costs'!$B$12</x:f>
        <x:v>3888000</x:v>
      </x:c>
      <x:c r="R20" s="87" t="n">
        <x:f>'01 Base Costs'!$B$13</x:f>
        <x:v>100000</x:v>
      </x:c>
      <x:c r="S20" s="87" t="n">
        <x:f>Q20+R20</x:f>
        <x:v>3988000</x:v>
      </x:c>
      <x:c r="T20" s="141" t="n">
        <x:f>S20/'01 Base Costs'!$B$14</x:f>
        <x:v>7.976</x:v>
      </x:c>
      <x:c r="U20" s="87" t="n">
        <x:f>INT(T20)</x:f>
        <x:v>7</x:v>
      </x:c>
      <x:c r="V20" s="87" t="n">
        <x:f>S20-U20*'01 Base Costs'!$B$14</x:f>
        <x:v>488000</x:v>
      </x:c>
      <x:c r="W20" s="120" t="n">
        <x:f>0</x:f>
        <x:v>0</x:v>
      </x:c>
      <x:c r="X20" s="120" t="n">
        <x:f>'01 Base Costs'!$B$9</x:f>
        <x:v>463500000</x:v>
      </x:c>
      <x:c r="Y20" s="87" t="n">
        <x:f>T20*(W20*'01 Base Costs'!$B$7+X20)</x:f>
        <x:v>3696876000</x:v>
      </x:c>
      <x:c r="Z20" s="87" t="n">
        <x:f>T20*'01 Base Costs'!$B$8</x:f>
        <x:v>6005130400</x:v>
      </x:c>
      <x:c r="AA20" s="87" t="n">
        <x:f>Z20*'01 Base Costs'!$B$11</x:f>
        <x:v>300256520</x:v>
      </x:c>
      <x:c r="AB20" s="87" t="n">
        <x:f>Z20-AA20</x:f>
        <x:v>5704873880</x:v>
      </x:c>
      <x:c r="AC20" s="87" t="n">
        <x:f>O20+Y20</x:f>
        <x:v>8434726000</x:v>
      </x:c>
      <x:c r="AD20" s="87" t="n">
        <x:f>AB20-AC20</x:f>
        <x:v>-2729852120</x:v>
      </x:c>
      <x:c r="AE20" s="87" t="n">
        <x:f>AD20/D20</x:f>
        <x:v>-2729852120</x:v>
      </x:c>
      <x:c r="AF20" s="87" t="n">
        <x:f>AD20/P20</x:f>
        <x:v>-1364926060</x:v>
      </x:c>
      <x:c r="AG20" s="87" t="n">
        <x:f>IF(T20=0,0,AC20/T20/(1-'01 Base Costs'!$B$11))</x:f>
        <x:v>1113171884.0732725</x:v>
      </x:c>
      <x:c r="AH20" s="88" t="str">
        <x:f>IF(AD20&gt;0,"PROFIT","LOSS")</x:f>
        <x:v>LOSS</x:v>
      </x:c>
      <x:c r="AI20" s="89" t="str">
        <x:v>Base 1M Omega; includes 100k SP bonus. MCT purchased with PLEX in NES. Extractor bought on market with ISK.</x:v>
      </x:c>
    </x:row>
    <x:row r="21">
      <x:c r="A21" s="86" t="n">
        <x:v>19</x:v>
      </x:c>
      <x:c r="B21" s="88" t="str">
        <x:v>Base</x:v>
      </x:c>
      <x:c r="C21" s="88" t="str">
        <x:v>1M Omega + Bonus Items</x:v>
      </x:c>
      <x:c r="D21" s="88" t="n">
        <x:v>1</x:v>
      </x:c>
      <x:c r="E21" s="88" t="n">
        <x:v>2</x:v>
      </x:c>
      <x:c r="F21" s="88" t="str">
        <x:v>NES MCT 20% sale</x:v>
      </x:c>
      <x:c r="G21" s="88" t="str">
        <x:v>NES single extractor</x:v>
      </x:c>
      <x:c r="H21" s="87" t="n">
        <x:f>'01 Base Costs'!$B$21</x:f>
        <x:v>500</x:v>
      </x:c>
      <x:c r="I21" s="87" t="n">
        <x:f>'01 Base Costs'!$B$16*0.8</x:f>
        <x:v>388</x:v>
      </x:c>
      <x:c r="J21" s="87" t="n">
        <x:f>0</x:f>
        <x:v>0</x:v>
      </x:c>
      <x:c r="K21" s="87" t="n">
        <x:f>D21*(E21-1)*I21</x:f>
        <x:v>388</x:v>
      </x:c>
      <x:c r="L21" s="87" t="n">
        <x:f>D21*(E21-1)*J21</x:f>
        <x:v>0</x:v>
      </x:c>
      <x:c r="M21" s="87" t="n">
        <x:f>0</x:f>
        <x:v>0</x:v>
      </x:c>
      <x:c r="N21" s="87" t="n">
        <x:f>H21+K21+M21</x:f>
        <x:v>888</x:v>
      </x:c>
      <x:c r="O21" s="87" t="n">
        <x:f>N21*'01 Base Costs'!$B$7+L21</x:f>
        <x:v>4271280000</x:v>
      </x:c>
      <x:c r="P21" s="87" t="n">
        <x:f>D21*E21</x:f>
        <x:v>2</x:v>
      </x:c>
      <x:c r="Q21" s="87" t="n">
        <x:f>P21*'01 Base Costs'!$B$12</x:f>
        <x:v>3888000</x:v>
      </x:c>
      <x:c r="R21" s="87" t="n">
        <x:f>'01 Base Costs'!$B$13</x:f>
        <x:v>100000</x:v>
      </x:c>
      <x:c r="S21" s="87" t="n">
        <x:f>Q21+R21</x:f>
        <x:v>3988000</x:v>
      </x:c>
      <x:c r="T21" s="141" t="n">
        <x:f>S21/'01 Base Costs'!$B$14</x:f>
        <x:v>7.976</x:v>
      </x:c>
      <x:c r="U21" s="87" t="n">
        <x:f>INT(T21)</x:f>
        <x:v>7</x:v>
      </x:c>
      <x:c r="V21" s="87" t="n">
        <x:f>S21-U21*'01 Base Costs'!$B$14</x:f>
        <x:v>488000</x:v>
      </x:c>
      <x:c r="W21" s="120" t="n">
        <x:f>'01 Base Costs'!$B$17</x:f>
        <x:v>140</x:v>
      </x:c>
      <x:c r="X21" s="120" t="n">
        <x:f>0</x:f>
        <x:v>0</x:v>
      </x:c>
      <x:c r="Y21" s="87" t="n">
        <x:f>T21*(W21*'01 Base Costs'!$B$7+X21)</x:f>
        <x:v>5371038400</x:v>
      </x:c>
      <x:c r="Z21" s="87" t="n">
        <x:f>T21*'01 Base Costs'!$B$8</x:f>
        <x:v>6005130400</x:v>
      </x:c>
      <x:c r="AA21" s="87" t="n">
        <x:f>Z21*'01 Base Costs'!$B$11</x:f>
        <x:v>300256520</x:v>
      </x:c>
      <x:c r="AB21" s="87" t="n">
        <x:f>Z21-AA21</x:f>
        <x:v>5704873880</x:v>
      </x:c>
      <x:c r="AC21" s="87" t="n">
        <x:f>O21+Y21</x:f>
        <x:v>9642318400</x:v>
      </x:c>
      <x:c r="AD21" s="87" t="n">
        <x:f>AB21-AC21</x:f>
        <x:v>-3937444520</x:v>
      </x:c>
      <x:c r="AE21" s="87" t="n">
        <x:f>AD21/D21</x:f>
        <x:v>-3937444520</x:v>
      </x:c>
      <x:c r="AF21" s="87" t="n">
        <x:f>AD21/P21</x:f>
        <x:v>-1968722260</x:v>
      </x:c>
      <x:c r="AG21" s="87" t="n">
        <x:f>IF(T21=0,0,AC21/T21/(1-'01 Base Costs'!$B$11))</x:f>
        <x:v>1272543736.4725757</x:v>
      </x:c>
      <x:c r="AH21" s="88" t="str">
        <x:f>IF(AD21&gt;0,"PROFIT","LOSS")</x:f>
        <x:v>LOSS</x:v>
      </x:c>
      <x:c r="AI21" s="89" t="str">
        <x:v>Base 1M Omega; includes 100k SP bonus. MCT sale 20% off. Base single extractor.</x:v>
      </x:c>
    </x:row>
    <x:row r="22">
      <x:c r="A22" s="86" t="n">
        <x:v>20</x:v>
      </x:c>
      <x:c r="B22" s="88" t="str">
        <x:v>Base</x:v>
      </x:c>
      <x:c r="C22" s="88" t="str">
        <x:v>1M Omega + Bonus Items</x:v>
      </x:c>
      <x:c r="D22" s="88" t="n">
        <x:v>1</x:v>
      </x:c>
      <x:c r="E22" s="88" t="n">
        <x:v>2</x:v>
      </x:c>
      <x:c r="F22" s="88" t="str">
        <x:v>NES MCT 20% sale</x:v>
      </x:c>
      <x:c r="G22" s="88" t="str">
        <x:v>NES 5-pack extractor</x:v>
      </x:c>
      <x:c r="H22" s="87" t="n">
        <x:f>'01 Base Costs'!$B$21</x:f>
        <x:v>500</x:v>
      </x:c>
      <x:c r="I22" s="87" t="n">
        <x:f>'01 Base Costs'!$B$16*0.8</x:f>
        <x:v>388</x:v>
      </x:c>
      <x:c r="J22" s="87" t="n">
        <x:f>0</x:f>
        <x:v>0</x:v>
      </x:c>
      <x:c r="K22" s="87" t="n">
        <x:f>D22*(E22-1)*I22</x:f>
        <x:v>388</x:v>
      </x:c>
      <x:c r="L22" s="87" t="n">
        <x:f>D22*(E22-1)*J22</x:f>
        <x:v>0</x:v>
      </x:c>
      <x:c r="M22" s="87" t="n">
        <x:f>0</x:f>
        <x:v>0</x:v>
      </x:c>
      <x:c r="N22" s="87" t="n">
        <x:f>H22+K22+M22</x:f>
        <x:v>888</x:v>
      </x:c>
      <x:c r="O22" s="87" t="n">
        <x:f>N22*'01 Base Costs'!$B$7+L22</x:f>
        <x:v>4271280000</x:v>
      </x:c>
      <x:c r="P22" s="87" t="n">
        <x:f>D22*E22</x:f>
        <x:v>2</x:v>
      </x:c>
      <x:c r="Q22" s="87" t="n">
        <x:f>P22*'01 Base Costs'!$B$12</x:f>
        <x:v>3888000</x:v>
      </x:c>
      <x:c r="R22" s="87" t="n">
        <x:f>'01 Base Costs'!$B$13</x:f>
        <x:v>100000</x:v>
      </x:c>
      <x:c r="S22" s="87" t="n">
        <x:f>Q22+R22</x:f>
        <x:v>3988000</x:v>
      </x:c>
      <x:c r="T22" s="141" t="n">
        <x:f>S22/'01 Base Costs'!$B$14</x:f>
        <x:v>7.976</x:v>
      </x:c>
      <x:c r="U22" s="87" t="n">
        <x:f>INT(T22)</x:f>
        <x:v>7</x:v>
      </x:c>
      <x:c r="V22" s="87" t="n">
        <x:f>S22-U22*'01 Base Costs'!$B$14</x:f>
        <x:v>488000</x:v>
      </x:c>
      <x:c r="W22" s="120" t="n">
        <x:f>'01 Base Costs'!$B$18/5</x:f>
        <x:v>126</x:v>
      </x:c>
      <x:c r="X22" s="120" t="n">
        <x:f>0</x:f>
        <x:v>0</x:v>
      </x:c>
      <x:c r="Y22" s="87" t="n">
        <x:f>T22*(W22*'01 Base Costs'!$B$7+X22)</x:f>
        <x:v>4833934560</x:v>
      </x:c>
      <x:c r="Z22" s="87" t="n">
        <x:f>T22*'01 Base Costs'!$B$8</x:f>
        <x:v>6005130400</x:v>
      </x:c>
      <x:c r="AA22" s="87" t="n">
        <x:f>Z22*'01 Base Costs'!$B$11</x:f>
        <x:v>300256520</x:v>
      </x:c>
      <x:c r="AB22" s="87" t="n">
        <x:f>Z22-AA22</x:f>
        <x:v>5704873880</x:v>
      </x:c>
      <x:c r="AC22" s="87" t="n">
        <x:f>O22+Y22</x:f>
        <x:v>9105214560</x:v>
      </x:c>
      <x:c r="AD22" s="87" t="n">
        <x:f>AB22-AC22</x:f>
        <x:v>-3400340680</x:v>
      </x:c>
      <x:c r="AE22" s="87" t="n">
        <x:f>AD22/D22</x:f>
        <x:v>-3400340680</x:v>
      </x:c>
      <x:c r="AF22" s="87" t="n">
        <x:f>AD22/P22</x:f>
        <x:v>-1700170340</x:v>
      </x:c>
      <x:c r="AG22" s="87" t="n">
        <x:f>IF(T22=0,0,AC22/T22/(1-'01 Base Costs'!$B$11))</x:f>
        <x:v>1201659525.9462597</x:v>
      </x:c>
      <x:c r="AH22" s="88" t="str">
        <x:f>IF(AD22&gt;0,"PROFIT","LOSS")</x:f>
        <x:v>LOSS</x:v>
      </x:c>
      <x:c r="AI22" s="89" t="str">
        <x:v>Base 1M Omega; includes 100k SP bonus. MCT sale 20% off. Base 5-pack average.</x:v>
      </x:c>
    </x:row>
    <x:row r="23">
      <x:c r="A23" s="86" t="n">
        <x:v>21</x:v>
      </x:c>
      <x:c r="B23" s="88" t="str">
        <x:v>Base</x:v>
      </x:c>
      <x:c r="C23" s="88" t="str">
        <x:v>1M Omega + Bonus Items</x:v>
      </x:c>
      <x:c r="D23" s="88" t="n">
        <x:v>1</x:v>
      </x:c>
      <x:c r="E23" s="88" t="n">
        <x:v>2</x:v>
      </x:c>
      <x:c r="F23" s="88" t="str">
        <x:v>NES MCT 20% sale</x:v>
      </x:c>
      <x:c r="G23" s="88" t="str">
        <x:v>NES 10-pack extractor</x:v>
      </x:c>
      <x:c r="H23" s="87" t="n">
        <x:f>'01 Base Costs'!$B$21</x:f>
        <x:v>500</x:v>
      </x:c>
      <x:c r="I23" s="87" t="n">
        <x:f>'01 Base Costs'!$B$16*0.8</x:f>
        <x:v>388</x:v>
      </x:c>
      <x:c r="J23" s="87" t="n">
        <x:f>0</x:f>
        <x:v>0</x:v>
      </x:c>
      <x:c r="K23" s="87" t="n">
        <x:f>D23*(E23-1)*I23</x:f>
        <x:v>388</x:v>
      </x:c>
      <x:c r="L23" s="87" t="n">
        <x:f>D23*(E23-1)*J23</x:f>
        <x:v>0</x:v>
      </x:c>
      <x:c r="M23" s="87" t="n">
        <x:f>0</x:f>
        <x:v>0</x:v>
      </x:c>
      <x:c r="N23" s="87" t="n">
        <x:f>H23+K23+M23</x:f>
        <x:v>888</x:v>
      </x:c>
      <x:c r="O23" s="87" t="n">
        <x:f>N23*'01 Base Costs'!$B$7+L23</x:f>
        <x:v>4271280000</x:v>
      </x:c>
      <x:c r="P23" s="87" t="n">
        <x:f>D23*E23</x:f>
        <x:v>2</x:v>
      </x:c>
      <x:c r="Q23" s="87" t="n">
        <x:f>P23*'01 Base Costs'!$B$12</x:f>
        <x:v>3888000</x:v>
      </x:c>
      <x:c r="R23" s="87" t="n">
        <x:f>'01 Base Costs'!$B$13</x:f>
        <x:v>100000</x:v>
      </x:c>
      <x:c r="S23" s="87" t="n">
        <x:f>Q23+R23</x:f>
        <x:v>3988000</x:v>
      </x:c>
      <x:c r="T23" s="141" t="n">
        <x:f>S23/'01 Base Costs'!$B$14</x:f>
        <x:v>7.976</x:v>
      </x:c>
      <x:c r="U23" s="87" t="n">
        <x:f>INT(T23)</x:f>
        <x:v>7</x:v>
      </x:c>
      <x:c r="V23" s="87" t="n">
        <x:f>S23-U23*'01 Base Costs'!$B$14</x:f>
        <x:v>488000</x:v>
      </x:c>
      <x:c r="W23" s="120" t="n">
        <x:f>'01 Base Costs'!$B$19/10</x:f>
        <x:v>119</x:v>
      </x:c>
      <x:c r="X23" s="120" t="n">
        <x:f>0</x:f>
        <x:v>0</x:v>
      </x:c>
      <x:c r="Y23" s="87" t="n">
        <x:f>T23*(W23*'01 Base Costs'!$B$7+X23)</x:f>
        <x:v>4565382640</x:v>
      </x:c>
      <x:c r="Z23" s="87" t="n">
        <x:f>T23*'01 Base Costs'!$B$8</x:f>
        <x:v>6005130400</x:v>
      </x:c>
      <x:c r="AA23" s="87" t="n">
        <x:f>Z23*'01 Base Costs'!$B$11</x:f>
        <x:v>300256520</x:v>
      </x:c>
      <x:c r="AB23" s="87" t="n">
        <x:f>Z23-AA23</x:f>
        <x:v>5704873880</x:v>
      </x:c>
      <x:c r="AC23" s="87" t="n">
        <x:f>O23+Y23</x:f>
        <x:v>8836662640</x:v>
      </x:c>
      <x:c r="AD23" s="87" t="n">
        <x:f>AB23-AC23</x:f>
        <x:v>-3131788760</x:v>
      </x:c>
      <x:c r="AE23" s="87" t="n">
        <x:f>AD23/D23</x:f>
        <x:v>-3131788760</x:v>
      </x:c>
      <x:c r="AF23" s="87" t="n">
        <x:f>AD23/P23</x:f>
        <x:v>-1565894380</x:v>
      </x:c>
      <x:c r="AG23" s="87" t="n">
        <x:f>IF(T23=0,0,AC23/T23/(1-'01 Base Costs'!$B$11))</x:f>
        <x:v>1166217420.683102</x:v>
      </x:c>
      <x:c r="AH23" s="88" t="str">
        <x:f>IF(AD23&gt;0,"PROFIT","LOSS")</x:f>
        <x:v>LOSS</x:v>
      </x:c>
      <x:c r="AI23" s="89" t="str">
        <x:v>Base 1M Omega; includes 100k SP bonus. MCT sale 20% off. Base 10-pack average.</x:v>
      </x:c>
    </x:row>
    <x:row r="24">
      <x:c r="A24" s="86" t="n">
        <x:v>22</x:v>
      </x:c>
      <x:c r="B24" s="88" t="str">
        <x:v>Base</x:v>
      </x:c>
      <x:c r="C24" s="88" t="str">
        <x:v>1M Omega + Bonus Items</x:v>
      </x:c>
      <x:c r="D24" s="88" t="n">
        <x:v>1</x:v>
      </x:c>
      <x:c r="E24" s="88" t="n">
        <x:v>2</x:v>
      </x:c>
      <x:c r="F24" s="88" t="str">
        <x:v>NES MCT 20% sale</x:v>
      </x:c>
      <x:c r="G24" s="88" t="str">
        <x:v>NES 50-pack extractor</x:v>
      </x:c>
      <x:c r="H24" s="87" t="n">
        <x:f>'01 Base Costs'!$B$21</x:f>
        <x:v>500</x:v>
      </x:c>
      <x:c r="I24" s="87" t="n">
        <x:f>'01 Base Costs'!$B$16*0.8</x:f>
        <x:v>388</x:v>
      </x:c>
      <x:c r="J24" s="87" t="n">
        <x:f>0</x:f>
        <x:v>0</x:v>
      </x:c>
      <x:c r="K24" s="87" t="n">
        <x:f>D24*(E24-1)*I24</x:f>
        <x:v>388</x:v>
      </x:c>
      <x:c r="L24" s="87" t="n">
        <x:f>D24*(E24-1)*J24</x:f>
        <x:v>0</x:v>
      </x:c>
      <x:c r="M24" s="87" t="n">
        <x:f>0</x:f>
        <x:v>0</x:v>
      </x:c>
      <x:c r="N24" s="87" t="n">
        <x:f>H24+K24+M24</x:f>
        <x:v>888</x:v>
      </x:c>
      <x:c r="O24" s="87" t="n">
        <x:f>N24*'01 Base Costs'!$B$7+L24</x:f>
        <x:v>4271280000</x:v>
      </x:c>
      <x:c r="P24" s="87" t="n">
        <x:f>D24*E24</x:f>
        <x:v>2</x:v>
      </x:c>
      <x:c r="Q24" s="87" t="n">
        <x:f>P24*'01 Base Costs'!$B$12</x:f>
        <x:v>3888000</x:v>
      </x:c>
      <x:c r="R24" s="87" t="n">
        <x:f>'01 Base Costs'!$B$13</x:f>
        <x:v>100000</x:v>
      </x:c>
      <x:c r="S24" s="87" t="n">
        <x:f>Q24+R24</x:f>
        <x:v>3988000</x:v>
      </x:c>
      <x:c r="T24" s="141" t="n">
        <x:f>S24/'01 Base Costs'!$B$14</x:f>
        <x:v>7.976</x:v>
      </x:c>
      <x:c r="U24" s="87" t="n">
        <x:f>INT(T24)</x:f>
        <x:v>7</x:v>
      </x:c>
      <x:c r="V24" s="87" t="n">
        <x:f>S24-U24*'01 Base Costs'!$B$14</x:f>
        <x:v>488000</x:v>
      </x:c>
      <x:c r="W24" s="120" t="n">
        <x:f>'01 Base Costs'!$B$20/50</x:f>
        <x:v>112</x:v>
      </x:c>
      <x:c r="X24" s="120" t="n">
        <x:f>0</x:f>
        <x:v>0</x:v>
      </x:c>
      <x:c r="Y24" s="87" t="n">
        <x:f>T24*(W24*'01 Base Costs'!$B$7+X24)</x:f>
        <x:v>4296830720</x:v>
      </x:c>
      <x:c r="Z24" s="87" t="n">
        <x:f>T24*'01 Base Costs'!$B$8</x:f>
        <x:v>6005130400</x:v>
      </x:c>
      <x:c r="AA24" s="87" t="n">
        <x:f>Z24*'01 Base Costs'!$B$11</x:f>
        <x:v>300256520</x:v>
      </x:c>
      <x:c r="AB24" s="87" t="n">
        <x:f>Z24-AA24</x:f>
        <x:v>5704873880</x:v>
      </x:c>
      <x:c r="AC24" s="87" t="n">
        <x:f>O24+Y24</x:f>
        <x:v>8568110720</x:v>
      </x:c>
      <x:c r="AD24" s="87" t="n">
        <x:f>AB24-AC24</x:f>
        <x:v>-2863236840</x:v>
      </x:c>
      <x:c r="AE24" s="87" t="n">
        <x:f>AD24/D24</x:f>
        <x:v>-2863236840</x:v>
      </x:c>
      <x:c r="AF24" s="87" t="n">
        <x:f>AD24/P24</x:f>
        <x:v>-1431618420</x:v>
      </x:c>
      <x:c r="AG24" s="87" t="n">
        <x:f>IF(T24=0,0,AC24/T24/(1-'01 Base Costs'!$B$11))</x:f>
        <x:v>1130775315.419944</x:v>
      </x:c>
      <x:c r="AH24" s="88" t="str">
        <x:f>IF(AD24&gt;0,"PROFIT","LOSS")</x:f>
        <x:v>LOSS</x:v>
      </x:c>
      <x:c r="AI24" s="89" t="str">
        <x:v>Base 1M Omega; includes 100k SP bonus. MCT sale 20% off. Base 50-pack average.</x:v>
      </x:c>
    </x:row>
    <x:row r="25">
      <x:c r="A25" s="86" t="n">
        <x:v>23</x:v>
      </x:c>
      <x:c r="B25" s="88" t="str">
        <x:v>Base</x:v>
      </x:c>
      <x:c r="C25" s="88" t="str">
        <x:v>1M Omega + Bonus Items</x:v>
      </x:c>
      <x:c r="D25" s="88" t="n">
        <x:v>1</x:v>
      </x:c>
      <x:c r="E25" s="88" t="n">
        <x:v>2</x:v>
      </x:c>
      <x:c r="F25" s="88" t="str">
        <x:v>NES MCT 20% sale</x:v>
      </x:c>
      <x:c r="G25" s="88" t="str">
        <x:v>NES 3-for-2 extractor sale</x:v>
      </x:c>
      <x:c r="H25" s="87" t="n">
        <x:f>'01 Base Costs'!$B$21</x:f>
        <x:v>500</x:v>
      </x:c>
      <x:c r="I25" s="87" t="n">
        <x:f>'01 Base Costs'!$B$16*0.8</x:f>
        <x:v>388</x:v>
      </x:c>
      <x:c r="J25" s="87" t="n">
        <x:f>0</x:f>
        <x:v>0</x:v>
      </x:c>
      <x:c r="K25" s="87" t="n">
        <x:f>D25*(E25-1)*I25</x:f>
        <x:v>388</x:v>
      </x:c>
      <x:c r="L25" s="87" t="n">
        <x:f>D25*(E25-1)*J25</x:f>
        <x:v>0</x:v>
      </x:c>
      <x:c r="M25" s="87" t="n">
        <x:f>0</x:f>
        <x:v>0</x:v>
      </x:c>
      <x:c r="N25" s="87" t="n">
        <x:f>H25+K25+M25</x:f>
        <x:v>888</x:v>
      </x:c>
      <x:c r="O25" s="87" t="n">
        <x:f>N25*'01 Base Costs'!$B$7+L25</x:f>
        <x:v>4271280000</x:v>
      </x:c>
      <x:c r="P25" s="87" t="n">
        <x:f>D25*E25</x:f>
        <x:v>2</x:v>
      </x:c>
      <x:c r="Q25" s="87" t="n">
        <x:f>P25*'01 Base Costs'!$B$12</x:f>
        <x:v>3888000</x:v>
      </x:c>
      <x:c r="R25" s="87" t="n">
        <x:f>'01 Base Costs'!$B$13</x:f>
        <x:v>100000</x:v>
      </x:c>
      <x:c r="S25" s="87" t="n">
        <x:f>Q25+R25</x:f>
        <x:v>3988000</x:v>
      </x:c>
      <x:c r="T25" s="141" t="n">
        <x:f>S25/'01 Base Costs'!$B$14</x:f>
        <x:v>7.976</x:v>
      </x:c>
      <x:c r="U25" s="87" t="n">
        <x:f>INT(T25)</x:f>
        <x:v>7</x:v>
      </x:c>
      <x:c r="V25" s="87" t="n">
        <x:f>S25-U25*'01 Base Costs'!$B$14</x:f>
        <x:v>488000</x:v>
      </x:c>
      <x:c r="W25" s="120" t="n">
        <x:f>'01 Base Costs'!$B$17*2/3</x:f>
        <x:v>93.33333333333333</x:v>
      </x:c>
      <x:c r="X25" s="120" t="n">
        <x:f>0</x:f>
        <x:v>0</x:v>
      </x:c>
      <x:c r="Y25" s="87" t="n">
        <x:f>T25*(W25*'01 Base Costs'!$B$7+X25)</x:f>
        <x:v>3580692266.6666665</x:v>
      </x:c>
      <x:c r="Z25" s="87" t="n">
        <x:f>T25*'01 Base Costs'!$B$8</x:f>
        <x:v>6005130400</x:v>
      </x:c>
      <x:c r="AA25" s="87" t="n">
        <x:f>Z25*'01 Base Costs'!$B$11</x:f>
        <x:v>300256520</x:v>
      </x:c>
      <x:c r="AB25" s="87" t="n">
        <x:f>Z25-AA25</x:f>
        <x:v>5704873880</x:v>
      </x:c>
      <x:c r="AC25" s="87" t="n">
        <x:f>O25+Y25</x:f>
        <x:v>7851972266.666666</x:v>
      </x:c>
      <x:c r="AD25" s="87" t="n">
        <x:f>AB25-AC25</x:f>
        <x:v>-2147098386.666666</x:v>
      </x:c>
      <x:c r="AE25" s="87" t="n">
        <x:f>AD25/D25</x:f>
        <x:v>-2147098386.666666</x:v>
      </x:c>
      <x:c r="AF25" s="87" t="n">
        <x:f>AD25/P25</x:f>
        <x:v>-1073549193.333333</x:v>
      </x:c>
      <x:c r="AG25" s="87" t="n">
        <x:f>IF(T25=0,0,AC25/T25/(1-'01 Base Costs'!$B$11))</x:f>
        <x:v>1036263034.7181897</x:v>
      </x:c>
      <x:c r="AH25" s="88" t="str">
        <x:f>IF(AD25&gt;0,"PROFIT","LOSS")</x:f>
        <x:v>LOSS</x:v>
      </x:c>
      <x:c r="AI25" s="89" t="str">
        <x:v>Base 1M Omega; includes 100k SP bonus. MCT sale 20% off. Extractor 3-for-2 sale.</x:v>
      </x:c>
    </x:row>
    <x:row r="26">
      <x:c r="A26" s="86" t="n">
        <x:v>24</x:v>
      </x:c>
      <x:c r="B26" s="88" t="str">
        <x:v>Base</x:v>
      </x:c>
      <x:c r="C26" s="88" t="str">
        <x:v>1M Omega + Bonus Items</x:v>
      </x:c>
      <x:c r="D26" s="88" t="n">
        <x:v>1</x:v>
      </x:c>
      <x:c r="E26" s="88" t="n">
        <x:v>2</x:v>
      </x:c>
      <x:c r="F26" s="88" t="str">
        <x:v>NES MCT 20% sale</x:v>
      </x:c>
      <x:c r="G26" s="88" t="str">
        <x:v>NES 2-for-1 extractor sale</x:v>
      </x:c>
      <x:c r="H26" s="87" t="n">
        <x:f>'01 Base Costs'!$B$21</x:f>
        <x:v>500</x:v>
      </x:c>
      <x:c r="I26" s="87" t="n">
        <x:f>'01 Base Costs'!$B$16*0.8</x:f>
        <x:v>388</x:v>
      </x:c>
      <x:c r="J26" s="87" t="n">
        <x:f>0</x:f>
        <x:v>0</x:v>
      </x:c>
      <x:c r="K26" s="87" t="n">
        <x:f>D26*(E26-1)*I26</x:f>
        <x:v>388</x:v>
      </x:c>
      <x:c r="L26" s="87" t="n">
        <x:f>D26*(E26-1)*J26</x:f>
        <x:v>0</x:v>
      </x:c>
      <x:c r="M26" s="87" t="n">
        <x:f>0</x:f>
        <x:v>0</x:v>
      </x:c>
      <x:c r="N26" s="87" t="n">
        <x:f>H26+K26+M26</x:f>
        <x:v>888</x:v>
      </x:c>
      <x:c r="O26" s="87" t="n">
        <x:f>N26*'01 Base Costs'!$B$7+L26</x:f>
        <x:v>4271280000</x:v>
      </x:c>
      <x:c r="P26" s="87" t="n">
        <x:f>D26*E26</x:f>
        <x:v>2</x:v>
      </x:c>
      <x:c r="Q26" s="87" t="n">
        <x:f>P26*'01 Base Costs'!$B$12</x:f>
        <x:v>3888000</x:v>
      </x:c>
      <x:c r="R26" s="87" t="n">
        <x:f>'01 Base Costs'!$B$13</x:f>
        <x:v>100000</x:v>
      </x:c>
      <x:c r="S26" s="87" t="n">
        <x:f>Q26+R26</x:f>
        <x:v>3988000</x:v>
      </x:c>
      <x:c r="T26" s="141" t="n">
        <x:f>S26/'01 Base Costs'!$B$14</x:f>
        <x:v>7.976</x:v>
      </x:c>
      <x:c r="U26" s="87" t="n">
        <x:f>INT(T26)</x:f>
        <x:v>7</x:v>
      </x:c>
      <x:c r="V26" s="87" t="n">
        <x:f>S26-U26*'01 Base Costs'!$B$14</x:f>
        <x:v>488000</x:v>
      </x:c>
      <x:c r="W26" s="120" t="n">
        <x:f>'01 Base Costs'!$B$17/2</x:f>
        <x:v>70</x:v>
      </x:c>
      <x:c r="X26" s="120" t="n">
        <x:f>0</x:f>
        <x:v>0</x:v>
      </x:c>
      <x:c r="Y26" s="87" t="n">
        <x:f>T26*(W26*'01 Base Costs'!$B$7+X26)</x:f>
        <x:v>2685519200</x:v>
      </x:c>
      <x:c r="Z26" s="87" t="n">
        <x:f>T26*'01 Base Costs'!$B$8</x:f>
        <x:v>6005130400</x:v>
      </x:c>
      <x:c r="AA26" s="87" t="n">
        <x:f>Z26*'01 Base Costs'!$B$11</x:f>
        <x:v>300256520</x:v>
      </x:c>
      <x:c r="AB26" s="87" t="n">
        <x:f>Z26-AA26</x:f>
        <x:v>5704873880</x:v>
      </x:c>
      <x:c r="AC26" s="87" t="n">
        <x:f>O26+Y26</x:f>
        <x:v>6956799200</x:v>
      </x:c>
      <x:c r="AD26" s="87" t="n">
        <x:f>AB26-AC26</x:f>
        <x:v>-1251925320</x:v>
      </x:c>
      <x:c r="AE26" s="87" t="n">
        <x:f>AD26/D26</x:f>
        <x:v>-1251925320</x:v>
      </x:c>
      <x:c r="AF26" s="87" t="n">
        <x:f>AD26/P26</x:f>
        <x:v>-625962660</x:v>
      </x:c>
      <x:c r="AG26" s="87" t="n">
        <x:f>IF(T26=0,0,AC26/T26/(1-'01 Base Costs'!$B$11))</x:f>
        <x:v>918122683.8409967</x:v>
      </x:c>
      <x:c r="AH26" s="88" t="str">
        <x:f>IF(AD26&gt;0,"PROFIT","LOSS")</x:f>
        <x:v>LOSS</x:v>
      </x:c>
      <x:c r="AI26" s="89" t="str">
        <x:v>Base 1M Omega; includes 100k SP bonus. MCT sale 20% off. Extractor 2-for-1 sale.</x:v>
      </x:c>
    </x:row>
    <x:row r="27">
      <x:c r="A27" s="86" t="n">
        <x:v>25</x:v>
      </x:c>
      <x:c r="B27" s="88" t="str">
        <x:v>Base</x:v>
      </x:c>
      <x:c r="C27" s="88" t="str">
        <x:v>1M Omega + Bonus Items</x:v>
      </x:c>
      <x:c r="D27" s="88" t="n">
        <x:v>1</x:v>
      </x:c>
      <x:c r="E27" s="88" t="n">
        <x:v>2</x:v>
      </x:c>
      <x:c r="F27" s="88" t="str">
        <x:v>NES MCT 20% sale</x:v>
      </x:c>
      <x:c r="G27" s="88" t="str">
        <x:v>NES 10-pack extractor 20% sale</x:v>
      </x:c>
      <x:c r="H27" s="87" t="n">
        <x:f>'01 Base Costs'!$B$21</x:f>
        <x:v>500</x:v>
      </x:c>
      <x:c r="I27" s="87" t="n">
        <x:f>'01 Base Costs'!$B$16*0.8</x:f>
        <x:v>388</x:v>
      </x:c>
      <x:c r="J27" s="87" t="n">
        <x:f>0</x:f>
        <x:v>0</x:v>
      </x:c>
      <x:c r="K27" s="87" t="n">
        <x:f>D27*(E27-1)*I27</x:f>
        <x:v>388</x:v>
      </x:c>
      <x:c r="L27" s="87" t="n">
        <x:f>D27*(E27-1)*J27</x:f>
        <x:v>0</x:v>
      </x:c>
      <x:c r="M27" s="87" t="n">
        <x:f>0</x:f>
        <x:v>0</x:v>
      </x:c>
      <x:c r="N27" s="87" t="n">
        <x:f>H27+K27+M27</x:f>
        <x:v>888</x:v>
      </x:c>
      <x:c r="O27" s="87" t="n">
        <x:f>N27*'01 Base Costs'!$B$7+L27</x:f>
        <x:v>4271280000</x:v>
      </x:c>
      <x:c r="P27" s="87" t="n">
        <x:f>D27*E27</x:f>
        <x:v>2</x:v>
      </x:c>
      <x:c r="Q27" s="87" t="n">
        <x:f>P27*'01 Base Costs'!$B$12</x:f>
        <x:v>3888000</x:v>
      </x:c>
      <x:c r="R27" s="87" t="n">
        <x:f>'01 Base Costs'!$B$13</x:f>
        <x:v>100000</x:v>
      </x:c>
      <x:c r="S27" s="87" t="n">
        <x:f>Q27+R27</x:f>
        <x:v>3988000</x:v>
      </x:c>
      <x:c r="T27" s="141" t="n">
        <x:f>S27/'01 Base Costs'!$B$14</x:f>
        <x:v>7.976</x:v>
      </x:c>
      <x:c r="U27" s="87" t="n">
        <x:f>INT(T27)</x:f>
        <x:v>7</x:v>
      </x:c>
      <x:c r="V27" s="87" t="n">
        <x:f>S27-U27*'01 Base Costs'!$B$14</x:f>
        <x:v>488000</x:v>
      </x:c>
      <x:c r="W27" s="120" t="n">
        <x:f>'01 Base Costs'!$B$19*0.8/10</x:f>
        <x:v>95.2</x:v>
      </x:c>
      <x:c r="X27" s="120" t="n">
        <x:f>0</x:f>
        <x:v>0</x:v>
      </x:c>
      <x:c r="Y27" s="87" t="n">
        <x:f>T27*(W27*'01 Base Costs'!$B$7+X27)</x:f>
        <x:v>3652306112</x:v>
      </x:c>
      <x:c r="Z27" s="87" t="n">
        <x:f>T27*'01 Base Costs'!$B$8</x:f>
        <x:v>6005130400</x:v>
      </x:c>
      <x:c r="AA27" s="87" t="n">
        <x:f>Z27*'01 Base Costs'!$B$11</x:f>
        <x:v>300256520</x:v>
      </x:c>
      <x:c r="AB27" s="87" t="n">
        <x:f>Z27-AA27</x:f>
        <x:v>5704873880</x:v>
      </x:c>
      <x:c r="AC27" s="87" t="n">
        <x:f>O27+Y27</x:f>
        <x:v>7923586112</x:v>
      </x:c>
      <x:c r="AD27" s="87" t="n">
        <x:f>AB27-AC27</x:f>
        <x:v>-2218712232</x:v>
      </x:c>
      <x:c r="AE27" s="87" t="n">
        <x:f>AD27/D27</x:f>
        <x:v>-2218712232</x:v>
      </x:c>
      <x:c r="AF27" s="87" t="n">
        <x:f>AD27/P27</x:f>
        <x:v>-1109356116</x:v>
      </x:c>
      <x:c r="AG27" s="87" t="n">
        <x:f>IF(T27=0,0,AC27/T27/(1-'01 Base Costs'!$B$11))</x:f>
        <x:v>1045714262.7883652</x:v>
      </x:c>
      <x:c r="AH27" s="88" t="str">
        <x:f>IF(AD27&gt;0,"PROFIT","LOSS")</x:f>
        <x:v>LOSS</x:v>
      </x:c>
      <x:c r="AI27" s="89" t="str">
        <x:v>Base 1M Omega; includes 100k SP bonus. MCT sale 20% off. 10-pack at 20% off.</x:v>
      </x:c>
    </x:row>
    <x:row r="28">
      <x:c r="A28" s="86" t="n">
        <x:v>26</x:v>
      </x:c>
      <x:c r="B28" s="88" t="str">
        <x:v>Base</x:v>
      </x:c>
      <x:c r="C28" s="88" t="str">
        <x:v>1M Omega + Bonus Items</x:v>
      </x:c>
      <x:c r="D28" s="88" t="n">
        <x:v>1</x:v>
      </x:c>
      <x:c r="E28" s="88" t="n">
        <x:v>2</x:v>
      </x:c>
      <x:c r="F28" s="88" t="str">
        <x:v>NES MCT 20% sale</x:v>
      </x:c>
      <x:c r="G28" s="88" t="str">
        <x:v>NES 50-pack extractor 20% sale</x:v>
      </x:c>
      <x:c r="H28" s="87" t="n">
        <x:f>'01 Base Costs'!$B$21</x:f>
        <x:v>500</x:v>
      </x:c>
      <x:c r="I28" s="87" t="n">
        <x:f>'01 Base Costs'!$B$16*0.8</x:f>
        <x:v>388</x:v>
      </x:c>
      <x:c r="J28" s="87" t="n">
        <x:f>0</x:f>
        <x:v>0</x:v>
      </x:c>
      <x:c r="K28" s="87" t="n">
        <x:f>D28*(E28-1)*I28</x:f>
        <x:v>388</x:v>
      </x:c>
      <x:c r="L28" s="87" t="n">
        <x:f>D28*(E28-1)*J28</x:f>
        <x:v>0</x:v>
      </x:c>
      <x:c r="M28" s="87" t="n">
        <x:f>0</x:f>
        <x:v>0</x:v>
      </x:c>
      <x:c r="N28" s="87" t="n">
        <x:f>H28+K28+M28</x:f>
        <x:v>888</x:v>
      </x:c>
      <x:c r="O28" s="87" t="n">
        <x:f>N28*'01 Base Costs'!$B$7+L28</x:f>
        <x:v>4271280000</x:v>
      </x:c>
      <x:c r="P28" s="87" t="n">
        <x:f>D28*E28</x:f>
        <x:v>2</x:v>
      </x:c>
      <x:c r="Q28" s="87" t="n">
        <x:f>P28*'01 Base Costs'!$B$12</x:f>
        <x:v>3888000</x:v>
      </x:c>
      <x:c r="R28" s="87" t="n">
        <x:f>'01 Base Costs'!$B$13</x:f>
        <x:v>100000</x:v>
      </x:c>
      <x:c r="S28" s="87" t="n">
        <x:f>Q28+R28</x:f>
        <x:v>3988000</x:v>
      </x:c>
      <x:c r="T28" s="141" t="n">
        <x:f>S28/'01 Base Costs'!$B$14</x:f>
        <x:v>7.976</x:v>
      </x:c>
      <x:c r="U28" s="87" t="n">
        <x:f>INT(T28)</x:f>
        <x:v>7</x:v>
      </x:c>
      <x:c r="V28" s="87" t="n">
        <x:f>S28-U28*'01 Base Costs'!$B$14</x:f>
        <x:v>488000</x:v>
      </x:c>
      <x:c r="W28" s="120" t="n">
        <x:f>'01 Base Costs'!$B$20*0.8/50</x:f>
        <x:v>89.6</x:v>
      </x:c>
      <x:c r="X28" s="120" t="n">
        <x:f>0</x:f>
        <x:v>0</x:v>
      </x:c>
      <x:c r="Y28" s="87" t="n">
        <x:f>T28*(W28*'01 Base Costs'!$B$7+X28)</x:f>
        <x:v>3437464576</x:v>
      </x:c>
      <x:c r="Z28" s="87" t="n">
        <x:f>T28*'01 Base Costs'!$B$8</x:f>
        <x:v>6005130400</x:v>
      </x:c>
      <x:c r="AA28" s="87" t="n">
        <x:f>Z28*'01 Base Costs'!$B$11</x:f>
        <x:v>300256520</x:v>
      </x:c>
      <x:c r="AB28" s="87" t="n">
        <x:f>Z28-AA28</x:f>
        <x:v>5704873880</x:v>
      </x:c>
      <x:c r="AC28" s="87" t="n">
        <x:f>O28+Y28</x:f>
        <x:v>7708744576</x:v>
      </x:c>
      <x:c r="AD28" s="87" t="n">
        <x:f>AB28-AC28</x:f>
        <x:v>-2003870696</x:v>
      </x:c>
      <x:c r="AE28" s="87" t="n">
        <x:f>AD28/D28</x:f>
        <x:v>-2003870696</x:v>
      </x:c>
      <x:c r="AF28" s="87" t="n">
        <x:f>AD28/P28</x:f>
        <x:v>-1001935348</x:v>
      </x:c>
      <x:c r="AG28" s="87" t="n">
        <x:f>IF(T28=0,0,AC28/T28/(1-'01 Base Costs'!$B$11))</x:f>
        <x:v>1017360578.5778389</x:v>
      </x:c>
      <x:c r="AH28" s="88" t="str">
        <x:f>IF(AD28&gt;0,"PROFIT","LOSS")</x:f>
        <x:v>LOSS</x:v>
      </x:c>
      <x:c r="AI28" s="89" t="str">
        <x:v>Base 1M Omega; includes 100k SP bonus. MCT sale 20% off. 50-pack at 20% off.</x:v>
      </x:c>
    </x:row>
    <x:row r="29">
      <x:c r="A29" s="86" t="n">
        <x:v>27</x:v>
      </x:c>
      <x:c r="B29" s="88" t="str">
        <x:v>Base</x:v>
      </x:c>
      <x:c r="C29" s="88" t="str">
        <x:v>1M Omega + Bonus Items</x:v>
      </x:c>
      <x:c r="D29" s="88" t="n">
        <x:v>1</x:v>
      </x:c>
      <x:c r="E29" s="88" t="n">
        <x:v>2</x:v>
      </x:c>
      <x:c r="F29" s="88" t="str">
        <x:v>NES MCT 20% sale</x:v>
      </x:c>
      <x:c r="G29" s="88" t="str">
        <x:v>Market Skill Extractor</x:v>
      </x:c>
      <x:c r="H29" s="87" t="n">
        <x:f>'01 Base Costs'!$B$21</x:f>
        <x:v>500</x:v>
      </x:c>
      <x:c r="I29" s="87" t="n">
        <x:f>'01 Base Costs'!$B$16*0.8</x:f>
        <x:v>388</x:v>
      </x:c>
      <x:c r="J29" s="87" t="n">
        <x:f>0</x:f>
        <x:v>0</x:v>
      </x:c>
      <x:c r="K29" s="87" t="n">
        <x:f>D29*(E29-1)*I29</x:f>
        <x:v>388</x:v>
      </x:c>
      <x:c r="L29" s="87" t="n">
        <x:f>D29*(E29-1)*J29</x:f>
        <x:v>0</x:v>
      </x:c>
      <x:c r="M29" s="87" t="n">
        <x:f>0</x:f>
        <x:v>0</x:v>
      </x:c>
      <x:c r="N29" s="87" t="n">
        <x:f>H29+K29+M29</x:f>
        <x:v>888</x:v>
      </x:c>
      <x:c r="O29" s="87" t="n">
        <x:f>N29*'01 Base Costs'!$B$7+L29</x:f>
        <x:v>4271280000</x:v>
      </x:c>
      <x:c r="P29" s="87" t="n">
        <x:f>D29*E29</x:f>
        <x:v>2</x:v>
      </x:c>
      <x:c r="Q29" s="87" t="n">
        <x:f>P29*'01 Base Costs'!$B$12</x:f>
        <x:v>3888000</x:v>
      </x:c>
      <x:c r="R29" s="87" t="n">
        <x:f>'01 Base Costs'!$B$13</x:f>
        <x:v>100000</x:v>
      </x:c>
      <x:c r="S29" s="87" t="n">
        <x:f>Q29+R29</x:f>
        <x:v>3988000</x:v>
      </x:c>
      <x:c r="T29" s="141" t="n">
        <x:f>S29/'01 Base Costs'!$B$14</x:f>
        <x:v>7.976</x:v>
      </x:c>
      <x:c r="U29" s="87" t="n">
        <x:f>INT(T29)</x:f>
        <x:v>7</x:v>
      </x:c>
      <x:c r="V29" s="87" t="n">
        <x:f>S29-U29*'01 Base Costs'!$B$14</x:f>
        <x:v>488000</x:v>
      </x:c>
      <x:c r="W29" s="120" t="n">
        <x:f>0</x:f>
        <x:v>0</x:v>
      </x:c>
      <x:c r="X29" s="120" t="n">
        <x:f>'01 Base Costs'!$B$9</x:f>
        <x:v>463500000</x:v>
      </x:c>
      <x:c r="Y29" s="87" t="n">
        <x:f>T29*(W29*'01 Base Costs'!$B$7+X29)</x:f>
        <x:v>3696876000</x:v>
      </x:c>
      <x:c r="Z29" s="87" t="n">
        <x:f>T29*'01 Base Costs'!$B$8</x:f>
        <x:v>6005130400</x:v>
      </x:c>
      <x:c r="AA29" s="87" t="n">
        <x:f>Z29*'01 Base Costs'!$B$11</x:f>
        <x:v>300256520</x:v>
      </x:c>
      <x:c r="AB29" s="87" t="n">
        <x:f>Z29-AA29</x:f>
        <x:v>5704873880</x:v>
      </x:c>
      <x:c r="AC29" s="87" t="n">
        <x:f>O29+Y29</x:f>
        <x:v>7968156000</x:v>
      </x:c>
      <x:c r="AD29" s="87" t="n">
        <x:f>AB29-AC29</x:f>
        <x:v>-2263282120</x:v>
      </x:c>
      <x:c r="AE29" s="87" t="n">
        <x:f>AD29/D29</x:f>
        <x:v>-2263282120</x:v>
      </x:c>
      <x:c r="AF29" s="87" t="n">
        <x:f>AD29/P29</x:f>
        <x:v>-1131641060</x:v>
      </x:c>
      <x:c r="AG29" s="87" t="n">
        <x:f>IF(T29=0,0,AC29/T29/(1-'01 Base Costs'!$B$11))</x:f>
        <x:v>1051596368.0515231</x:v>
      </x:c>
      <x:c r="AH29" s="88" t="str">
        <x:f>IF(AD29&gt;0,"PROFIT","LOSS")</x:f>
        <x:v>LOSS</x:v>
      </x:c>
      <x:c r="AI29" s="89" t="str">
        <x:v>Base 1M Omega; includes 100k SP bonus. MCT sale 20% off. Extractor bought on market with ISK.</x:v>
      </x:c>
    </x:row>
    <x:row r="30">
      <x:c r="A30" s="86" t="n">
        <x:v>28</x:v>
      </x:c>
      <x:c r="B30" s="88" t="str">
        <x:v>Base</x:v>
      </x:c>
      <x:c r="C30" s="88" t="str">
        <x:v>1M Omega + Bonus Items</x:v>
      </x:c>
      <x:c r="D30" s="88" t="n">
        <x:v>1</x:v>
      </x:c>
      <x:c r="E30" s="88" t="n">
        <x:v>2</x:v>
      </x:c>
      <x:c r="F30" s="88" t="str">
        <x:v>NES MCT 30% sale</x:v>
      </x:c>
      <x:c r="G30" s="88" t="str">
        <x:v>NES single extractor</x:v>
      </x:c>
      <x:c r="H30" s="87" t="n">
        <x:f>'01 Base Costs'!$B$21</x:f>
        <x:v>500</x:v>
      </x:c>
      <x:c r="I30" s="87" t="n">
        <x:f>'01 Base Costs'!$B$16*0.7</x:f>
        <x:v>339.5</x:v>
      </x:c>
      <x:c r="J30" s="87" t="n">
        <x:f>0</x:f>
        <x:v>0</x:v>
      </x:c>
      <x:c r="K30" s="87" t="n">
        <x:f>D30*(E30-1)*I30</x:f>
        <x:v>339.5</x:v>
      </x:c>
      <x:c r="L30" s="87" t="n">
        <x:f>D30*(E30-1)*J30</x:f>
        <x:v>0</x:v>
      </x:c>
      <x:c r="M30" s="87" t="n">
        <x:f>0</x:f>
        <x:v>0</x:v>
      </x:c>
      <x:c r="N30" s="87" t="n">
        <x:f>H30+K30+M30</x:f>
        <x:v>839.5</x:v>
      </x:c>
      <x:c r="O30" s="87" t="n">
        <x:f>N30*'01 Base Costs'!$B$7+L30</x:f>
        <x:v>4037995000</x:v>
      </x:c>
      <x:c r="P30" s="87" t="n">
        <x:f>D30*E30</x:f>
        <x:v>2</x:v>
      </x:c>
      <x:c r="Q30" s="87" t="n">
        <x:f>P30*'01 Base Costs'!$B$12</x:f>
        <x:v>3888000</x:v>
      </x:c>
      <x:c r="R30" s="87" t="n">
        <x:f>'01 Base Costs'!$B$13</x:f>
        <x:v>100000</x:v>
      </x:c>
      <x:c r="S30" s="87" t="n">
        <x:f>Q30+R30</x:f>
        <x:v>3988000</x:v>
      </x:c>
      <x:c r="T30" s="141" t="n">
        <x:f>S30/'01 Base Costs'!$B$14</x:f>
        <x:v>7.976</x:v>
      </x:c>
      <x:c r="U30" s="87" t="n">
        <x:f>INT(T30)</x:f>
        <x:v>7</x:v>
      </x:c>
      <x:c r="V30" s="87" t="n">
        <x:f>S30-U30*'01 Base Costs'!$B$14</x:f>
        <x:v>488000</x:v>
      </x:c>
      <x:c r="W30" s="120" t="n">
        <x:f>'01 Base Costs'!$B$17</x:f>
        <x:v>140</x:v>
      </x:c>
      <x:c r="X30" s="120" t="n">
        <x:f>0</x:f>
        <x:v>0</x:v>
      </x:c>
      <x:c r="Y30" s="87" t="n">
        <x:f>T30*(W30*'01 Base Costs'!$B$7+X30)</x:f>
        <x:v>5371038400</x:v>
      </x:c>
      <x:c r="Z30" s="87" t="n">
        <x:f>T30*'01 Base Costs'!$B$8</x:f>
        <x:v>6005130400</x:v>
      </x:c>
      <x:c r="AA30" s="87" t="n">
        <x:f>Z30*'01 Base Costs'!$B$11</x:f>
        <x:v>300256520</x:v>
      </x:c>
      <x:c r="AB30" s="87" t="n">
        <x:f>Z30-AA30</x:f>
        <x:v>5704873880</x:v>
      </x:c>
      <x:c r="AC30" s="87" t="n">
        <x:f>O30+Y30</x:f>
        <x:v>9409033400</x:v>
      </x:c>
      <x:c r="AD30" s="87" t="n">
        <x:f>AB30-AC30</x:f>
        <x:v>-3704159520</x:v>
      </x:c>
      <x:c r="AE30" s="87" t="n">
        <x:f>AD30/D30</x:f>
        <x:v>-3704159520</x:v>
      </x:c>
      <x:c r="AF30" s="87" t="n">
        <x:f>AD30/P30</x:f>
        <x:v>-1852079760</x:v>
      </x:c>
      <x:c r="AG30" s="87" t="n">
        <x:f>IF(T30=0,0,AC30/T30/(1-'01 Base Costs'!$B$11))</x:f>
        <x:v>1241755978.4617012</x:v>
      </x:c>
      <x:c r="AH30" s="88" t="str">
        <x:f>IF(AD30&gt;0,"PROFIT","LOSS")</x:f>
        <x:v>LOSS</x:v>
      </x:c>
      <x:c r="AI30" s="89" t="str">
        <x:v>Base 1M Omega; includes 100k SP bonus. MCT sale 30% off. Base single extractor.</x:v>
      </x:c>
    </x:row>
    <x:row r="31">
      <x:c r="A31" s="86" t="n">
        <x:v>29</x:v>
      </x:c>
      <x:c r="B31" s="88" t="str">
        <x:v>Base</x:v>
      </x:c>
      <x:c r="C31" s="88" t="str">
        <x:v>1M Omega + Bonus Items</x:v>
      </x:c>
      <x:c r="D31" s="88" t="n">
        <x:v>1</x:v>
      </x:c>
      <x:c r="E31" s="88" t="n">
        <x:v>2</x:v>
      </x:c>
      <x:c r="F31" s="88" t="str">
        <x:v>NES MCT 30% sale</x:v>
      </x:c>
      <x:c r="G31" s="88" t="str">
        <x:v>NES 5-pack extractor</x:v>
      </x:c>
      <x:c r="H31" s="87" t="n">
        <x:f>'01 Base Costs'!$B$21</x:f>
        <x:v>500</x:v>
      </x:c>
      <x:c r="I31" s="87" t="n">
        <x:f>'01 Base Costs'!$B$16*0.7</x:f>
        <x:v>339.5</x:v>
      </x:c>
      <x:c r="J31" s="87" t="n">
        <x:f>0</x:f>
        <x:v>0</x:v>
      </x:c>
      <x:c r="K31" s="87" t="n">
        <x:f>D31*(E31-1)*I31</x:f>
        <x:v>339.5</x:v>
      </x:c>
      <x:c r="L31" s="87" t="n">
        <x:f>D31*(E31-1)*J31</x:f>
        <x:v>0</x:v>
      </x:c>
      <x:c r="M31" s="87" t="n">
        <x:f>0</x:f>
        <x:v>0</x:v>
      </x:c>
      <x:c r="N31" s="87" t="n">
        <x:f>H31+K31+M31</x:f>
        <x:v>839.5</x:v>
      </x:c>
      <x:c r="O31" s="87" t="n">
        <x:f>N31*'01 Base Costs'!$B$7+L31</x:f>
        <x:v>4037995000</x:v>
      </x:c>
      <x:c r="P31" s="87" t="n">
        <x:f>D31*E31</x:f>
        <x:v>2</x:v>
      </x:c>
      <x:c r="Q31" s="87" t="n">
        <x:f>P31*'01 Base Costs'!$B$12</x:f>
        <x:v>3888000</x:v>
      </x:c>
      <x:c r="R31" s="87" t="n">
        <x:f>'01 Base Costs'!$B$13</x:f>
        <x:v>100000</x:v>
      </x:c>
      <x:c r="S31" s="87" t="n">
        <x:f>Q31+R31</x:f>
        <x:v>3988000</x:v>
      </x:c>
      <x:c r="T31" s="141" t="n">
        <x:f>S31/'01 Base Costs'!$B$14</x:f>
        <x:v>7.976</x:v>
      </x:c>
      <x:c r="U31" s="87" t="n">
        <x:f>INT(T31)</x:f>
        <x:v>7</x:v>
      </x:c>
      <x:c r="V31" s="87" t="n">
        <x:f>S31-U31*'01 Base Costs'!$B$14</x:f>
        <x:v>488000</x:v>
      </x:c>
      <x:c r="W31" s="120" t="n">
        <x:f>'01 Base Costs'!$B$18/5</x:f>
        <x:v>126</x:v>
      </x:c>
      <x:c r="X31" s="120" t="n">
        <x:f>0</x:f>
        <x:v>0</x:v>
      </x:c>
      <x:c r="Y31" s="87" t="n">
        <x:f>T31*(W31*'01 Base Costs'!$B$7+X31)</x:f>
        <x:v>4833934560</x:v>
      </x:c>
      <x:c r="Z31" s="87" t="n">
        <x:f>T31*'01 Base Costs'!$B$8</x:f>
        <x:v>6005130400</x:v>
      </x:c>
      <x:c r="AA31" s="87" t="n">
        <x:f>Z31*'01 Base Costs'!$B$11</x:f>
        <x:v>300256520</x:v>
      </x:c>
      <x:c r="AB31" s="87" t="n">
        <x:f>Z31-AA31</x:f>
        <x:v>5704873880</x:v>
      </x:c>
      <x:c r="AC31" s="87" t="n">
        <x:f>O31+Y31</x:f>
        <x:v>8871929560</x:v>
      </x:c>
      <x:c r="AD31" s="87" t="n">
        <x:f>AB31-AC31</x:f>
        <x:v>-3167055680</x:v>
      </x:c>
      <x:c r="AE31" s="87" t="n">
        <x:f>AD31/D31</x:f>
        <x:v>-3167055680</x:v>
      </x:c>
      <x:c r="AF31" s="87" t="n">
        <x:f>AD31/P31</x:f>
        <x:v>-1583527840</x:v>
      </x:c>
      <x:c r="AG31" s="87" t="n">
        <x:f>IF(T31=0,0,AC31/T31/(1-'01 Base Costs'!$B$11))</x:f>
        <x:v>1170871767.9353852</x:v>
      </x:c>
      <x:c r="AH31" s="88" t="str">
        <x:f>IF(AD31&gt;0,"PROFIT","LOSS")</x:f>
        <x:v>LOSS</x:v>
      </x:c>
      <x:c r="AI31" s="89" t="str">
        <x:v>Base 1M Omega; includes 100k SP bonus. MCT sale 30% off. Base 5-pack average.</x:v>
      </x:c>
    </x:row>
    <x:row r="32">
      <x:c r="A32" s="86" t="n">
        <x:v>30</x:v>
      </x:c>
      <x:c r="B32" s="88" t="str">
        <x:v>Base</x:v>
      </x:c>
      <x:c r="C32" s="88" t="str">
        <x:v>1M Omega + Bonus Items</x:v>
      </x:c>
      <x:c r="D32" s="88" t="n">
        <x:v>1</x:v>
      </x:c>
      <x:c r="E32" s="88" t="n">
        <x:v>2</x:v>
      </x:c>
      <x:c r="F32" s="88" t="str">
        <x:v>NES MCT 30% sale</x:v>
      </x:c>
      <x:c r="G32" s="88" t="str">
        <x:v>NES 10-pack extractor</x:v>
      </x:c>
      <x:c r="H32" s="87" t="n">
        <x:f>'01 Base Costs'!$B$21</x:f>
        <x:v>500</x:v>
      </x:c>
      <x:c r="I32" s="87" t="n">
        <x:f>'01 Base Costs'!$B$16*0.7</x:f>
        <x:v>339.5</x:v>
      </x:c>
      <x:c r="J32" s="87" t="n">
        <x:f>0</x:f>
        <x:v>0</x:v>
      </x:c>
      <x:c r="K32" s="87" t="n">
        <x:f>D32*(E32-1)*I32</x:f>
        <x:v>339.5</x:v>
      </x:c>
      <x:c r="L32" s="87" t="n">
        <x:f>D32*(E32-1)*J32</x:f>
        <x:v>0</x:v>
      </x:c>
      <x:c r="M32" s="87" t="n">
        <x:f>0</x:f>
        <x:v>0</x:v>
      </x:c>
      <x:c r="N32" s="87" t="n">
        <x:f>H32+K32+M32</x:f>
        <x:v>839.5</x:v>
      </x:c>
      <x:c r="O32" s="87" t="n">
        <x:f>N32*'01 Base Costs'!$B$7+L32</x:f>
        <x:v>4037995000</x:v>
      </x:c>
      <x:c r="P32" s="87" t="n">
        <x:f>D32*E32</x:f>
        <x:v>2</x:v>
      </x:c>
      <x:c r="Q32" s="87" t="n">
        <x:f>P32*'01 Base Costs'!$B$12</x:f>
        <x:v>3888000</x:v>
      </x:c>
      <x:c r="R32" s="87" t="n">
        <x:f>'01 Base Costs'!$B$13</x:f>
        <x:v>100000</x:v>
      </x:c>
      <x:c r="S32" s="87" t="n">
        <x:f>Q32+R32</x:f>
        <x:v>3988000</x:v>
      </x:c>
      <x:c r="T32" s="141" t="n">
        <x:f>S32/'01 Base Costs'!$B$14</x:f>
        <x:v>7.976</x:v>
      </x:c>
      <x:c r="U32" s="87" t="n">
        <x:f>INT(T32)</x:f>
        <x:v>7</x:v>
      </x:c>
      <x:c r="V32" s="87" t="n">
        <x:f>S32-U32*'01 Base Costs'!$B$14</x:f>
        <x:v>488000</x:v>
      </x:c>
      <x:c r="W32" s="120" t="n">
        <x:f>'01 Base Costs'!$B$19/10</x:f>
        <x:v>119</x:v>
      </x:c>
      <x:c r="X32" s="120" t="n">
        <x:f>0</x:f>
        <x:v>0</x:v>
      </x:c>
      <x:c r="Y32" s="87" t="n">
        <x:f>T32*(W32*'01 Base Costs'!$B$7+X32)</x:f>
        <x:v>4565382640</x:v>
      </x:c>
      <x:c r="Z32" s="87" t="n">
        <x:f>T32*'01 Base Costs'!$B$8</x:f>
        <x:v>6005130400</x:v>
      </x:c>
      <x:c r="AA32" s="87" t="n">
        <x:f>Z32*'01 Base Costs'!$B$11</x:f>
        <x:v>300256520</x:v>
      </x:c>
      <x:c r="AB32" s="87" t="n">
        <x:f>Z32-AA32</x:f>
        <x:v>5704873880</x:v>
      </x:c>
      <x:c r="AC32" s="87" t="n">
        <x:f>O32+Y32</x:f>
        <x:v>8603377640</x:v>
      </x:c>
      <x:c r="AD32" s="87" t="n">
        <x:f>AB32-AC32</x:f>
        <x:v>-2898503760</x:v>
      </x:c>
      <x:c r="AE32" s="87" t="n">
        <x:f>AD32/D32</x:f>
        <x:v>-2898503760</x:v>
      </x:c>
      <x:c r="AF32" s="87" t="n">
        <x:f>AD32/P32</x:f>
        <x:v>-1449251880</x:v>
      </x:c>
      <x:c r="AG32" s="87" t="n">
        <x:f>IF(T32=0,0,AC32/T32/(1-'01 Base Costs'!$B$11))</x:f>
        <x:v>1135429662.6722274</x:v>
      </x:c>
      <x:c r="AH32" s="88" t="str">
        <x:f>IF(AD32&gt;0,"PROFIT","LOSS")</x:f>
        <x:v>LOSS</x:v>
      </x:c>
      <x:c r="AI32" s="89" t="str">
        <x:v>Base 1M Omega; includes 100k SP bonus. MCT sale 30% off. Base 10-pack average.</x:v>
      </x:c>
    </x:row>
    <x:row r="33">
      <x:c r="A33" s="86" t="n">
        <x:v>31</x:v>
      </x:c>
      <x:c r="B33" s="88" t="str">
        <x:v>Base</x:v>
      </x:c>
      <x:c r="C33" s="88" t="str">
        <x:v>1M Omega + Bonus Items</x:v>
      </x:c>
      <x:c r="D33" s="88" t="n">
        <x:v>1</x:v>
      </x:c>
      <x:c r="E33" s="88" t="n">
        <x:v>2</x:v>
      </x:c>
      <x:c r="F33" s="88" t="str">
        <x:v>NES MCT 30% sale</x:v>
      </x:c>
      <x:c r="G33" s="88" t="str">
        <x:v>NES 50-pack extractor</x:v>
      </x:c>
      <x:c r="H33" s="87" t="n">
        <x:f>'01 Base Costs'!$B$21</x:f>
        <x:v>500</x:v>
      </x:c>
      <x:c r="I33" s="87" t="n">
        <x:f>'01 Base Costs'!$B$16*0.7</x:f>
        <x:v>339.5</x:v>
      </x:c>
      <x:c r="J33" s="87" t="n">
        <x:f>0</x:f>
        <x:v>0</x:v>
      </x:c>
      <x:c r="K33" s="87" t="n">
        <x:f>D33*(E33-1)*I33</x:f>
        <x:v>339.5</x:v>
      </x:c>
      <x:c r="L33" s="87" t="n">
        <x:f>D33*(E33-1)*J33</x:f>
        <x:v>0</x:v>
      </x:c>
      <x:c r="M33" s="87" t="n">
        <x:f>0</x:f>
        <x:v>0</x:v>
      </x:c>
      <x:c r="N33" s="87" t="n">
        <x:f>H33+K33+M33</x:f>
        <x:v>839.5</x:v>
      </x:c>
      <x:c r="O33" s="87" t="n">
        <x:f>N33*'01 Base Costs'!$B$7+L33</x:f>
        <x:v>4037995000</x:v>
      </x:c>
      <x:c r="P33" s="87" t="n">
        <x:f>D33*E33</x:f>
        <x:v>2</x:v>
      </x:c>
      <x:c r="Q33" s="87" t="n">
        <x:f>P33*'01 Base Costs'!$B$12</x:f>
        <x:v>3888000</x:v>
      </x:c>
      <x:c r="R33" s="87" t="n">
        <x:f>'01 Base Costs'!$B$13</x:f>
        <x:v>100000</x:v>
      </x:c>
      <x:c r="S33" s="87" t="n">
        <x:f>Q33+R33</x:f>
        <x:v>3988000</x:v>
      </x:c>
      <x:c r="T33" s="141" t="n">
        <x:f>S33/'01 Base Costs'!$B$14</x:f>
        <x:v>7.976</x:v>
      </x:c>
      <x:c r="U33" s="87" t="n">
        <x:f>INT(T33)</x:f>
        <x:v>7</x:v>
      </x:c>
      <x:c r="V33" s="87" t="n">
        <x:f>S33-U33*'01 Base Costs'!$B$14</x:f>
        <x:v>488000</x:v>
      </x:c>
      <x:c r="W33" s="120" t="n">
        <x:f>'01 Base Costs'!$B$20/50</x:f>
        <x:v>112</x:v>
      </x:c>
      <x:c r="X33" s="120" t="n">
        <x:f>0</x:f>
        <x:v>0</x:v>
      </x:c>
      <x:c r="Y33" s="87" t="n">
        <x:f>T33*(W33*'01 Base Costs'!$B$7+X33)</x:f>
        <x:v>4296830720</x:v>
      </x:c>
      <x:c r="Z33" s="87" t="n">
        <x:f>T33*'01 Base Costs'!$B$8</x:f>
        <x:v>6005130400</x:v>
      </x:c>
      <x:c r="AA33" s="87" t="n">
        <x:f>Z33*'01 Base Costs'!$B$11</x:f>
        <x:v>300256520</x:v>
      </x:c>
      <x:c r="AB33" s="87" t="n">
        <x:f>Z33-AA33</x:f>
        <x:v>5704873880</x:v>
      </x:c>
      <x:c r="AC33" s="87" t="n">
        <x:f>O33+Y33</x:f>
        <x:v>8334825720</x:v>
      </x:c>
      <x:c r="AD33" s="87" t="n">
        <x:f>AB33-AC33</x:f>
        <x:v>-2629951840</x:v>
      </x:c>
      <x:c r="AE33" s="87" t="n">
        <x:f>AD33/D33</x:f>
        <x:v>-2629951840</x:v>
      </x:c>
      <x:c r="AF33" s="87" t="n">
        <x:f>AD33/P33</x:f>
        <x:v>-1314975920</x:v>
      </x:c>
      <x:c r="AG33" s="87" t="n">
        <x:f>IF(T33=0,0,AC33/T33/(1-'01 Base Costs'!$B$11))</x:f>
        <x:v>1099987557.4090693</x:v>
      </x:c>
      <x:c r="AH33" s="88" t="str">
        <x:f>IF(AD33&gt;0,"PROFIT","LOSS")</x:f>
        <x:v>LOSS</x:v>
      </x:c>
      <x:c r="AI33" s="89" t="str">
        <x:v>Base 1M Omega; includes 100k SP bonus. MCT sale 30% off. Base 50-pack average.</x:v>
      </x:c>
    </x:row>
    <x:row r="34">
      <x:c r="A34" s="86" t="n">
        <x:v>32</x:v>
      </x:c>
      <x:c r="B34" s="88" t="str">
        <x:v>Base</x:v>
      </x:c>
      <x:c r="C34" s="88" t="str">
        <x:v>1M Omega + Bonus Items</x:v>
      </x:c>
      <x:c r="D34" s="88" t="n">
        <x:v>1</x:v>
      </x:c>
      <x:c r="E34" s="88" t="n">
        <x:v>2</x:v>
      </x:c>
      <x:c r="F34" s="88" t="str">
        <x:v>NES MCT 30% sale</x:v>
      </x:c>
      <x:c r="G34" s="88" t="str">
        <x:v>NES 3-for-2 extractor sale</x:v>
      </x:c>
      <x:c r="H34" s="87" t="n">
        <x:f>'01 Base Costs'!$B$21</x:f>
        <x:v>500</x:v>
      </x:c>
      <x:c r="I34" s="87" t="n">
        <x:f>'01 Base Costs'!$B$16*0.7</x:f>
        <x:v>339.5</x:v>
      </x:c>
      <x:c r="J34" s="87" t="n">
        <x:f>0</x:f>
        <x:v>0</x:v>
      </x:c>
      <x:c r="K34" s="87" t="n">
        <x:f>D34*(E34-1)*I34</x:f>
        <x:v>339.5</x:v>
      </x:c>
      <x:c r="L34" s="87" t="n">
        <x:f>D34*(E34-1)*J34</x:f>
        <x:v>0</x:v>
      </x:c>
      <x:c r="M34" s="87" t="n">
        <x:f>0</x:f>
        <x:v>0</x:v>
      </x:c>
      <x:c r="N34" s="87" t="n">
        <x:f>H34+K34+M34</x:f>
        <x:v>839.5</x:v>
      </x:c>
      <x:c r="O34" s="87" t="n">
        <x:f>N34*'01 Base Costs'!$B$7+L34</x:f>
        <x:v>4037995000</x:v>
      </x:c>
      <x:c r="P34" s="87" t="n">
        <x:f>D34*E34</x:f>
        <x:v>2</x:v>
      </x:c>
      <x:c r="Q34" s="87" t="n">
        <x:f>P34*'01 Base Costs'!$B$12</x:f>
        <x:v>3888000</x:v>
      </x:c>
      <x:c r="R34" s="87" t="n">
        <x:f>'01 Base Costs'!$B$13</x:f>
        <x:v>100000</x:v>
      </x:c>
      <x:c r="S34" s="87" t="n">
        <x:f>Q34+R34</x:f>
        <x:v>3988000</x:v>
      </x:c>
      <x:c r="T34" s="141" t="n">
        <x:f>S34/'01 Base Costs'!$B$14</x:f>
        <x:v>7.976</x:v>
      </x:c>
      <x:c r="U34" s="87" t="n">
        <x:f>INT(T34)</x:f>
        <x:v>7</x:v>
      </x:c>
      <x:c r="V34" s="87" t="n">
        <x:f>S34-U34*'01 Base Costs'!$B$14</x:f>
        <x:v>488000</x:v>
      </x:c>
      <x:c r="W34" s="120" t="n">
        <x:f>'01 Base Costs'!$B$17*2/3</x:f>
        <x:v>93.33333333333333</x:v>
      </x:c>
      <x:c r="X34" s="120" t="n">
        <x:f>0</x:f>
        <x:v>0</x:v>
      </x:c>
      <x:c r="Y34" s="87" t="n">
        <x:f>T34*(W34*'01 Base Costs'!$B$7+X34)</x:f>
        <x:v>3580692266.6666665</x:v>
      </x:c>
      <x:c r="Z34" s="87" t="n">
        <x:f>T34*'01 Base Costs'!$B$8</x:f>
        <x:v>6005130400</x:v>
      </x:c>
      <x:c r="AA34" s="87" t="n">
        <x:f>Z34*'01 Base Costs'!$B$11</x:f>
        <x:v>300256520</x:v>
      </x:c>
      <x:c r="AB34" s="87" t="n">
        <x:f>Z34-AA34</x:f>
        <x:v>5704873880</x:v>
      </x:c>
      <x:c r="AC34" s="87" t="n">
        <x:f>O34+Y34</x:f>
        <x:v>7618687266.666666</x:v>
      </x:c>
      <x:c r="AD34" s="87" t="n">
        <x:f>AB34-AC34</x:f>
        <x:v>-1913813386.666666</x:v>
      </x:c>
      <x:c r="AE34" s="87" t="n">
        <x:f>AD34/D34</x:f>
        <x:v>-1913813386.666666</x:v>
      </x:c>
      <x:c r="AF34" s="87" t="n">
        <x:f>AD34/P34</x:f>
        <x:v>-956906693.333333</x:v>
      </x:c>
      <x:c r="AG34" s="87" t="n">
        <x:f>IF(T34=0,0,AC34/T34/(1-'01 Base Costs'!$B$11))</x:f>
        <x:v>1005475276.7073148</x:v>
      </x:c>
      <x:c r="AH34" s="88" t="str">
        <x:f>IF(AD34&gt;0,"PROFIT","LOSS")</x:f>
        <x:v>LOSS</x:v>
      </x:c>
      <x:c r="AI34" s="89" t="str">
        <x:v>Base 1M Omega; includes 100k SP bonus. MCT sale 30% off. Extractor 3-for-2 sale.</x:v>
      </x:c>
    </x:row>
    <x:row r="35">
      <x:c r="A35" s="86" t="n">
        <x:v>33</x:v>
      </x:c>
      <x:c r="B35" s="88" t="str">
        <x:v>Base</x:v>
      </x:c>
      <x:c r="C35" s="88" t="str">
        <x:v>1M Omega + Bonus Items</x:v>
      </x:c>
      <x:c r="D35" s="88" t="n">
        <x:v>1</x:v>
      </x:c>
      <x:c r="E35" s="88" t="n">
        <x:v>2</x:v>
      </x:c>
      <x:c r="F35" s="88" t="str">
        <x:v>NES MCT 30% sale</x:v>
      </x:c>
      <x:c r="G35" s="88" t="str">
        <x:v>NES 2-for-1 extractor sale</x:v>
      </x:c>
      <x:c r="H35" s="87" t="n">
        <x:f>'01 Base Costs'!$B$21</x:f>
        <x:v>500</x:v>
      </x:c>
      <x:c r="I35" s="87" t="n">
        <x:f>'01 Base Costs'!$B$16*0.7</x:f>
        <x:v>339.5</x:v>
      </x:c>
      <x:c r="J35" s="87" t="n">
        <x:f>0</x:f>
        <x:v>0</x:v>
      </x:c>
      <x:c r="K35" s="87" t="n">
        <x:f>D35*(E35-1)*I35</x:f>
        <x:v>339.5</x:v>
      </x:c>
      <x:c r="L35" s="87" t="n">
        <x:f>D35*(E35-1)*J35</x:f>
        <x:v>0</x:v>
      </x:c>
      <x:c r="M35" s="87" t="n">
        <x:f>0</x:f>
        <x:v>0</x:v>
      </x:c>
      <x:c r="N35" s="87" t="n">
        <x:f>H35+K35+M35</x:f>
        <x:v>839.5</x:v>
      </x:c>
      <x:c r="O35" s="87" t="n">
        <x:f>N35*'01 Base Costs'!$B$7+L35</x:f>
        <x:v>4037995000</x:v>
      </x:c>
      <x:c r="P35" s="87" t="n">
        <x:f>D35*E35</x:f>
        <x:v>2</x:v>
      </x:c>
      <x:c r="Q35" s="87" t="n">
        <x:f>P35*'01 Base Costs'!$B$12</x:f>
        <x:v>3888000</x:v>
      </x:c>
      <x:c r="R35" s="87" t="n">
        <x:f>'01 Base Costs'!$B$13</x:f>
        <x:v>100000</x:v>
      </x:c>
      <x:c r="S35" s="87" t="n">
        <x:f>Q35+R35</x:f>
        <x:v>3988000</x:v>
      </x:c>
      <x:c r="T35" s="141" t="n">
        <x:f>S35/'01 Base Costs'!$B$14</x:f>
        <x:v>7.976</x:v>
      </x:c>
      <x:c r="U35" s="87" t="n">
        <x:f>INT(T35)</x:f>
        <x:v>7</x:v>
      </x:c>
      <x:c r="V35" s="87" t="n">
        <x:f>S35-U35*'01 Base Costs'!$B$14</x:f>
        <x:v>488000</x:v>
      </x:c>
      <x:c r="W35" s="120" t="n">
        <x:f>'01 Base Costs'!$B$17/2</x:f>
        <x:v>70</x:v>
      </x:c>
      <x:c r="X35" s="120" t="n">
        <x:f>0</x:f>
        <x:v>0</x:v>
      </x:c>
      <x:c r="Y35" s="87" t="n">
        <x:f>T35*(W35*'01 Base Costs'!$B$7+X35)</x:f>
        <x:v>2685519200</x:v>
      </x:c>
      <x:c r="Z35" s="87" t="n">
        <x:f>T35*'01 Base Costs'!$B$8</x:f>
        <x:v>6005130400</x:v>
      </x:c>
      <x:c r="AA35" s="87" t="n">
        <x:f>Z35*'01 Base Costs'!$B$11</x:f>
        <x:v>300256520</x:v>
      </x:c>
      <x:c r="AB35" s="87" t="n">
        <x:f>Z35-AA35</x:f>
        <x:v>5704873880</x:v>
      </x:c>
      <x:c r="AC35" s="87" t="n">
        <x:f>O35+Y35</x:f>
        <x:v>6723514200</x:v>
      </x:c>
      <x:c r="AD35" s="87" t="n">
        <x:f>AB35-AC35</x:f>
        <x:v>-1018640320</x:v>
      </x:c>
      <x:c r="AE35" s="87" t="n">
        <x:f>AD35/D35</x:f>
        <x:v>-1018640320</x:v>
      </x:c>
      <x:c r="AF35" s="87" t="n">
        <x:f>AD35/P35</x:f>
        <x:v>-509320160</x:v>
      </x:c>
      <x:c r="AG35" s="87" t="n">
        <x:f>IF(T35=0,0,AC35/T35/(1-'01 Base Costs'!$B$11))</x:f>
        <x:v>887334925.830122</x:v>
      </x:c>
      <x:c r="AH35" s="88" t="str">
        <x:f>IF(AD35&gt;0,"PROFIT","LOSS")</x:f>
        <x:v>LOSS</x:v>
      </x:c>
      <x:c r="AI35" s="89" t="str">
        <x:v>Base 1M Omega; includes 100k SP bonus. MCT sale 30% off. Extractor 2-for-1 sale.</x:v>
      </x:c>
    </x:row>
    <x:row r="36">
      <x:c r="A36" s="86" t="n">
        <x:v>34</x:v>
      </x:c>
      <x:c r="B36" s="88" t="str">
        <x:v>Base</x:v>
      </x:c>
      <x:c r="C36" s="88" t="str">
        <x:v>1M Omega + Bonus Items</x:v>
      </x:c>
      <x:c r="D36" s="88" t="n">
        <x:v>1</x:v>
      </x:c>
      <x:c r="E36" s="88" t="n">
        <x:v>2</x:v>
      </x:c>
      <x:c r="F36" s="88" t="str">
        <x:v>NES MCT 30% sale</x:v>
      </x:c>
      <x:c r="G36" s="88" t="str">
        <x:v>NES 10-pack extractor 20% sale</x:v>
      </x:c>
      <x:c r="H36" s="87" t="n">
        <x:f>'01 Base Costs'!$B$21</x:f>
        <x:v>500</x:v>
      </x:c>
      <x:c r="I36" s="87" t="n">
        <x:f>'01 Base Costs'!$B$16*0.7</x:f>
        <x:v>339.5</x:v>
      </x:c>
      <x:c r="J36" s="87" t="n">
        <x:f>0</x:f>
        <x:v>0</x:v>
      </x:c>
      <x:c r="K36" s="87" t="n">
        <x:f>D36*(E36-1)*I36</x:f>
        <x:v>339.5</x:v>
      </x:c>
      <x:c r="L36" s="87" t="n">
        <x:f>D36*(E36-1)*J36</x:f>
        <x:v>0</x:v>
      </x:c>
      <x:c r="M36" s="87" t="n">
        <x:f>0</x:f>
        <x:v>0</x:v>
      </x:c>
      <x:c r="N36" s="87" t="n">
        <x:f>H36+K36+M36</x:f>
        <x:v>839.5</x:v>
      </x:c>
      <x:c r="O36" s="87" t="n">
        <x:f>N36*'01 Base Costs'!$B$7+L36</x:f>
        <x:v>4037995000</x:v>
      </x:c>
      <x:c r="P36" s="87" t="n">
        <x:f>D36*E36</x:f>
        <x:v>2</x:v>
      </x:c>
      <x:c r="Q36" s="87" t="n">
        <x:f>P36*'01 Base Costs'!$B$12</x:f>
        <x:v>3888000</x:v>
      </x:c>
      <x:c r="R36" s="87" t="n">
        <x:f>'01 Base Costs'!$B$13</x:f>
        <x:v>100000</x:v>
      </x:c>
      <x:c r="S36" s="87" t="n">
        <x:f>Q36+R36</x:f>
        <x:v>3988000</x:v>
      </x:c>
      <x:c r="T36" s="141" t="n">
        <x:f>S36/'01 Base Costs'!$B$14</x:f>
        <x:v>7.976</x:v>
      </x:c>
      <x:c r="U36" s="87" t="n">
        <x:f>INT(T36)</x:f>
        <x:v>7</x:v>
      </x:c>
      <x:c r="V36" s="87" t="n">
        <x:f>S36-U36*'01 Base Costs'!$B$14</x:f>
        <x:v>488000</x:v>
      </x:c>
      <x:c r="W36" s="120" t="n">
        <x:f>'01 Base Costs'!$B$19*0.8/10</x:f>
        <x:v>95.2</x:v>
      </x:c>
      <x:c r="X36" s="120" t="n">
        <x:f>0</x:f>
        <x:v>0</x:v>
      </x:c>
      <x:c r="Y36" s="87" t="n">
        <x:f>T36*(W36*'01 Base Costs'!$B$7+X36)</x:f>
        <x:v>3652306112</x:v>
      </x:c>
      <x:c r="Z36" s="87" t="n">
        <x:f>T36*'01 Base Costs'!$B$8</x:f>
        <x:v>6005130400</x:v>
      </x:c>
      <x:c r="AA36" s="87" t="n">
        <x:f>Z36*'01 Base Costs'!$B$11</x:f>
        <x:v>300256520</x:v>
      </x:c>
      <x:c r="AB36" s="87" t="n">
        <x:f>Z36-AA36</x:f>
        <x:v>5704873880</x:v>
      </x:c>
      <x:c r="AC36" s="87" t="n">
        <x:f>O36+Y36</x:f>
        <x:v>7690301112</x:v>
      </x:c>
      <x:c r="AD36" s="87" t="n">
        <x:f>AB36-AC36</x:f>
        <x:v>-1985427232</x:v>
      </x:c>
      <x:c r="AE36" s="87" t="n">
        <x:f>AD36/D36</x:f>
        <x:v>-1985427232</x:v>
      </x:c>
      <x:c r="AF36" s="87" t="n">
        <x:f>AD36/P36</x:f>
        <x:v>-992713616</x:v>
      </x:c>
      <x:c r="AG36" s="87" t="n">
        <x:f>IF(T36=0,0,AC36/T36/(1-'01 Base Costs'!$B$11))</x:f>
        <x:v>1014926504.7774904</x:v>
      </x:c>
      <x:c r="AH36" s="88" t="str">
        <x:f>IF(AD36&gt;0,"PROFIT","LOSS")</x:f>
        <x:v>LOSS</x:v>
      </x:c>
      <x:c r="AI36" s="89" t="str">
        <x:v>Base 1M Omega; includes 100k SP bonus. MCT sale 30% off. 10-pack at 20% off.</x:v>
      </x:c>
    </x:row>
    <x:row r="37">
      <x:c r="A37" s="86" t="n">
        <x:v>35</x:v>
      </x:c>
      <x:c r="B37" s="88" t="str">
        <x:v>Base</x:v>
      </x:c>
      <x:c r="C37" s="88" t="str">
        <x:v>1M Omega + Bonus Items</x:v>
      </x:c>
      <x:c r="D37" s="88" t="n">
        <x:v>1</x:v>
      </x:c>
      <x:c r="E37" s="88" t="n">
        <x:v>2</x:v>
      </x:c>
      <x:c r="F37" s="88" t="str">
        <x:v>NES MCT 30% sale</x:v>
      </x:c>
      <x:c r="G37" s="88" t="str">
        <x:v>NES 50-pack extractor 20% sale</x:v>
      </x:c>
      <x:c r="H37" s="87" t="n">
        <x:f>'01 Base Costs'!$B$21</x:f>
        <x:v>500</x:v>
      </x:c>
      <x:c r="I37" s="87" t="n">
        <x:f>'01 Base Costs'!$B$16*0.7</x:f>
        <x:v>339.5</x:v>
      </x:c>
      <x:c r="J37" s="87" t="n">
        <x:f>0</x:f>
        <x:v>0</x:v>
      </x:c>
      <x:c r="K37" s="87" t="n">
        <x:f>D37*(E37-1)*I37</x:f>
        <x:v>339.5</x:v>
      </x:c>
      <x:c r="L37" s="87" t="n">
        <x:f>D37*(E37-1)*J37</x:f>
        <x:v>0</x:v>
      </x:c>
      <x:c r="M37" s="87" t="n">
        <x:f>0</x:f>
        <x:v>0</x:v>
      </x:c>
      <x:c r="N37" s="87" t="n">
        <x:f>H37+K37+M37</x:f>
        <x:v>839.5</x:v>
      </x:c>
      <x:c r="O37" s="87" t="n">
        <x:f>N37*'01 Base Costs'!$B$7+L37</x:f>
        <x:v>4037995000</x:v>
      </x:c>
      <x:c r="P37" s="87" t="n">
        <x:f>D37*E37</x:f>
        <x:v>2</x:v>
      </x:c>
      <x:c r="Q37" s="87" t="n">
        <x:f>P37*'01 Base Costs'!$B$12</x:f>
        <x:v>3888000</x:v>
      </x:c>
      <x:c r="R37" s="87" t="n">
        <x:f>'01 Base Costs'!$B$13</x:f>
        <x:v>100000</x:v>
      </x:c>
      <x:c r="S37" s="87" t="n">
        <x:f>Q37+R37</x:f>
        <x:v>3988000</x:v>
      </x:c>
      <x:c r="T37" s="141" t="n">
        <x:f>S37/'01 Base Costs'!$B$14</x:f>
        <x:v>7.976</x:v>
      </x:c>
      <x:c r="U37" s="87" t="n">
        <x:f>INT(T37)</x:f>
        <x:v>7</x:v>
      </x:c>
      <x:c r="V37" s="87" t="n">
        <x:f>S37-U37*'01 Base Costs'!$B$14</x:f>
        <x:v>488000</x:v>
      </x:c>
      <x:c r="W37" s="120" t="n">
        <x:f>'01 Base Costs'!$B$20*0.8/50</x:f>
        <x:v>89.6</x:v>
      </x:c>
      <x:c r="X37" s="120" t="n">
        <x:f>0</x:f>
        <x:v>0</x:v>
      </x:c>
      <x:c r="Y37" s="87" t="n">
        <x:f>T37*(W37*'01 Base Costs'!$B$7+X37)</x:f>
        <x:v>3437464576</x:v>
      </x:c>
      <x:c r="Z37" s="87" t="n">
        <x:f>T37*'01 Base Costs'!$B$8</x:f>
        <x:v>6005130400</x:v>
      </x:c>
      <x:c r="AA37" s="87" t="n">
        <x:f>Z37*'01 Base Costs'!$B$11</x:f>
        <x:v>300256520</x:v>
      </x:c>
      <x:c r="AB37" s="87" t="n">
        <x:f>Z37-AA37</x:f>
        <x:v>5704873880</x:v>
      </x:c>
      <x:c r="AC37" s="87" t="n">
        <x:f>O37+Y37</x:f>
        <x:v>7475459576</x:v>
      </x:c>
      <x:c r="AD37" s="87" t="n">
        <x:f>AB37-AC37</x:f>
        <x:v>-1770585696</x:v>
      </x:c>
      <x:c r="AE37" s="87" t="n">
        <x:f>AD37/D37</x:f>
        <x:v>-1770585696</x:v>
      </x:c>
      <x:c r="AF37" s="87" t="n">
        <x:f>AD37/P37</x:f>
        <x:v>-885292848</x:v>
      </x:c>
      <x:c r="AG37" s="87" t="n">
        <x:f>IF(T37=0,0,AC37/T37/(1-'01 Base Costs'!$B$11))</x:f>
        <x:v>986572820.566964</x:v>
      </x:c>
      <x:c r="AH37" s="88" t="str">
        <x:f>IF(AD37&gt;0,"PROFIT","LOSS")</x:f>
        <x:v>LOSS</x:v>
      </x:c>
      <x:c r="AI37" s="89" t="str">
        <x:v>Base 1M Omega; includes 100k SP bonus. MCT sale 30% off. 50-pack at 20% off.</x:v>
      </x:c>
    </x:row>
    <x:row r="38">
      <x:c r="A38" s="86" t="n">
        <x:v>36</x:v>
      </x:c>
      <x:c r="B38" s="88" t="str">
        <x:v>Base</x:v>
      </x:c>
      <x:c r="C38" s="88" t="str">
        <x:v>1M Omega + Bonus Items</x:v>
      </x:c>
      <x:c r="D38" s="88" t="n">
        <x:v>1</x:v>
      </x:c>
      <x:c r="E38" s="88" t="n">
        <x:v>2</x:v>
      </x:c>
      <x:c r="F38" s="88" t="str">
        <x:v>NES MCT 30% sale</x:v>
      </x:c>
      <x:c r="G38" s="88" t="str">
        <x:v>Market Skill Extractor</x:v>
      </x:c>
      <x:c r="H38" s="87" t="n">
        <x:f>'01 Base Costs'!$B$21</x:f>
        <x:v>500</x:v>
      </x:c>
      <x:c r="I38" s="87" t="n">
        <x:f>'01 Base Costs'!$B$16*0.7</x:f>
        <x:v>339.5</x:v>
      </x:c>
      <x:c r="J38" s="87" t="n">
        <x:f>0</x:f>
        <x:v>0</x:v>
      </x:c>
      <x:c r="K38" s="87" t="n">
        <x:f>D38*(E38-1)*I38</x:f>
        <x:v>339.5</x:v>
      </x:c>
      <x:c r="L38" s="87" t="n">
        <x:f>D38*(E38-1)*J38</x:f>
        <x:v>0</x:v>
      </x:c>
      <x:c r="M38" s="87" t="n">
        <x:f>0</x:f>
        <x:v>0</x:v>
      </x:c>
      <x:c r="N38" s="87" t="n">
        <x:f>H38+K38+M38</x:f>
        <x:v>839.5</x:v>
      </x:c>
      <x:c r="O38" s="87" t="n">
        <x:f>N38*'01 Base Costs'!$B$7+L38</x:f>
        <x:v>4037995000</x:v>
      </x:c>
      <x:c r="P38" s="87" t="n">
        <x:f>D38*E38</x:f>
        <x:v>2</x:v>
      </x:c>
      <x:c r="Q38" s="87" t="n">
        <x:f>P38*'01 Base Costs'!$B$12</x:f>
        <x:v>3888000</x:v>
      </x:c>
      <x:c r="R38" s="87" t="n">
        <x:f>'01 Base Costs'!$B$13</x:f>
        <x:v>100000</x:v>
      </x:c>
      <x:c r="S38" s="87" t="n">
        <x:f>Q38+R38</x:f>
        <x:v>3988000</x:v>
      </x:c>
      <x:c r="T38" s="141" t="n">
        <x:f>S38/'01 Base Costs'!$B$14</x:f>
        <x:v>7.976</x:v>
      </x:c>
      <x:c r="U38" s="87" t="n">
        <x:f>INT(T38)</x:f>
        <x:v>7</x:v>
      </x:c>
      <x:c r="V38" s="87" t="n">
        <x:f>S38-U38*'01 Base Costs'!$B$14</x:f>
        <x:v>488000</x:v>
      </x:c>
      <x:c r="W38" s="120" t="n">
        <x:f>0</x:f>
        <x:v>0</x:v>
      </x:c>
      <x:c r="X38" s="120" t="n">
        <x:f>'01 Base Costs'!$B$9</x:f>
        <x:v>463500000</x:v>
      </x:c>
      <x:c r="Y38" s="87" t="n">
        <x:f>T38*(W38*'01 Base Costs'!$B$7+X38)</x:f>
        <x:v>3696876000</x:v>
      </x:c>
      <x:c r="Z38" s="87" t="n">
        <x:f>T38*'01 Base Costs'!$B$8</x:f>
        <x:v>6005130400</x:v>
      </x:c>
      <x:c r="AA38" s="87" t="n">
        <x:f>Z38*'01 Base Costs'!$B$11</x:f>
        <x:v>300256520</x:v>
      </x:c>
      <x:c r="AB38" s="87" t="n">
        <x:f>Z38-AA38</x:f>
        <x:v>5704873880</x:v>
      </x:c>
      <x:c r="AC38" s="87" t="n">
        <x:f>O38+Y38</x:f>
        <x:v>7734871000</x:v>
      </x:c>
      <x:c r="AD38" s="87" t="n">
        <x:f>AB38-AC38</x:f>
        <x:v>-2029997120</x:v>
      </x:c>
      <x:c r="AE38" s="87" t="n">
        <x:f>AD38/D38</x:f>
        <x:v>-2029997120</x:v>
      </x:c>
      <x:c r="AF38" s="87" t="n">
        <x:f>AD38/P38</x:f>
        <x:v>-1014998560</x:v>
      </x:c>
      <x:c r="AG38" s="87" t="n">
        <x:f>IF(T38=0,0,AC38/T38/(1-'01 Base Costs'!$B$11))</x:f>
        <x:v>1020808610.0406483</x:v>
      </x:c>
      <x:c r="AH38" s="88" t="str">
        <x:f>IF(AD38&gt;0,"PROFIT","LOSS")</x:f>
        <x:v>LOSS</x:v>
      </x:c>
      <x:c r="AI38" s="89" t="str">
        <x:v>Base 1M Omega; includes 100k SP bonus. MCT sale 30% off. Extractor bought on market with ISK.</x:v>
      </x:c>
    </x:row>
    <x:row r="39">
      <x:c r="A39" s="86" t="n">
        <x:v>37</x:v>
      </x:c>
      <x:c r="B39" s="88" t="str">
        <x:v>Base</x:v>
      </x:c>
      <x:c r="C39" s="88" t="str">
        <x:v>1M Omega + Bonus Items</x:v>
      </x:c>
      <x:c r="D39" s="88" t="n">
        <x:v>1</x:v>
      </x:c>
      <x:c r="E39" s="88" t="n">
        <x:v>2</x:v>
      </x:c>
      <x:c r="F39" s="88" t="str">
        <x:v>NES MCT 40% sale</x:v>
      </x:c>
      <x:c r="G39" s="88" t="str">
        <x:v>NES single extractor</x:v>
      </x:c>
      <x:c r="H39" s="87" t="n">
        <x:f>'01 Base Costs'!$B$21</x:f>
        <x:v>500</x:v>
      </x:c>
      <x:c r="I39" s="87" t="n">
        <x:f>'01 Base Costs'!$B$16*0.6</x:f>
        <x:v>291</x:v>
      </x:c>
      <x:c r="J39" s="87" t="n">
        <x:f>0</x:f>
        <x:v>0</x:v>
      </x:c>
      <x:c r="K39" s="87" t="n">
        <x:f>D39*(E39-1)*I39</x:f>
        <x:v>291</x:v>
      </x:c>
      <x:c r="L39" s="87" t="n">
        <x:f>D39*(E39-1)*J39</x:f>
        <x:v>0</x:v>
      </x:c>
      <x:c r="M39" s="87" t="n">
        <x:f>0</x:f>
        <x:v>0</x:v>
      </x:c>
      <x:c r="N39" s="87" t="n">
        <x:f>H39+K39+M39</x:f>
        <x:v>791</x:v>
      </x:c>
      <x:c r="O39" s="87" t="n">
        <x:f>N39*'01 Base Costs'!$B$7+L39</x:f>
        <x:v>3804710000</x:v>
      </x:c>
      <x:c r="P39" s="87" t="n">
        <x:f>D39*E39</x:f>
        <x:v>2</x:v>
      </x:c>
      <x:c r="Q39" s="87" t="n">
        <x:f>P39*'01 Base Costs'!$B$12</x:f>
        <x:v>3888000</x:v>
      </x:c>
      <x:c r="R39" s="87" t="n">
        <x:f>'01 Base Costs'!$B$13</x:f>
        <x:v>100000</x:v>
      </x:c>
      <x:c r="S39" s="87" t="n">
        <x:f>Q39+R39</x:f>
        <x:v>3988000</x:v>
      </x:c>
      <x:c r="T39" s="141" t="n">
        <x:f>S39/'01 Base Costs'!$B$14</x:f>
        <x:v>7.976</x:v>
      </x:c>
      <x:c r="U39" s="87" t="n">
        <x:f>INT(T39)</x:f>
        <x:v>7</x:v>
      </x:c>
      <x:c r="V39" s="87" t="n">
        <x:f>S39-U39*'01 Base Costs'!$B$14</x:f>
        <x:v>488000</x:v>
      </x:c>
      <x:c r="W39" s="120" t="n">
        <x:f>'01 Base Costs'!$B$17</x:f>
        <x:v>140</x:v>
      </x:c>
      <x:c r="X39" s="120" t="n">
        <x:f>0</x:f>
        <x:v>0</x:v>
      </x:c>
      <x:c r="Y39" s="87" t="n">
        <x:f>T39*(W39*'01 Base Costs'!$B$7+X39)</x:f>
        <x:v>5371038400</x:v>
      </x:c>
      <x:c r="Z39" s="87" t="n">
        <x:f>T39*'01 Base Costs'!$B$8</x:f>
        <x:v>6005130400</x:v>
      </x:c>
      <x:c r="AA39" s="87" t="n">
        <x:f>Z39*'01 Base Costs'!$B$11</x:f>
        <x:v>300256520</x:v>
      </x:c>
      <x:c r="AB39" s="87" t="n">
        <x:f>Z39-AA39</x:f>
        <x:v>5704873880</x:v>
      </x:c>
      <x:c r="AC39" s="87" t="n">
        <x:f>O39+Y39</x:f>
        <x:v>9175748400</x:v>
      </x:c>
      <x:c r="AD39" s="87" t="n">
        <x:f>AB39-AC39</x:f>
        <x:v>-3470874520</x:v>
      </x:c>
      <x:c r="AE39" s="87" t="n">
        <x:f>AD39/D39</x:f>
        <x:v>-3470874520</x:v>
      </x:c>
      <x:c r="AF39" s="87" t="n">
        <x:f>AD39/P39</x:f>
        <x:v>-1735437260</x:v>
      </x:c>
      <x:c r="AG39" s="87" t="n">
        <x:f>IF(T39=0,0,AC39/T39/(1-'01 Base Costs'!$B$11))</x:f>
        <x:v>1210968220.4508262</x:v>
      </x:c>
      <x:c r="AH39" s="88" t="str">
        <x:f>IF(AD39&gt;0,"PROFIT","LOSS")</x:f>
        <x:v>LOSS</x:v>
      </x:c>
      <x:c r="AI39" s="89" t="str">
        <x:v>Base 1M Omega; includes 100k SP bonus. MCT sale 40% off. Base single extractor.</x:v>
      </x:c>
    </x:row>
    <x:row r="40">
      <x:c r="A40" s="86" t="n">
        <x:v>38</x:v>
      </x:c>
      <x:c r="B40" s="88" t="str">
        <x:v>Base</x:v>
      </x:c>
      <x:c r="C40" s="88" t="str">
        <x:v>1M Omega + Bonus Items</x:v>
      </x:c>
      <x:c r="D40" s="88" t="n">
        <x:v>1</x:v>
      </x:c>
      <x:c r="E40" s="88" t="n">
        <x:v>2</x:v>
      </x:c>
      <x:c r="F40" s="88" t="str">
        <x:v>NES MCT 40% sale</x:v>
      </x:c>
      <x:c r="G40" s="88" t="str">
        <x:v>NES 5-pack extractor</x:v>
      </x:c>
      <x:c r="H40" s="87" t="n">
        <x:f>'01 Base Costs'!$B$21</x:f>
        <x:v>500</x:v>
      </x:c>
      <x:c r="I40" s="87" t="n">
        <x:f>'01 Base Costs'!$B$16*0.6</x:f>
        <x:v>291</x:v>
      </x:c>
      <x:c r="J40" s="87" t="n">
        <x:f>0</x:f>
        <x:v>0</x:v>
      </x:c>
      <x:c r="K40" s="87" t="n">
        <x:f>D40*(E40-1)*I40</x:f>
        <x:v>291</x:v>
      </x:c>
      <x:c r="L40" s="87" t="n">
        <x:f>D40*(E40-1)*J40</x:f>
        <x:v>0</x:v>
      </x:c>
      <x:c r="M40" s="87" t="n">
        <x:f>0</x:f>
        <x:v>0</x:v>
      </x:c>
      <x:c r="N40" s="87" t="n">
        <x:f>H40+K40+M40</x:f>
        <x:v>791</x:v>
      </x:c>
      <x:c r="O40" s="87" t="n">
        <x:f>N40*'01 Base Costs'!$B$7+L40</x:f>
        <x:v>3804710000</x:v>
      </x:c>
      <x:c r="P40" s="87" t="n">
        <x:f>D40*E40</x:f>
        <x:v>2</x:v>
      </x:c>
      <x:c r="Q40" s="87" t="n">
        <x:f>P40*'01 Base Costs'!$B$12</x:f>
        <x:v>3888000</x:v>
      </x:c>
      <x:c r="R40" s="87" t="n">
        <x:f>'01 Base Costs'!$B$13</x:f>
        <x:v>100000</x:v>
      </x:c>
      <x:c r="S40" s="87" t="n">
        <x:f>Q40+R40</x:f>
        <x:v>3988000</x:v>
      </x:c>
      <x:c r="T40" s="141" t="n">
        <x:f>S40/'01 Base Costs'!$B$14</x:f>
        <x:v>7.976</x:v>
      </x:c>
      <x:c r="U40" s="87" t="n">
        <x:f>INT(T40)</x:f>
        <x:v>7</x:v>
      </x:c>
      <x:c r="V40" s="87" t="n">
        <x:f>S40-U40*'01 Base Costs'!$B$14</x:f>
        <x:v>488000</x:v>
      </x:c>
      <x:c r="W40" s="120" t="n">
        <x:f>'01 Base Costs'!$B$18/5</x:f>
        <x:v>126</x:v>
      </x:c>
      <x:c r="X40" s="120" t="n">
        <x:f>0</x:f>
        <x:v>0</x:v>
      </x:c>
      <x:c r="Y40" s="87" t="n">
        <x:f>T40*(W40*'01 Base Costs'!$B$7+X40)</x:f>
        <x:v>4833934560</x:v>
      </x:c>
      <x:c r="Z40" s="87" t="n">
        <x:f>T40*'01 Base Costs'!$B$8</x:f>
        <x:v>6005130400</x:v>
      </x:c>
      <x:c r="AA40" s="87" t="n">
        <x:f>Z40*'01 Base Costs'!$B$11</x:f>
        <x:v>300256520</x:v>
      </x:c>
      <x:c r="AB40" s="87" t="n">
        <x:f>Z40-AA40</x:f>
        <x:v>5704873880</x:v>
      </x:c>
      <x:c r="AC40" s="87" t="n">
        <x:f>O40+Y40</x:f>
        <x:v>8638644560</x:v>
      </x:c>
      <x:c r="AD40" s="87" t="n">
        <x:f>AB40-AC40</x:f>
        <x:v>-2933770680</x:v>
      </x:c>
      <x:c r="AE40" s="87" t="n">
        <x:f>AD40/D40</x:f>
        <x:v>-2933770680</x:v>
      </x:c>
      <x:c r="AF40" s="87" t="n">
        <x:f>AD40/P40</x:f>
        <x:v>-1466885340</x:v>
      </x:c>
      <x:c r="AG40" s="87" t="n">
        <x:f>IF(T40=0,0,AC40/T40/(1-'01 Base Costs'!$B$11))</x:f>
        <x:v>1140084009.9245105</x:v>
      </x:c>
      <x:c r="AH40" s="88" t="str">
        <x:f>IF(AD40&gt;0,"PROFIT","LOSS")</x:f>
        <x:v>LOSS</x:v>
      </x:c>
      <x:c r="AI40" s="89" t="str">
        <x:v>Base 1M Omega; includes 100k SP bonus. MCT sale 40% off. Base 5-pack average.</x:v>
      </x:c>
    </x:row>
    <x:row r="41">
      <x:c r="A41" s="86" t="n">
        <x:v>39</x:v>
      </x:c>
      <x:c r="B41" s="88" t="str">
        <x:v>Base</x:v>
      </x:c>
      <x:c r="C41" s="88" t="str">
        <x:v>1M Omega + Bonus Items</x:v>
      </x:c>
      <x:c r="D41" s="88" t="n">
        <x:v>1</x:v>
      </x:c>
      <x:c r="E41" s="88" t="n">
        <x:v>2</x:v>
      </x:c>
      <x:c r="F41" s="88" t="str">
        <x:v>NES MCT 40% sale</x:v>
      </x:c>
      <x:c r="G41" s="88" t="str">
        <x:v>NES 10-pack extractor</x:v>
      </x:c>
      <x:c r="H41" s="87" t="n">
        <x:f>'01 Base Costs'!$B$21</x:f>
        <x:v>500</x:v>
      </x:c>
      <x:c r="I41" s="87" t="n">
        <x:f>'01 Base Costs'!$B$16*0.6</x:f>
        <x:v>291</x:v>
      </x:c>
      <x:c r="J41" s="87" t="n">
        <x:f>0</x:f>
        <x:v>0</x:v>
      </x:c>
      <x:c r="K41" s="87" t="n">
        <x:f>D41*(E41-1)*I41</x:f>
        <x:v>291</x:v>
      </x:c>
      <x:c r="L41" s="87" t="n">
        <x:f>D41*(E41-1)*J41</x:f>
        <x:v>0</x:v>
      </x:c>
      <x:c r="M41" s="87" t="n">
        <x:f>0</x:f>
        <x:v>0</x:v>
      </x:c>
      <x:c r="N41" s="87" t="n">
        <x:f>H41+K41+M41</x:f>
        <x:v>791</x:v>
      </x:c>
      <x:c r="O41" s="87" t="n">
        <x:f>N41*'01 Base Costs'!$B$7+L41</x:f>
        <x:v>3804710000</x:v>
      </x:c>
      <x:c r="P41" s="87" t="n">
        <x:f>D41*E41</x:f>
        <x:v>2</x:v>
      </x:c>
      <x:c r="Q41" s="87" t="n">
        <x:f>P41*'01 Base Costs'!$B$12</x:f>
        <x:v>3888000</x:v>
      </x:c>
      <x:c r="R41" s="87" t="n">
        <x:f>'01 Base Costs'!$B$13</x:f>
        <x:v>100000</x:v>
      </x:c>
      <x:c r="S41" s="87" t="n">
        <x:f>Q41+R41</x:f>
        <x:v>3988000</x:v>
      </x:c>
      <x:c r="T41" s="141" t="n">
        <x:f>S41/'01 Base Costs'!$B$14</x:f>
        <x:v>7.976</x:v>
      </x:c>
      <x:c r="U41" s="87" t="n">
        <x:f>INT(T41)</x:f>
        <x:v>7</x:v>
      </x:c>
      <x:c r="V41" s="87" t="n">
        <x:f>S41-U41*'01 Base Costs'!$B$14</x:f>
        <x:v>488000</x:v>
      </x:c>
      <x:c r="W41" s="120" t="n">
        <x:f>'01 Base Costs'!$B$19/10</x:f>
        <x:v>119</x:v>
      </x:c>
      <x:c r="X41" s="120" t="n">
        <x:f>0</x:f>
        <x:v>0</x:v>
      </x:c>
      <x:c r="Y41" s="87" t="n">
        <x:f>T41*(W41*'01 Base Costs'!$B$7+X41)</x:f>
        <x:v>4565382640</x:v>
      </x:c>
      <x:c r="Z41" s="87" t="n">
        <x:f>T41*'01 Base Costs'!$B$8</x:f>
        <x:v>6005130400</x:v>
      </x:c>
      <x:c r="AA41" s="87" t="n">
        <x:f>Z41*'01 Base Costs'!$B$11</x:f>
        <x:v>300256520</x:v>
      </x:c>
      <x:c r="AB41" s="87" t="n">
        <x:f>Z41-AA41</x:f>
        <x:v>5704873880</x:v>
      </x:c>
      <x:c r="AC41" s="87" t="n">
        <x:f>O41+Y41</x:f>
        <x:v>8370092640</x:v>
      </x:c>
      <x:c r="AD41" s="87" t="n">
        <x:f>AB41-AC41</x:f>
        <x:v>-2665218760</x:v>
      </x:c>
      <x:c r="AE41" s="87" t="n">
        <x:f>AD41/D41</x:f>
        <x:v>-2665218760</x:v>
      </x:c>
      <x:c r="AF41" s="87" t="n">
        <x:f>AD41/P41</x:f>
        <x:v>-1332609380</x:v>
      </x:c>
      <x:c r="AG41" s="87" t="n">
        <x:f>IF(T41=0,0,AC41/T41/(1-'01 Base Costs'!$B$11))</x:f>
        <x:v>1104641904.6613526</x:v>
      </x:c>
      <x:c r="AH41" s="88" t="str">
        <x:f>IF(AD41&gt;0,"PROFIT","LOSS")</x:f>
        <x:v>LOSS</x:v>
      </x:c>
      <x:c r="AI41" s="89" t="str">
        <x:v>Base 1M Omega; includes 100k SP bonus. MCT sale 40% off. Base 10-pack average.</x:v>
      </x:c>
    </x:row>
    <x:row r="42">
      <x:c r="A42" s="86" t="n">
        <x:v>40</x:v>
      </x:c>
      <x:c r="B42" s="88" t="str">
        <x:v>Base</x:v>
      </x:c>
      <x:c r="C42" s="88" t="str">
        <x:v>1M Omega + Bonus Items</x:v>
      </x:c>
      <x:c r="D42" s="88" t="n">
        <x:v>1</x:v>
      </x:c>
      <x:c r="E42" s="88" t="n">
        <x:v>2</x:v>
      </x:c>
      <x:c r="F42" s="88" t="str">
        <x:v>NES MCT 40% sale</x:v>
      </x:c>
      <x:c r="G42" s="88" t="str">
        <x:v>NES 50-pack extractor</x:v>
      </x:c>
      <x:c r="H42" s="87" t="n">
        <x:f>'01 Base Costs'!$B$21</x:f>
        <x:v>500</x:v>
      </x:c>
      <x:c r="I42" s="87" t="n">
        <x:f>'01 Base Costs'!$B$16*0.6</x:f>
        <x:v>291</x:v>
      </x:c>
      <x:c r="J42" s="87" t="n">
        <x:f>0</x:f>
        <x:v>0</x:v>
      </x:c>
      <x:c r="K42" s="87" t="n">
        <x:f>D42*(E42-1)*I42</x:f>
        <x:v>291</x:v>
      </x:c>
      <x:c r="L42" s="87" t="n">
        <x:f>D42*(E42-1)*J42</x:f>
        <x:v>0</x:v>
      </x:c>
      <x:c r="M42" s="87" t="n">
        <x:f>0</x:f>
        <x:v>0</x:v>
      </x:c>
      <x:c r="N42" s="87" t="n">
        <x:f>H42+K42+M42</x:f>
        <x:v>791</x:v>
      </x:c>
      <x:c r="O42" s="87" t="n">
        <x:f>N42*'01 Base Costs'!$B$7+L42</x:f>
        <x:v>3804710000</x:v>
      </x:c>
      <x:c r="P42" s="87" t="n">
        <x:f>D42*E42</x:f>
        <x:v>2</x:v>
      </x:c>
      <x:c r="Q42" s="87" t="n">
        <x:f>P42*'01 Base Costs'!$B$12</x:f>
        <x:v>3888000</x:v>
      </x:c>
      <x:c r="R42" s="87" t="n">
        <x:f>'01 Base Costs'!$B$13</x:f>
        <x:v>100000</x:v>
      </x:c>
      <x:c r="S42" s="87" t="n">
        <x:f>Q42+R42</x:f>
        <x:v>3988000</x:v>
      </x:c>
      <x:c r="T42" s="141" t="n">
        <x:f>S42/'01 Base Costs'!$B$14</x:f>
        <x:v>7.976</x:v>
      </x:c>
      <x:c r="U42" s="87" t="n">
        <x:f>INT(T42)</x:f>
        <x:v>7</x:v>
      </x:c>
      <x:c r="V42" s="87" t="n">
        <x:f>S42-U42*'01 Base Costs'!$B$14</x:f>
        <x:v>488000</x:v>
      </x:c>
      <x:c r="W42" s="120" t="n">
        <x:f>'01 Base Costs'!$B$20/50</x:f>
        <x:v>112</x:v>
      </x:c>
      <x:c r="X42" s="120" t="n">
        <x:f>0</x:f>
        <x:v>0</x:v>
      </x:c>
      <x:c r="Y42" s="87" t="n">
        <x:f>T42*(W42*'01 Base Costs'!$B$7+X42)</x:f>
        <x:v>4296830720</x:v>
      </x:c>
      <x:c r="Z42" s="87" t="n">
        <x:f>T42*'01 Base Costs'!$B$8</x:f>
        <x:v>6005130400</x:v>
      </x:c>
      <x:c r="AA42" s="87" t="n">
        <x:f>Z42*'01 Base Costs'!$B$11</x:f>
        <x:v>300256520</x:v>
      </x:c>
      <x:c r="AB42" s="87" t="n">
        <x:f>Z42-AA42</x:f>
        <x:v>5704873880</x:v>
      </x:c>
      <x:c r="AC42" s="87" t="n">
        <x:f>O42+Y42</x:f>
        <x:v>8101540720</x:v>
      </x:c>
      <x:c r="AD42" s="87" t="n">
        <x:f>AB42-AC42</x:f>
        <x:v>-2396666840</x:v>
      </x:c>
      <x:c r="AE42" s="87" t="n">
        <x:f>AD42/D42</x:f>
        <x:v>-2396666840</x:v>
      </x:c>
      <x:c r="AF42" s="87" t="n">
        <x:f>AD42/P42</x:f>
        <x:v>-1198333420</x:v>
      </x:c>
      <x:c r="AG42" s="87" t="n">
        <x:f>IF(T42=0,0,AC42/T42/(1-'01 Base Costs'!$B$11))</x:f>
        <x:v>1069199799.3981947</x:v>
      </x:c>
      <x:c r="AH42" s="88" t="str">
        <x:f>IF(AD42&gt;0,"PROFIT","LOSS")</x:f>
        <x:v>LOSS</x:v>
      </x:c>
      <x:c r="AI42" s="89" t="str">
        <x:v>Base 1M Omega; includes 100k SP bonus. MCT sale 40% off. Base 50-pack average.</x:v>
      </x:c>
    </x:row>
    <x:row r="43">
      <x:c r="A43" s="86" t="n">
        <x:v>41</x:v>
      </x:c>
      <x:c r="B43" s="88" t="str">
        <x:v>Base</x:v>
      </x:c>
      <x:c r="C43" s="88" t="str">
        <x:v>1M Omega + Bonus Items</x:v>
      </x:c>
      <x:c r="D43" s="88" t="n">
        <x:v>1</x:v>
      </x:c>
      <x:c r="E43" s="88" t="n">
        <x:v>2</x:v>
      </x:c>
      <x:c r="F43" s="88" t="str">
        <x:v>NES MCT 40% sale</x:v>
      </x:c>
      <x:c r="G43" s="88" t="str">
        <x:v>NES 3-for-2 extractor sale</x:v>
      </x:c>
      <x:c r="H43" s="87" t="n">
        <x:f>'01 Base Costs'!$B$21</x:f>
        <x:v>500</x:v>
      </x:c>
      <x:c r="I43" s="87" t="n">
        <x:f>'01 Base Costs'!$B$16*0.6</x:f>
        <x:v>291</x:v>
      </x:c>
      <x:c r="J43" s="87" t="n">
        <x:f>0</x:f>
        <x:v>0</x:v>
      </x:c>
      <x:c r="K43" s="87" t="n">
        <x:f>D43*(E43-1)*I43</x:f>
        <x:v>291</x:v>
      </x:c>
      <x:c r="L43" s="87" t="n">
        <x:f>D43*(E43-1)*J43</x:f>
        <x:v>0</x:v>
      </x:c>
      <x:c r="M43" s="87" t="n">
        <x:f>0</x:f>
        <x:v>0</x:v>
      </x:c>
      <x:c r="N43" s="87" t="n">
        <x:f>H43+K43+M43</x:f>
        <x:v>791</x:v>
      </x:c>
      <x:c r="O43" s="87" t="n">
        <x:f>N43*'01 Base Costs'!$B$7+L43</x:f>
        <x:v>3804710000</x:v>
      </x:c>
      <x:c r="P43" s="87" t="n">
        <x:f>D43*E43</x:f>
        <x:v>2</x:v>
      </x:c>
      <x:c r="Q43" s="87" t="n">
        <x:f>P43*'01 Base Costs'!$B$12</x:f>
        <x:v>3888000</x:v>
      </x:c>
      <x:c r="R43" s="87" t="n">
        <x:f>'01 Base Costs'!$B$13</x:f>
        <x:v>100000</x:v>
      </x:c>
      <x:c r="S43" s="87" t="n">
        <x:f>Q43+R43</x:f>
        <x:v>3988000</x:v>
      </x:c>
      <x:c r="T43" s="141" t="n">
        <x:f>S43/'01 Base Costs'!$B$14</x:f>
        <x:v>7.976</x:v>
      </x:c>
      <x:c r="U43" s="87" t="n">
        <x:f>INT(T43)</x:f>
        <x:v>7</x:v>
      </x:c>
      <x:c r="V43" s="87" t="n">
        <x:f>S43-U43*'01 Base Costs'!$B$14</x:f>
        <x:v>488000</x:v>
      </x:c>
      <x:c r="W43" s="120" t="n">
        <x:f>'01 Base Costs'!$B$17*2/3</x:f>
        <x:v>93.33333333333333</x:v>
      </x:c>
      <x:c r="X43" s="120" t="n">
        <x:f>0</x:f>
        <x:v>0</x:v>
      </x:c>
      <x:c r="Y43" s="87" t="n">
        <x:f>T43*(W43*'01 Base Costs'!$B$7+X43)</x:f>
        <x:v>3580692266.6666665</x:v>
      </x:c>
      <x:c r="Z43" s="87" t="n">
        <x:f>T43*'01 Base Costs'!$B$8</x:f>
        <x:v>6005130400</x:v>
      </x:c>
      <x:c r="AA43" s="87" t="n">
        <x:f>Z43*'01 Base Costs'!$B$11</x:f>
        <x:v>300256520</x:v>
      </x:c>
      <x:c r="AB43" s="87" t="n">
        <x:f>Z43-AA43</x:f>
        <x:v>5704873880</x:v>
      </x:c>
      <x:c r="AC43" s="87" t="n">
        <x:f>O43+Y43</x:f>
        <x:v>7385402266.666666</x:v>
      </x:c>
      <x:c r="AD43" s="87" t="n">
        <x:f>AB43-AC43</x:f>
        <x:v>-1680528386.666666</x:v>
      </x:c>
      <x:c r="AE43" s="87" t="n">
        <x:f>AD43/D43</x:f>
        <x:v>-1680528386.666666</x:v>
      </x:c>
      <x:c r="AF43" s="87" t="n">
        <x:f>AD43/P43</x:f>
        <x:v>-840264193.333333</x:v>
      </x:c>
      <x:c r="AG43" s="87" t="n">
        <x:f>IF(T43=0,0,AC43/T43/(1-'01 Base Costs'!$B$11))</x:f>
        <x:v>974687518.6964402</x:v>
      </x:c>
      <x:c r="AH43" s="88" t="str">
        <x:f>IF(AD43&gt;0,"PROFIT","LOSS")</x:f>
        <x:v>LOSS</x:v>
      </x:c>
      <x:c r="AI43" s="89" t="str">
        <x:v>Base 1M Omega; includes 100k SP bonus. MCT sale 40% off. Extractor 3-for-2 sale.</x:v>
      </x:c>
    </x:row>
    <x:row r="44">
      <x:c r="A44" s="86" t="n">
        <x:v>42</x:v>
      </x:c>
      <x:c r="B44" s="88" t="str">
        <x:v>Base</x:v>
      </x:c>
      <x:c r="C44" s="88" t="str">
        <x:v>1M Omega + Bonus Items</x:v>
      </x:c>
      <x:c r="D44" s="88" t="n">
        <x:v>1</x:v>
      </x:c>
      <x:c r="E44" s="88" t="n">
        <x:v>2</x:v>
      </x:c>
      <x:c r="F44" s="88" t="str">
        <x:v>NES MCT 40% sale</x:v>
      </x:c>
      <x:c r="G44" s="88" t="str">
        <x:v>NES 2-for-1 extractor sale</x:v>
      </x:c>
      <x:c r="H44" s="87" t="n">
        <x:f>'01 Base Costs'!$B$21</x:f>
        <x:v>500</x:v>
      </x:c>
      <x:c r="I44" s="87" t="n">
        <x:f>'01 Base Costs'!$B$16*0.6</x:f>
        <x:v>291</x:v>
      </x:c>
      <x:c r="J44" s="87" t="n">
        <x:f>0</x:f>
        <x:v>0</x:v>
      </x:c>
      <x:c r="K44" s="87" t="n">
        <x:f>D44*(E44-1)*I44</x:f>
        <x:v>291</x:v>
      </x:c>
      <x:c r="L44" s="87" t="n">
        <x:f>D44*(E44-1)*J44</x:f>
        <x:v>0</x:v>
      </x:c>
      <x:c r="M44" s="87" t="n">
        <x:f>0</x:f>
        <x:v>0</x:v>
      </x:c>
      <x:c r="N44" s="87" t="n">
        <x:f>H44+K44+M44</x:f>
        <x:v>791</x:v>
      </x:c>
      <x:c r="O44" s="87" t="n">
        <x:f>N44*'01 Base Costs'!$B$7+L44</x:f>
        <x:v>3804710000</x:v>
      </x:c>
      <x:c r="P44" s="87" t="n">
        <x:f>D44*E44</x:f>
        <x:v>2</x:v>
      </x:c>
      <x:c r="Q44" s="87" t="n">
        <x:f>P44*'01 Base Costs'!$B$12</x:f>
        <x:v>3888000</x:v>
      </x:c>
      <x:c r="R44" s="87" t="n">
        <x:f>'01 Base Costs'!$B$13</x:f>
        <x:v>100000</x:v>
      </x:c>
      <x:c r="S44" s="87" t="n">
        <x:f>Q44+R44</x:f>
        <x:v>3988000</x:v>
      </x:c>
      <x:c r="T44" s="141" t="n">
        <x:f>S44/'01 Base Costs'!$B$14</x:f>
        <x:v>7.976</x:v>
      </x:c>
      <x:c r="U44" s="87" t="n">
        <x:f>INT(T44)</x:f>
        <x:v>7</x:v>
      </x:c>
      <x:c r="V44" s="87" t="n">
        <x:f>S44-U44*'01 Base Costs'!$B$14</x:f>
        <x:v>488000</x:v>
      </x:c>
      <x:c r="W44" s="120" t="n">
        <x:f>'01 Base Costs'!$B$17/2</x:f>
        <x:v>70</x:v>
      </x:c>
      <x:c r="X44" s="120" t="n">
        <x:f>0</x:f>
        <x:v>0</x:v>
      </x:c>
      <x:c r="Y44" s="87" t="n">
        <x:f>T44*(W44*'01 Base Costs'!$B$7+X44)</x:f>
        <x:v>2685519200</x:v>
      </x:c>
      <x:c r="Z44" s="87" t="n">
        <x:f>T44*'01 Base Costs'!$B$8</x:f>
        <x:v>6005130400</x:v>
      </x:c>
      <x:c r="AA44" s="87" t="n">
        <x:f>Z44*'01 Base Costs'!$B$11</x:f>
        <x:v>300256520</x:v>
      </x:c>
      <x:c r="AB44" s="87" t="n">
        <x:f>Z44-AA44</x:f>
        <x:v>5704873880</x:v>
      </x:c>
      <x:c r="AC44" s="87" t="n">
        <x:f>O44+Y44</x:f>
        <x:v>6490229200</x:v>
      </x:c>
      <x:c r="AD44" s="87" t="n">
        <x:f>AB44-AC44</x:f>
        <x:v>-785355320</x:v>
      </x:c>
      <x:c r="AE44" s="87" t="n">
        <x:f>AD44/D44</x:f>
        <x:v>-785355320</x:v>
      </x:c>
      <x:c r="AF44" s="87" t="n">
        <x:f>AD44/P44</x:f>
        <x:v>-392677660</x:v>
      </x:c>
      <x:c r="AG44" s="87" t="n">
        <x:f>IF(T44=0,0,AC44/T44/(1-'01 Base Costs'!$B$11))</x:f>
        <x:v>856547167.8192472</x:v>
      </x:c>
      <x:c r="AH44" s="88" t="str">
        <x:f>IF(AD44&gt;0,"PROFIT","LOSS")</x:f>
        <x:v>LOSS</x:v>
      </x:c>
      <x:c r="AI44" s="89" t="str">
        <x:v>Base 1M Omega; includes 100k SP bonus. MCT sale 40% off. Extractor 2-for-1 sale.</x:v>
      </x:c>
    </x:row>
    <x:row r="45">
      <x:c r="A45" s="86" t="n">
        <x:v>43</x:v>
      </x:c>
      <x:c r="B45" s="88" t="str">
        <x:v>Base</x:v>
      </x:c>
      <x:c r="C45" s="88" t="str">
        <x:v>1M Omega + Bonus Items</x:v>
      </x:c>
      <x:c r="D45" s="88" t="n">
        <x:v>1</x:v>
      </x:c>
      <x:c r="E45" s="88" t="n">
        <x:v>2</x:v>
      </x:c>
      <x:c r="F45" s="88" t="str">
        <x:v>NES MCT 40% sale</x:v>
      </x:c>
      <x:c r="G45" s="88" t="str">
        <x:v>NES 10-pack extractor 20% sale</x:v>
      </x:c>
      <x:c r="H45" s="87" t="n">
        <x:f>'01 Base Costs'!$B$21</x:f>
        <x:v>500</x:v>
      </x:c>
      <x:c r="I45" s="87" t="n">
        <x:f>'01 Base Costs'!$B$16*0.6</x:f>
        <x:v>291</x:v>
      </x:c>
      <x:c r="J45" s="87" t="n">
        <x:f>0</x:f>
        <x:v>0</x:v>
      </x:c>
      <x:c r="K45" s="87" t="n">
        <x:f>D45*(E45-1)*I45</x:f>
        <x:v>291</x:v>
      </x:c>
      <x:c r="L45" s="87" t="n">
        <x:f>D45*(E45-1)*J45</x:f>
        <x:v>0</x:v>
      </x:c>
      <x:c r="M45" s="87" t="n">
        <x:f>0</x:f>
        <x:v>0</x:v>
      </x:c>
      <x:c r="N45" s="87" t="n">
        <x:f>H45+K45+M45</x:f>
        <x:v>791</x:v>
      </x:c>
      <x:c r="O45" s="87" t="n">
        <x:f>N45*'01 Base Costs'!$B$7+L45</x:f>
        <x:v>3804710000</x:v>
      </x:c>
      <x:c r="P45" s="87" t="n">
        <x:f>D45*E45</x:f>
        <x:v>2</x:v>
      </x:c>
      <x:c r="Q45" s="87" t="n">
        <x:f>P45*'01 Base Costs'!$B$12</x:f>
        <x:v>3888000</x:v>
      </x:c>
      <x:c r="R45" s="87" t="n">
        <x:f>'01 Base Costs'!$B$13</x:f>
        <x:v>100000</x:v>
      </x:c>
      <x:c r="S45" s="87" t="n">
        <x:f>Q45+R45</x:f>
        <x:v>3988000</x:v>
      </x:c>
      <x:c r="T45" s="141" t="n">
        <x:f>S45/'01 Base Costs'!$B$14</x:f>
        <x:v>7.976</x:v>
      </x:c>
      <x:c r="U45" s="87" t="n">
        <x:f>INT(T45)</x:f>
        <x:v>7</x:v>
      </x:c>
      <x:c r="V45" s="87" t="n">
        <x:f>S45-U45*'01 Base Costs'!$B$14</x:f>
        <x:v>488000</x:v>
      </x:c>
      <x:c r="W45" s="120" t="n">
        <x:f>'01 Base Costs'!$B$19*0.8/10</x:f>
        <x:v>95.2</x:v>
      </x:c>
      <x:c r="X45" s="120" t="n">
        <x:f>0</x:f>
        <x:v>0</x:v>
      </x:c>
      <x:c r="Y45" s="87" t="n">
        <x:f>T45*(W45*'01 Base Costs'!$B$7+X45)</x:f>
        <x:v>3652306112</x:v>
      </x:c>
      <x:c r="Z45" s="87" t="n">
        <x:f>T45*'01 Base Costs'!$B$8</x:f>
        <x:v>6005130400</x:v>
      </x:c>
      <x:c r="AA45" s="87" t="n">
        <x:f>Z45*'01 Base Costs'!$B$11</x:f>
        <x:v>300256520</x:v>
      </x:c>
      <x:c r="AB45" s="87" t="n">
        <x:f>Z45-AA45</x:f>
        <x:v>5704873880</x:v>
      </x:c>
      <x:c r="AC45" s="87" t="n">
        <x:f>O45+Y45</x:f>
        <x:v>7457016112</x:v>
      </x:c>
      <x:c r="AD45" s="87" t="n">
        <x:f>AB45-AC45</x:f>
        <x:v>-1752142232</x:v>
      </x:c>
      <x:c r="AE45" s="87" t="n">
        <x:f>AD45/D45</x:f>
        <x:v>-1752142232</x:v>
      </x:c>
      <x:c r="AF45" s="87" t="n">
        <x:f>AD45/P45</x:f>
        <x:v>-876071116</x:v>
      </x:c>
      <x:c r="AG45" s="87" t="n">
        <x:f>IF(T45=0,0,AC45/T45/(1-'01 Base Costs'!$B$11))</x:f>
        <x:v>984138746.7666157</x:v>
      </x:c>
      <x:c r="AH45" s="88" t="str">
        <x:f>IF(AD45&gt;0,"PROFIT","LOSS")</x:f>
        <x:v>LOSS</x:v>
      </x:c>
      <x:c r="AI45" s="89" t="str">
        <x:v>Base 1M Omega; includes 100k SP bonus. MCT sale 40% off. 10-pack at 20% off.</x:v>
      </x:c>
    </x:row>
    <x:row r="46">
      <x:c r="A46" s="86" t="n">
        <x:v>44</x:v>
      </x:c>
      <x:c r="B46" s="88" t="str">
        <x:v>Base</x:v>
      </x:c>
      <x:c r="C46" s="88" t="str">
        <x:v>1M Omega + Bonus Items</x:v>
      </x:c>
      <x:c r="D46" s="88" t="n">
        <x:v>1</x:v>
      </x:c>
      <x:c r="E46" s="88" t="n">
        <x:v>2</x:v>
      </x:c>
      <x:c r="F46" s="88" t="str">
        <x:v>NES MCT 40% sale</x:v>
      </x:c>
      <x:c r="G46" s="88" t="str">
        <x:v>NES 50-pack extractor 20% sale</x:v>
      </x:c>
      <x:c r="H46" s="87" t="n">
        <x:f>'01 Base Costs'!$B$21</x:f>
        <x:v>500</x:v>
      </x:c>
      <x:c r="I46" s="87" t="n">
        <x:f>'01 Base Costs'!$B$16*0.6</x:f>
        <x:v>291</x:v>
      </x:c>
      <x:c r="J46" s="87" t="n">
        <x:f>0</x:f>
        <x:v>0</x:v>
      </x:c>
      <x:c r="K46" s="87" t="n">
        <x:f>D46*(E46-1)*I46</x:f>
        <x:v>291</x:v>
      </x:c>
      <x:c r="L46" s="87" t="n">
        <x:f>D46*(E46-1)*J46</x:f>
        <x:v>0</x:v>
      </x:c>
      <x:c r="M46" s="87" t="n">
        <x:f>0</x:f>
        <x:v>0</x:v>
      </x:c>
      <x:c r="N46" s="87" t="n">
        <x:f>H46+K46+M46</x:f>
        <x:v>791</x:v>
      </x:c>
      <x:c r="O46" s="87" t="n">
        <x:f>N46*'01 Base Costs'!$B$7+L46</x:f>
        <x:v>3804710000</x:v>
      </x:c>
      <x:c r="P46" s="87" t="n">
        <x:f>D46*E46</x:f>
        <x:v>2</x:v>
      </x:c>
      <x:c r="Q46" s="87" t="n">
        <x:f>P46*'01 Base Costs'!$B$12</x:f>
        <x:v>3888000</x:v>
      </x:c>
      <x:c r="R46" s="87" t="n">
        <x:f>'01 Base Costs'!$B$13</x:f>
        <x:v>100000</x:v>
      </x:c>
      <x:c r="S46" s="87" t="n">
        <x:f>Q46+R46</x:f>
        <x:v>3988000</x:v>
      </x:c>
      <x:c r="T46" s="141" t="n">
        <x:f>S46/'01 Base Costs'!$B$14</x:f>
        <x:v>7.976</x:v>
      </x:c>
      <x:c r="U46" s="87" t="n">
        <x:f>INT(T46)</x:f>
        <x:v>7</x:v>
      </x:c>
      <x:c r="V46" s="87" t="n">
        <x:f>S46-U46*'01 Base Costs'!$B$14</x:f>
        <x:v>488000</x:v>
      </x:c>
      <x:c r="W46" s="120" t="n">
        <x:f>'01 Base Costs'!$B$20*0.8/50</x:f>
        <x:v>89.6</x:v>
      </x:c>
      <x:c r="X46" s="120" t="n">
        <x:f>0</x:f>
        <x:v>0</x:v>
      </x:c>
      <x:c r="Y46" s="87" t="n">
        <x:f>T46*(W46*'01 Base Costs'!$B$7+X46)</x:f>
        <x:v>3437464576</x:v>
      </x:c>
      <x:c r="Z46" s="87" t="n">
        <x:f>T46*'01 Base Costs'!$B$8</x:f>
        <x:v>6005130400</x:v>
      </x:c>
      <x:c r="AA46" s="87" t="n">
        <x:f>Z46*'01 Base Costs'!$B$11</x:f>
        <x:v>300256520</x:v>
      </x:c>
      <x:c r="AB46" s="87" t="n">
        <x:f>Z46-AA46</x:f>
        <x:v>5704873880</x:v>
      </x:c>
      <x:c r="AC46" s="87" t="n">
        <x:f>O46+Y46</x:f>
        <x:v>7242174576</x:v>
      </x:c>
      <x:c r="AD46" s="87" t="n">
        <x:f>AB46-AC46</x:f>
        <x:v>-1537300696</x:v>
      </x:c>
      <x:c r="AE46" s="87" t="n">
        <x:f>AD46/D46</x:f>
        <x:v>-1537300696</x:v>
      </x:c>
      <x:c r="AF46" s="87" t="n">
        <x:f>AD46/P46</x:f>
        <x:v>-768650348</x:v>
      </x:c>
      <x:c r="AG46" s="87" t="n">
        <x:f>IF(T46=0,0,AC46/T46/(1-'01 Base Costs'!$B$11))</x:f>
        <x:v>955785062.5560894</x:v>
      </x:c>
      <x:c r="AH46" s="88" t="str">
        <x:f>IF(AD46&gt;0,"PROFIT","LOSS")</x:f>
        <x:v>LOSS</x:v>
      </x:c>
      <x:c r="AI46" s="89" t="str">
        <x:v>Base 1M Omega; includes 100k SP bonus. MCT sale 40% off. 50-pack at 20% off.</x:v>
      </x:c>
    </x:row>
    <x:row r="47">
      <x:c r="A47" s="86" t="n">
        <x:v>45</x:v>
      </x:c>
      <x:c r="B47" s="88" t="str">
        <x:v>Base</x:v>
      </x:c>
      <x:c r="C47" s="88" t="str">
        <x:v>1M Omega + Bonus Items</x:v>
      </x:c>
      <x:c r="D47" s="88" t="n">
        <x:v>1</x:v>
      </x:c>
      <x:c r="E47" s="88" t="n">
        <x:v>2</x:v>
      </x:c>
      <x:c r="F47" s="88" t="str">
        <x:v>NES MCT 40% sale</x:v>
      </x:c>
      <x:c r="G47" s="88" t="str">
        <x:v>Market Skill Extractor</x:v>
      </x:c>
      <x:c r="H47" s="87" t="n">
        <x:f>'01 Base Costs'!$B$21</x:f>
        <x:v>500</x:v>
      </x:c>
      <x:c r="I47" s="87" t="n">
        <x:f>'01 Base Costs'!$B$16*0.6</x:f>
        <x:v>291</x:v>
      </x:c>
      <x:c r="J47" s="87" t="n">
        <x:f>0</x:f>
        <x:v>0</x:v>
      </x:c>
      <x:c r="K47" s="87" t="n">
        <x:f>D47*(E47-1)*I47</x:f>
        <x:v>291</x:v>
      </x:c>
      <x:c r="L47" s="87" t="n">
        <x:f>D47*(E47-1)*J47</x:f>
        <x:v>0</x:v>
      </x:c>
      <x:c r="M47" s="87" t="n">
        <x:f>0</x:f>
        <x:v>0</x:v>
      </x:c>
      <x:c r="N47" s="87" t="n">
        <x:f>H47+K47+M47</x:f>
        <x:v>791</x:v>
      </x:c>
      <x:c r="O47" s="87" t="n">
        <x:f>N47*'01 Base Costs'!$B$7+L47</x:f>
        <x:v>3804710000</x:v>
      </x:c>
      <x:c r="P47" s="87" t="n">
        <x:f>D47*E47</x:f>
        <x:v>2</x:v>
      </x:c>
      <x:c r="Q47" s="87" t="n">
        <x:f>P47*'01 Base Costs'!$B$12</x:f>
        <x:v>3888000</x:v>
      </x:c>
      <x:c r="R47" s="87" t="n">
        <x:f>'01 Base Costs'!$B$13</x:f>
        <x:v>100000</x:v>
      </x:c>
      <x:c r="S47" s="87" t="n">
        <x:f>Q47+R47</x:f>
        <x:v>3988000</x:v>
      </x:c>
      <x:c r="T47" s="141" t="n">
        <x:f>S47/'01 Base Costs'!$B$14</x:f>
        <x:v>7.976</x:v>
      </x:c>
      <x:c r="U47" s="87" t="n">
        <x:f>INT(T47)</x:f>
        <x:v>7</x:v>
      </x:c>
      <x:c r="V47" s="87" t="n">
        <x:f>S47-U47*'01 Base Costs'!$B$14</x:f>
        <x:v>488000</x:v>
      </x:c>
      <x:c r="W47" s="120" t="n">
        <x:f>0</x:f>
        <x:v>0</x:v>
      </x:c>
      <x:c r="X47" s="120" t="n">
        <x:f>'01 Base Costs'!$B$9</x:f>
        <x:v>463500000</x:v>
      </x:c>
      <x:c r="Y47" s="87" t="n">
        <x:f>T47*(W47*'01 Base Costs'!$B$7+X47)</x:f>
        <x:v>3696876000</x:v>
      </x:c>
      <x:c r="Z47" s="87" t="n">
        <x:f>T47*'01 Base Costs'!$B$8</x:f>
        <x:v>6005130400</x:v>
      </x:c>
      <x:c r="AA47" s="87" t="n">
        <x:f>Z47*'01 Base Costs'!$B$11</x:f>
        <x:v>300256520</x:v>
      </x:c>
      <x:c r="AB47" s="87" t="n">
        <x:f>Z47-AA47</x:f>
        <x:v>5704873880</x:v>
      </x:c>
      <x:c r="AC47" s="87" t="n">
        <x:f>O47+Y47</x:f>
        <x:v>7501586000</x:v>
      </x:c>
      <x:c r="AD47" s="87" t="n">
        <x:f>AB47-AC47</x:f>
        <x:v>-1796712120</x:v>
      </x:c>
      <x:c r="AE47" s="87" t="n">
        <x:f>AD47/D47</x:f>
        <x:v>-1796712120</x:v>
      </x:c>
      <x:c r="AF47" s="87" t="n">
        <x:f>AD47/P47</x:f>
        <x:v>-898356060</x:v>
      </x:c>
      <x:c r="AG47" s="87" t="n">
        <x:f>IF(T47=0,0,AC47/T47/(1-'01 Base Costs'!$B$11))</x:f>
        <x:v>990020852.0297736</x:v>
      </x:c>
      <x:c r="AH47" s="88" t="str">
        <x:f>IF(AD47&gt;0,"PROFIT","LOSS")</x:f>
        <x:v>LOSS</x:v>
      </x:c>
      <x:c r="AI47" s="89" t="str">
        <x:v>Base 1M Omega; includes 100k SP bonus. MCT sale 40% off. Extractor bought on market with ISK.</x:v>
      </x:c>
    </x:row>
    <x:row r="48">
      <x:c r="A48" s="86" t="n">
        <x:v>46</x:v>
      </x:c>
      <x:c r="B48" s="88" t="str">
        <x:v>Base</x:v>
      </x:c>
      <x:c r="C48" s="88" t="str">
        <x:v>1M Omega + Bonus Items</x:v>
      </x:c>
      <x:c r="D48" s="88" t="n">
        <x:v>1</x:v>
      </x:c>
      <x:c r="E48" s="88" t="n">
        <x:v>2</x:v>
      </x:c>
      <x:c r="F48" s="88" t="str">
        <x:v>Market MCT certificate</x:v>
      </x:c>
      <x:c r="G48" s="88" t="str">
        <x:v>NES single extractor</x:v>
      </x:c>
      <x:c r="H48" s="87" t="n">
        <x:f>'01 Base Costs'!$B$21</x:f>
        <x:v>500</x:v>
      </x:c>
      <x:c r="I48" s="87" t="n">
        <x:f>0</x:f>
        <x:v>0</x:v>
      </x:c>
      <x:c r="J48" s="87" t="n">
        <x:f>'01 Base Costs'!$B$10</x:f>
        <x:v>2332850000</x:v>
      </x:c>
      <x:c r="K48" s="87" t="n">
        <x:f>D48*(E48-1)*I48</x:f>
        <x:v>0</x:v>
      </x:c>
      <x:c r="L48" s="87" t="n">
        <x:f>D48*(E48-1)*J48</x:f>
        <x:v>2332850000</x:v>
      </x:c>
      <x:c r="M48" s="87" t="n">
        <x:f>0</x:f>
        <x:v>0</x:v>
      </x:c>
      <x:c r="N48" s="87" t="n">
        <x:f>H48+K48+M48</x:f>
        <x:v>500</x:v>
      </x:c>
      <x:c r="O48" s="87" t="n">
        <x:f>N48*'01 Base Costs'!$B$7+L48</x:f>
        <x:v>4737850000</x:v>
      </x:c>
      <x:c r="P48" s="87" t="n">
        <x:f>D48*E48</x:f>
        <x:v>2</x:v>
      </x:c>
      <x:c r="Q48" s="87" t="n">
        <x:f>P48*'01 Base Costs'!$B$12</x:f>
        <x:v>3888000</x:v>
      </x:c>
      <x:c r="R48" s="87" t="n">
        <x:f>'01 Base Costs'!$B$13</x:f>
        <x:v>100000</x:v>
      </x:c>
      <x:c r="S48" s="87" t="n">
        <x:f>Q48+R48</x:f>
        <x:v>3988000</x:v>
      </x:c>
      <x:c r="T48" s="141" t="n">
        <x:f>S48/'01 Base Costs'!$B$14</x:f>
        <x:v>7.976</x:v>
      </x:c>
      <x:c r="U48" s="87" t="n">
        <x:f>INT(T48)</x:f>
        <x:v>7</x:v>
      </x:c>
      <x:c r="V48" s="87" t="n">
        <x:f>S48-U48*'01 Base Costs'!$B$14</x:f>
        <x:v>488000</x:v>
      </x:c>
      <x:c r="W48" s="120" t="n">
        <x:f>'01 Base Costs'!$B$17</x:f>
        <x:v>140</x:v>
      </x:c>
      <x:c r="X48" s="120" t="n">
        <x:f>0</x:f>
        <x:v>0</x:v>
      </x:c>
      <x:c r="Y48" s="87" t="n">
        <x:f>T48*(W48*'01 Base Costs'!$B$7+X48)</x:f>
        <x:v>5371038400</x:v>
      </x:c>
      <x:c r="Z48" s="87" t="n">
        <x:f>T48*'01 Base Costs'!$B$8</x:f>
        <x:v>6005130400</x:v>
      </x:c>
      <x:c r="AA48" s="87" t="n">
        <x:f>Z48*'01 Base Costs'!$B$11</x:f>
        <x:v>300256520</x:v>
      </x:c>
      <x:c r="AB48" s="87" t="n">
        <x:f>Z48-AA48</x:f>
        <x:v>5704873880</x:v>
      </x:c>
      <x:c r="AC48" s="87" t="n">
        <x:f>O48+Y48</x:f>
        <x:v>10108888400</x:v>
      </x:c>
      <x:c r="AD48" s="87" t="n">
        <x:f>AB48-AC48</x:f>
        <x:v>-4404014520</x:v>
      </x:c>
      <x:c r="AE48" s="87" t="n">
        <x:f>AD48/D48</x:f>
        <x:v>-4404014520</x:v>
      </x:c>
      <x:c r="AF48" s="87" t="n">
        <x:f>AD48/P48</x:f>
        <x:v>-2202007260</x:v>
      </x:c>
      <x:c r="AG48" s="87" t="n">
        <x:f>IF(T48=0,0,AC48/T48/(1-'01 Base Costs'!$B$11))</x:f>
        <x:v>1334119252.4943252</x:v>
      </x:c>
      <x:c r="AH48" s="88" t="str">
        <x:f>IF(AD48&gt;0,"PROFIT","LOSS")</x:f>
        <x:v>LOSS</x:v>
      </x:c>
      <x:c r="AI48" s="89" t="str">
        <x:v>Base 1M Omega; includes 100k SP bonus. MCT certificate bought with ISK market price. Base single extractor.</x:v>
      </x:c>
    </x:row>
    <x:row r="49">
      <x:c r="A49" s="86" t="n">
        <x:v>47</x:v>
      </x:c>
      <x:c r="B49" s="88" t="str">
        <x:v>Base</x:v>
      </x:c>
      <x:c r="C49" s="88" t="str">
        <x:v>1M Omega + Bonus Items</x:v>
      </x:c>
      <x:c r="D49" s="88" t="n">
        <x:v>1</x:v>
      </x:c>
      <x:c r="E49" s="88" t="n">
        <x:v>2</x:v>
      </x:c>
      <x:c r="F49" s="88" t="str">
        <x:v>Market MCT certificate</x:v>
      </x:c>
      <x:c r="G49" s="88" t="str">
        <x:v>NES 5-pack extractor</x:v>
      </x:c>
      <x:c r="H49" s="87" t="n">
        <x:f>'01 Base Costs'!$B$21</x:f>
        <x:v>500</x:v>
      </x:c>
      <x:c r="I49" s="87" t="n">
        <x:f>0</x:f>
        <x:v>0</x:v>
      </x:c>
      <x:c r="J49" s="87" t="n">
        <x:f>'01 Base Costs'!$B$10</x:f>
        <x:v>2332850000</x:v>
      </x:c>
      <x:c r="K49" s="87" t="n">
        <x:f>D49*(E49-1)*I49</x:f>
        <x:v>0</x:v>
      </x:c>
      <x:c r="L49" s="87" t="n">
        <x:f>D49*(E49-1)*J49</x:f>
        <x:v>2332850000</x:v>
      </x:c>
      <x:c r="M49" s="87" t="n">
        <x:f>0</x:f>
        <x:v>0</x:v>
      </x:c>
      <x:c r="N49" s="87" t="n">
        <x:f>H49+K49+M49</x:f>
        <x:v>500</x:v>
      </x:c>
      <x:c r="O49" s="87" t="n">
        <x:f>N49*'01 Base Costs'!$B$7+L49</x:f>
        <x:v>4737850000</x:v>
      </x:c>
      <x:c r="P49" s="87" t="n">
        <x:f>D49*E49</x:f>
        <x:v>2</x:v>
      </x:c>
      <x:c r="Q49" s="87" t="n">
        <x:f>P49*'01 Base Costs'!$B$12</x:f>
        <x:v>3888000</x:v>
      </x:c>
      <x:c r="R49" s="87" t="n">
        <x:f>'01 Base Costs'!$B$13</x:f>
        <x:v>100000</x:v>
      </x:c>
      <x:c r="S49" s="87" t="n">
        <x:f>Q49+R49</x:f>
        <x:v>3988000</x:v>
      </x:c>
      <x:c r="T49" s="141" t="n">
        <x:f>S49/'01 Base Costs'!$B$14</x:f>
        <x:v>7.976</x:v>
      </x:c>
      <x:c r="U49" s="87" t="n">
        <x:f>INT(T49)</x:f>
        <x:v>7</x:v>
      </x:c>
      <x:c r="V49" s="87" t="n">
        <x:f>S49-U49*'01 Base Costs'!$B$14</x:f>
        <x:v>488000</x:v>
      </x:c>
      <x:c r="W49" s="120" t="n">
        <x:f>'01 Base Costs'!$B$18/5</x:f>
        <x:v>126</x:v>
      </x:c>
      <x:c r="X49" s="120" t="n">
        <x:f>0</x:f>
        <x:v>0</x:v>
      </x:c>
      <x:c r="Y49" s="87" t="n">
        <x:f>T49*(W49*'01 Base Costs'!$B$7+X49)</x:f>
        <x:v>4833934560</x:v>
      </x:c>
      <x:c r="Z49" s="87" t="n">
        <x:f>T49*'01 Base Costs'!$B$8</x:f>
        <x:v>6005130400</x:v>
      </x:c>
      <x:c r="AA49" s="87" t="n">
        <x:f>Z49*'01 Base Costs'!$B$11</x:f>
        <x:v>300256520</x:v>
      </x:c>
      <x:c r="AB49" s="87" t="n">
        <x:f>Z49-AA49</x:f>
        <x:v>5704873880</x:v>
      </x:c>
      <x:c r="AC49" s="87" t="n">
        <x:f>O49+Y49</x:f>
        <x:v>9571784560</x:v>
      </x:c>
      <x:c r="AD49" s="87" t="n">
        <x:f>AB49-AC49</x:f>
        <x:v>-3866910680</x:v>
      </x:c>
      <x:c r="AE49" s="87" t="n">
        <x:f>AD49/D49</x:f>
        <x:v>-3866910680</x:v>
      </x:c>
      <x:c r="AF49" s="87" t="n">
        <x:f>AD49/P49</x:f>
        <x:v>-1933455340</x:v>
      </x:c>
      <x:c r="AG49" s="87" t="n">
        <x:f>IF(T49=0,0,AC49/T49/(1-'01 Base Costs'!$B$11))</x:f>
        <x:v>1263235041.9680095</x:v>
      </x:c>
      <x:c r="AH49" s="88" t="str">
        <x:f>IF(AD49&gt;0,"PROFIT","LOSS")</x:f>
        <x:v>LOSS</x:v>
      </x:c>
      <x:c r="AI49" s="89" t="str">
        <x:v>Base 1M Omega; includes 100k SP bonus. MCT certificate bought with ISK market price. Base 5-pack average.</x:v>
      </x:c>
    </x:row>
    <x:row r="50">
      <x:c r="A50" s="86" t="n">
        <x:v>48</x:v>
      </x:c>
      <x:c r="B50" s="88" t="str">
        <x:v>Base</x:v>
      </x:c>
      <x:c r="C50" s="88" t="str">
        <x:v>1M Omega + Bonus Items</x:v>
      </x:c>
      <x:c r="D50" s="88" t="n">
        <x:v>1</x:v>
      </x:c>
      <x:c r="E50" s="88" t="n">
        <x:v>2</x:v>
      </x:c>
      <x:c r="F50" s="88" t="str">
        <x:v>Market MCT certificate</x:v>
      </x:c>
      <x:c r="G50" s="88" t="str">
        <x:v>NES 10-pack extractor</x:v>
      </x:c>
      <x:c r="H50" s="87" t="n">
        <x:f>'01 Base Costs'!$B$21</x:f>
        <x:v>500</x:v>
      </x:c>
      <x:c r="I50" s="87" t="n">
        <x:f>0</x:f>
        <x:v>0</x:v>
      </x:c>
      <x:c r="J50" s="87" t="n">
        <x:f>'01 Base Costs'!$B$10</x:f>
        <x:v>2332850000</x:v>
      </x:c>
      <x:c r="K50" s="87" t="n">
        <x:f>D50*(E50-1)*I50</x:f>
        <x:v>0</x:v>
      </x:c>
      <x:c r="L50" s="87" t="n">
        <x:f>D50*(E50-1)*J50</x:f>
        <x:v>2332850000</x:v>
      </x:c>
      <x:c r="M50" s="87" t="n">
        <x:f>0</x:f>
        <x:v>0</x:v>
      </x:c>
      <x:c r="N50" s="87" t="n">
        <x:f>H50+K50+M50</x:f>
        <x:v>500</x:v>
      </x:c>
      <x:c r="O50" s="87" t="n">
        <x:f>N50*'01 Base Costs'!$B$7+L50</x:f>
        <x:v>4737850000</x:v>
      </x:c>
      <x:c r="P50" s="87" t="n">
        <x:f>D50*E50</x:f>
        <x:v>2</x:v>
      </x:c>
      <x:c r="Q50" s="87" t="n">
        <x:f>P50*'01 Base Costs'!$B$12</x:f>
        <x:v>3888000</x:v>
      </x:c>
      <x:c r="R50" s="87" t="n">
        <x:f>'01 Base Costs'!$B$13</x:f>
        <x:v>100000</x:v>
      </x:c>
      <x:c r="S50" s="87" t="n">
        <x:f>Q50+R50</x:f>
        <x:v>3988000</x:v>
      </x:c>
      <x:c r="T50" s="141" t="n">
        <x:f>S50/'01 Base Costs'!$B$14</x:f>
        <x:v>7.976</x:v>
      </x:c>
      <x:c r="U50" s="87" t="n">
        <x:f>INT(T50)</x:f>
        <x:v>7</x:v>
      </x:c>
      <x:c r="V50" s="87" t="n">
        <x:f>S50-U50*'01 Base Costs'!$B$14</x:f>
        <x:v>488000</x:v>
      </x:c>
      <x:c r="W50" s="120" t="n">
        <x:f>'01 Base Costs'!$B$19/10</x:f>
        <x:v>119</x:v>
      </x:c>
      <x:c r="X50" s="120" t="n">
        <x:f>0</x:f>
        <x:v>0</x:v>
      </x:c>
      <x:c r="Y50" s="87" t="n">
        <x:f>T50*(W50*'01 Base Costs'!$B$7+X50)</x:f>
        <x:v>4565382640</x:v>
      </x:c>
      <x:c r="Z50" s="87" t="n">
        <x:f>T50*'01 Base Costs'!$B$8</x:f>
        <x:v>6005130400</x:v>
      </x:c>
      <x:c r="AA50" s="87" t="n">
        <x:f>Z50*'01 Base Costs'!$B$11</x:f>
        <x:v>300256520</x:v>
      </x:c>
      <x:c r="AB50" s="87" t="n">
        <x:f>Z50-AA50</x:f>
        <x:v>5704873880</x:v>
      </x:c>
      <x:c r="AC50" s="87" t="n">
        <x:f>O50+Y50</x:f>
        <x:v>9303232640</x:v>
      </x:c>
      <x:c r="AD50" s="87" t="n">
        <x:f>AB50-AC50</x:f>
        <x:v>-3598358760</x:v>
      </x:c>
      <x:c r="AE50" s="87" t="n">
        <x:f>AD50/D50</x:f>
        <x:v>-3598358760</x:v>
      </x:c>
      <x:c r="AF50" s="87" t="n">
        <x:f>AD50/P50</x:f>
        <x:v>-1799179380</x:v>
      </x:c>
      <x:c r="AG50" s="87" t="n">
        <x:f>IF(T50=0,0,AC50/T50/(1-'01 Base Costs'!$B$11))</x:f>
        <x:v>1227792936.7048516</x:v>
      </x:c>
      <x:c r="AH50" s="88" t="str">
        <x:f>IF(AD50&gt;0,"PROFIT","LOSS")</x:f>
        <x:v>LOSS</x:v>
      </x:c>
      <x:c r="AI50" s="89" t="str">
        <x:v>Base 1M Omega; includes 100k SP bonus. MCT certificate bought with ISK market price. Base 10-pack average.</x:v>
      </x:c>
    </x:row>
    <x:row r="51">
      <x:c r="A51" s="86" t="n">
        <x:v>49</x:v>
      </x:c>
      <x:c r="B51" s="88" t="str">
        <x:v>Base</x:v>
      </x:c>
      <x:c r="C51" s="88" t="str">
        <x:v>1M Omega + Bonus Items</x:v>
      </x:c>
      <x:c r="D51" s="88" t="n">
        <x:v>1</x:v>
      </x:c>
      <x:c r="E51" s="88" t="n">
        <x:v>2</x:v>
      </x:c>
      <x:c r="F51" s="88" t="str">
        <x:v>Market MCT certificate</x:v>
      </x:c>
      <x:c r="G51" s="88" t="str">
        <x:v>NES 50-pack extractor</x:v>
      </x:c>
      <x:c r="H51" s="87" t="n">
        <x:f>'01 Base Costs'!$B$21</x:f>
        <x:v>500</x:v>
      </x:c>
      <x:c r="I51" s="87" t="n">
        <x:f>0</x:f>
        <x:v>0</x:v>
      </x:c>
      <x:c r="J51" s="87" t="n">
        <x:f>'01 Base Costs'!$B$10</x:f>
        <x:v>2332850000</x:v>
      </x:c>
      <x:c r="K51" s="87" t="n">
        <x:f>D51*(E51-1)*I51</x:f>
        <x:v>0</x:v>
      </x:c>
      <x:c r="L51" s="87" t="n">
        <x:f>D51*(E51-1)*J51</x:f>
        <x:v>2332850000</x:v>
      </x:c>
      <x:c r="M51" s="87" t="n">
        <x:f>0</x:f>
        <x:v>0</x:v>
      </x:c>
      <x:c r="N51" s="87" t="n">
        <x:f>H51+K51+M51</x:f>
        <x:v>500</x:v>
      </x:c>
      <x:c r="O51" s="87" t="n">
        <x:f>N51*'01 Base Costs'!$B$7+L51</x:f>
        <x:v>4737850000</x:v>
      </x:c>
      <x:c r="P51" s="87" t="n">
        <x:f>D51*E51</x:f>
        <x:v>2</x:v>
      </x:c>
      <x:c r="Q51" s="87" t="n">
        <x:f>P51*'01 Base Costs'!$B$12</x:f>
        <x:v>3888000</x:v>
      </x:c>
      <x:c r="R51" s="87" t="n">
        <x:f>'01 Base Costs'!$B$13</x:f>
        <x:v>100000</x:v>
      </x:c>
      <x:c r="S51" s="87" t="n">
        <x:f>Q51+R51</x:f>
        <x:v>3988000</x:v>
      </x:c>
      <x:c r="T51" s="141" t="n">
        <x:f>S51/'01 Base Costs'!$B$14</x:f>
        <x:v>7.976</x:v>
      </x:c>
      <x:c r="U51" s="87" t="n">
        <x:f>INT(T51)</x:f>
        <x:v>7</x:v>
      </x:c>
      <x:c r="V51" s="87" t="n">
        <x:f>S51-U51*'01 Base Costs'!$B$14</x:f>
        <x:v>488000</x:v>
      </x:c>
      <x:c r="W51" s="120" t="n">
        <x:f>'01 Base Costs'!$B$20/50</x:f>
        <x:v>112</x:v>
      </x:c>
      <x:c r="X51" s="120" t="n">
        <x:f>0</x:f>
        <x:v>0</x:v>
      </x:c>
      <x:c r="Y51" s="87" t="n">
        <x:f>T51*(W51*'01 Base Costs'!$B$7+X51)</x:f>
        <x:v>4296830720</x:v>
      </x:c>
      <x:c r="Z51" s="87" t="n">
        <x:f>T51*'01 Base Costs'!$B$8</x:f>
        <x:v>6005130400</x:v>
      </x:c>
      <x:c r="AA51" s="87" t="n">
        <x:f>Z51*'01 Base Costs'!$B$11</x:f>
        <x:v>300256520</x:v>
      </x:c>
      <x:c r="AB51" s="87" t="n">
        <x:f>Z51-AA51</x:f>
        <x:v>5704873880</x:v>
      </x:c>
      <x:c r="AC51" s="87" t="n">
        <x:f>O51+Y51</x:f>
        <x:v>9034680720</x:v>
      </x:c>
      <x:c r="AD51" s="87" t="n">
        <x:f>AB51-AC51</x:f>
        <x:v>-3329806840</x:v>
      </x:c>
      <x:c r="AE51" s="87" t="n">
        <x:f>AD51/D51</x:f>
        <x:v>-3329806840</x:v>
      </x:c>
      <x:c r="AF51" s="87" t="n">
        <x:f>AD51/P51</x:f>
        <x:v>-1664903420</x:v>
      </x:c>
      <x:c r="AG51" s="87" t="n">
        <x:f>IF(T51=0,0,AC51/T51/(1-'01 Base Costs'!$B$11))</x:f>
        <x:v>1192350831.4416935</x:v>
      </x:c>
      <x:c r="AH51" s="88" t="str">
        <x:f>IF(AD51&gt;0,"PROFIT","LOSS")</x:f>
        <x:v>LOSS</x:v>
      </x:c>
      <x:c r="AI51" s="89" t="str">
        <x:v>Base 1M Omega; includes 100k SP bonus. MCT certificate bought with ISK market price. Base 50-pack average.</x:v>
      </x:c>
    </x:row>
    <x:row r="52">
      <x:c r="A52" s="86" t="n">
        <x:v>50</x:v>
      </x:c>
      <x:c r="B52" s="88" t="str">
        <x:v>Base</x:v>
      </x:c>
      <x:c r="C52" s="88" t="str">
        <x:v>1M Omega + Bonus Items</x:v>
      </x:c>
      <x:c r="D52" s="88" t="n">
        <x:v>1</x:v>
      </x:c>
      <x:c r="E52" s="88" t="n">
        <x:v>2</x:v>
      </x:c>
      <x:c r="F52" s="88" t="str">
        <x:v>Market MCT certificate</x:v>
      </x:c>
      <x:c r="G52" s="88" t="str">
        <x:v>NES 3-for-2 extractor sale</x:v>
      </x:c>
      <x:c r="H52" s="87" t="n">
        <x:f>'01 Base Costs'!$B$21</x:f>
        <x:v>500</x:v>
      </x:c>
      <x:c r="I52" s="87" t="n">
        <x:f>0</x:f>
        <x:v>0</x:v>
      </x:c>
      <x:c r="J52" s="87" t="n">
        <x:f>'01 Base Costs'!$B$10</x:f>
        <x:v>2332850000</x:v>
      </x:c>
      <x:c r="K52" s="87" t="n">
        <x:f>D52*(E52-1)*I52</x:f>
        <x:v>0</x:v>
      </x:c>
      <x:c r="L52" s="87" t="n">
        <x:f>D52*(E52-1)*J52</x:f>
        <x:v>2332850000</x:v>
      </x:c>
      <x:c r="M52" s="87" t="n">
        <x:f>0</x:f>
        <x:v>0</x:v>
      </x:c>
      <x:c r="N52" s="87" t="n">
        <x:f>H52+K52+M52</x:f>
        <x:v>500</x:v>
      </x:c>
      <x:c r="O52" s="87" t="n">
        <x:f>N52*'01 Base Costs'!$B$7+L52</x:f>
        <x:v>4737850000</x:v>
      </x:c>
      <x:c r="P52" s="87" t="n">
        <x:f>D52*E52</x:f>
        <x:v>2</x:v>
      </x:c>
      <x:c r="Q52" s="87" t="n">
        <x:f>P52*'01 Base Costs'!$B$12</x:f>
        <x:v>3888000</x:v>
      </x:c>
      <x:c r="R52" s="87" t="n">
        <x:f>'01 Base Costs'!$B$13</x:f>
        <x:v>100000</x:v>
      </x:c>
      <x:c r="S52" s="87" t="n">
        <x:f>Q52+R52</x:f>
        <x:v>3988000</x:v>
      </x:c>
      <x:c r="T52" s="141" t="n">
        <x:f>S52/'01 Base Costs'!$B$14</x:f>
        <x:v>7.976</x:v>
      </x:c>
      <x:c r="U52" s="87" t="n">
        <x:f>INT(T52)</x:f>
        <x:v>7</x:v>
      </x:c>
      <x:c r="V52" s="87" t="n">
        <x:f>S52-U52*'01 Base Costs'!$B$14</x:f>
        <x:v>488000</x:v>
      </x:c>
      <x:c r="W52" s="120" t="n">
        <x:f>'01 Base Costs'!$B$17*2/3</x:f>
        <x:v>93.33333333333333</x:v>
      </x:c>
      <x:c r="X52" s="120" t="n">
        <x:f>0</x:f>
        <x:v>0</x:v>
      </x:c>
      <x:c r="Y52" s="87" t="n">
        <x:f>T52*(W52*'01 Base Costs'!$B$7+X52)</x:f>
        <x:v>3580692266.6666665</x:v>
      </x:c>
      <x:c r="Z52" s="87" t="n">
        <x:f>T52*'01 Base Costs'!$B$8</x:f>
        <x:v>6005130400</x:v>
      </x:c>
      <x:c r="AA52" s="87" t="n">
        <x:f>Z52*'01 Base Costs'!$B$11</x:f>
        <x:v>300256520</x:v>
      </x:c>
      <x:c r="AB52" s="87" t="n">
        <x:f>Z52-AA52</x:f>
        <x:v>5704873880</x:v>
      </x:c>
      <x:c r="AC52" s="87" t="n">
        <x:f>O52+Y52</x:f>
        <x:v>8318542266.666666</x:v>
      </x:c>
      <x:c r="AD52" s="87" t="n">
        <x:f>AB52-AC52</x:f>
        <x:v>-2613668386.666666</x:v>
      </x:c>
      <x:c r="AE52" s="87" t="n">
        <x:f>AD52/D52</x:f>
        <x:v>-2613668386.666666</x:v>
      </x:c>
      <x:c r="AF52" s="87" t="n">
        <x:f>AD52/P52</x:f>
        <x:v>-1306834193.333333</x:v>
      </x:c>
      <x:c r="AG52" s="87" t="n">
        <x:f>IF(T52=0,0,AC52/T52/(1-'01 Base Costs'!$B$11))</x:f>
        <x:v>1097838550.7399392</x:v>
      </x:c>
      <x:c r="AH52" s="88" t="str">
        <x:f>IF(AD52&gt;0,"PROFIT","LOSS")</x:f>
        <x:v>LOSS</x:v>
      </x:c>
      <x:c r="AI52" s="89" t="str">
        <x:v>Base 1M Omega; includes 100k SP bonus. MCT certificate bought with ISK market price. Extractor 3-for-2 sale.</x:v>
      </x:c>
    </x:row>
    <x:row r="53">
      <x:c r="A53" s="86" t="n">
        <x:v>51</x:v>
      </x:c>
      <x:c r="B53" s="88" t="str">
        <x:v>Base</x:v>
      </x:c>
      <x:c r="C53" s="88" t="str">
        <x:v>1M Omega + Bonus Items</x:v>
      </x:c>
      <x:c r="D53" s="88" t="n">
        <x:v>1</x:v>
      </x:c>
      <x:c r="E53" s="88" t="n">
        <x:v>2</x:v>
      </x:c>
      <x:c r="F53" s="88" t="str">
        <x:v>Market MCT certificate</x:v>
      </x:c>
      <x:c r="G53" s="88" t="str">
        <x:v>NES 2-for-1 extractor sale</x:v>
      </x:c>
      <x:c r="H53" s="87" t="n">
        <x:f>'01 Base Costs'!$B$21</x:f>
        <x:v>500</x:v>
      </x:c>
      <x:c r="I53" s="87" t="n">
        <x:f>0</x:f>
        <x:v>0</x:v>
      </x:c>
      <x:c r="J53" s="87" t="n">
        <x:f>'01 Base Costs'!$B$10</x:f>
        <x:v>2332850000</x:v>
      </x:c>
      <x:c r="K53" s="87" t="n">
        <x:f>D53*(E53-1)*I53</x:f>
        <x:v>0</x:v>
      </x:c>
      <x:c r="L53" s="87" t="n">
        <x:f>D53*(E53-1)*J53</x:f>
        <x:v>2332850000</x:v>
      </x:c>
      <x:c r="M53" s="87" t="n">
        <x:f>0</x:f>
        <x:v>0</x:v>
      </x:c>
      <x:c r="N53" s="87" t="n">
        <x:f>H53+K53+M53</x:f>
        <x:v>500</x:v>
      </x:c>
      <x:c r="O53" s="87" t="n">
        <x:f>N53*'01 Base Costs'!$B$7+L53</x:f>
        <x:v>4737850000</x:v>
      </x:c>
      <x:c r="P53" s="87" t="n">
        <x:f>D53*E53</x:f>
        <x:v>2</x:v>
      </x:c>
      <x:c r="Q53" s="87" t="n">
        <x:f>P53*'01 Base Costs'!$B$12</x:f>
        <x:v>3888000</x:v>
      </x:c>
      <x:c r="R53" s="87" t="n">
        <x:f>'01 Base Costs'!$B$13</x:f>
        <x:v>100000</x:v>
      </x:c>
      <x:c r="S53" s="87" t="n">
        <x:f>Q53+R53</x:f>
        <x:v>3988000</x:v>
      </x:c>
      <x:c r="T53" s="141" t="n">
        <x:f>S53/'01 Base Costs'!$B$14</x:f>
        <x:v>7.976</x:v>
      </x:c>
      <x:c r="U53" s="87" t="n">
        <x:f>INT(T53)</x:f>
        <x:v>7</x:v>
      </x:c>
      <x:c r="V53" s="87" t="n">
        <x:f>S53-U53*'01 Base Costs'!$B$14</x:f>
        <x:v>488000</x:v>
      </x:c>
      <x:c r="W53" s="120" t="n">
        <x:f>'01 Base Costs'!$B$17/2</x:f>
        <x:v>70</x:v>
      </x:c>
      <x:c r="X53" s="120" t="n">
        <x:f>0</x:f>
        <x:v>0</x:v>
      </x:c>
      <x:c r="Y53" s="87" t="n">
        <x:f>T53*(W53*'01 Base Costs'!$B$7+X53)</x:f>
        <x:v>2685519200</x:v>
      </x:c>
      <x:c r="Z53" s="87" t="n">
        <x:f>T53*'01 Base Costs'!$B$8</x:f>
        <x:v>6005130400</x:v>
      </x:c>
      <x:c r="AA53" s="87" t="n">
        <x:f>Z53*'01 Base Costs'!$B$11</x:f>
        <x:v>300256520</x:v>
      </x:c>
      <x:c r="AB53" s="87" t="n">
        <x:f>Z53-AA53</x:f>
        <x:v>5704873880</x:v>
      </x:c>
      <x:c r="AC53" s="87" t="n">
        <x:f>O53+Y53</x:f>
        <x:v>7423369200</x:v>
      </x:c>
      <x:c r="AD53" s="87" t="n">
        <x:f>AB53-AC53</x:f>
        <x:v>-1718495320</x:v>
      </x:c>
      <x:c r="AE53" s="87" t="n">
        <x:f>AD53/D53</x:f>
        <x:v>-1718495320</x:v>
      </x:c>
      <x:c r="AF53" s="87" t="n">
        <x:f>AD53/P53</x:f>
        <x:v>-859247660</x:v>
      </x:c>
      <x:c r="AG53" s="87" t="n">
        <x:f>IF(T53=0,0,AC53/T53/(1-'01 Base Costs'!$B$11))</x:f>
        <x:v>979698199.8627462</x:v>
      </x:c>
      <x:c r="AH53" s="88" t="str">
        <x:f>IF(AD53&gt;0,"PROFIT","LOSS")</x:f>
        <x:v>LOSS</x:v>
      </x:c>
      <x:c r="AI53" s="89" t="str">
        <x:v>Base 1M Omega; includes 100k SP bonus. MCT certificate bought with ISK market price. Extractor 2-for-1 sale.</x:v>
      </x:c>
    </x:row>
    <x:row r="54">
      <x:c r="A54" s="86" t="n">
        <x:v>52</x:v>
      </x:c>
      <x:c r="B54" s="88" t="str">
        <x:v>Base</x:v>
      </x:c>
      <x:c r="C54" s="88" t="str">
        <x:v>1M Omega + Bonus Items</x:v>
      </x:c>
      <x:c r="D54" s="88" t="n">
        <x:v>1</x:v>
      </x:c>
      <x:c r="E54" s="88" t="n">
        <x:v>2</x:v>
      </x:c>
      <x:c r="F54" s="88" t="str">
        <x:v>Market MCT certificate</x:v>
      </x:c>
      <x:c r="G54" s="88" t="str">
        <x:v>NES 10-pack extractor 20% sale</x:v>
      </x:c>
      <x:c r="H54" s="87" t="n">
        <x:f>'01 Base Costs'!$B$21</x:f>
        <x:v>500</x:v>
      </x:c>
      <x:c r="I54" s="87" t="n">
        <x:f>0</x:f>
        <x:v>0</x:v>
      </x:c>
      <x:c r="J54" s="87" t="n">
        <x:f>'01 Base Costs'!$B$10</x:f>
        <x:v>2332850000</x:v>
      </x:c>
      <x:c r="K54" s="87" t="n">
        <x:f>D54*(E54-1)*I54</x:f>
        <x:v>0</x:v>
      </x:c>
      <x:c r="L54" s="87" t="n">
        <x:f>D54*(E54-1)*J54</x:f>
        <x:v>2332850000</x:v>
      </x:c>
      <x:c r="M54" s="87" t="n">
        <x:f>0</x:f>
        <x:v>0</x:v>
      </x:c>
      <x:c r="N54" s="87" t="n">
        <x:f>H54+K54+M54</x:f>
        <x:v>500</x:v>
      </x:c>
      <x:c r="O54" s="87" t="n">
        <x:f>N54*'01 Base Costs'!$B$7+L54</x:f>
        <x:v>4737850000</x:v>
      </x:c>
      <x:c r="P54" s="87" t="n">
        <x:f>D54*E54</x:f>
        <x:v>2</x:v>
      </x:c>
      <x:c r="Q54" s="87" t="n">
        <x:f>P54*'01 Base Costs'!$B$12</x:f>
        <x:v>3888000</x:v>
      </x:c>
      <x:c r="R54" s="87" t="n">
        <x:f>'01 Base Costs'!$B$13</x:f>
        <x:v>100000</x:v>
      </x:c>
      <x:c r="S54" s="87" t="n">
        <x:f>Q54+R54</x:f>
        <x:v>3988000</x:v>
      </x:c>
      <x:c r="T54" s="141" t="n">
        <x:f>S54/'01 Base Costs'!$B$14</x:f>
        <x:v>7.976</x:v>
      </x:c>
      <x:c r="U54" s="87" t="n">
        <x:f>INT(T54)</x:f>
        <x:v>7</x:v>
      </x:c>
      <x:c r="V54" s="87" t="n">
        <x:f>S54-U54*'01 Base Costs'!$B$14</x:f>
        <x:v>488000</x:v>
      </x:c>
      <x:c r="W54" s="120" t="n">
        <x:f>'01 Base Costs'!$B$19*0.8/10</x:f>
        <x:v>95.2</x:v>
      </x:c>
      <x:c r="X54" s="120" t="n">
        <x:f>0</x:f>
        <x:v>0</x:v>
      </x:c>
      <x:c r="Y54" s="87" t="n">
        <x:f>T54*(W54*'01 Base Costs'!$B$7+X54)</x:f>
        <x:v>3652306112</x:v>
      </x:c>
      <x:c r="Z54" s="87" t="n">
        <x:f>T54*'01 Base Costs'!$B$8</x:f>
        <x:v>6005130400</x:v>
      </x:c>
      <x:c r="AA54" s="87" t="n">
        <x:f>Z54*'01 Base Costs'!$B$11</x:f>
        <x:v>300256520</x:v>
      </x:c>
      <x:c r="AB54" s="87" t="n">
        <x:f>Z54-AA54</x:f>
        <x:v>5704873880</x:v>
      </x:c>
      <x:c r="AC54" s="87" t="n">
        <x:f>O54+Y54</x:f>
        <x:v>8390156112</x:v>
      </x:c>
      <x:c r="AD54" s="87" t="n">
        <x:f>AB54-AC54</x:f>
        <x:v>-2685282232</x:v>
      </x:c>
      <x:c r="AE54" s="87" t="n">
        <x:f>AD54/D54</x:f>
        <x:v>-2685282232</x:v>
      </x:c>
      <x:c r="AF54" s="87" t="n">
        <x:f>AD54/P54</x:f>
        <x:v>-1342641116</x:v>
      </x:c>
      <x:c r="AG54" s="87" t="n">
        <x:f>IF(T54=0,0,AC54/T54/(1-'01 Base Costs'!$B$11))</x:f>
        <x:v>1107289778.8101146</x:v>
      </x:c>
      <x:c r="AH54" s="88" t="str">
        <x:f>IF(AD54&gt;0,"PROFIT","LOSS")</x:f>
        <x:v>LOSS</x:v>
      </x:c>
      <x:c r="AI54" s="89" t="str">
        <x:v>Base 1M Omega; includes 100k SP bonus. MCT certificate bought with ISK market price. 10-pack at 20% off.</x:v>
      </x:c>
    </x:row>
    <x:row r="55">
      <x:c r="A55" s="86" t="n">
        <x:v>53</x:v>
      </x:c>
      <x:c r="B55" s="88" t="str">
        <x:v>Base</x:v>
      </x:c>
      <x:c r="C55" s="88" t="str">
        <x:v>1M Omega + Bonus Items</x:v>
      </x:c>
      <x:c r="D55" s="88" t="n">
        <x:v>1</x:v>
      </x:c>
      <x:c r="E55" s="88" t="n">
        <x:v>2</x:v>
      </x:c>
      <x:c r="F55" s="88" t="str">
        <x:v>Market MCT certificate</x:v>
      </x:c>
      <x:c r="G55" s="88" t="str">
        <x:v>NES 50-pack extractor 20% sale</x:v>
      </x:c>
      <x:c r="H55" s="87" t="n">
        <x:f>'01 Base Costs'!$B$21</x:f>
        <x:v>500</x:v>
      </x:c>
      <x:c r="I55" s="87" t="n">
        <x:f>0</x:f>
        <x:v>0</x:v>
      </x:c>
      <x:c r="J55" s="87" t="n">
        <x:f>'01 Base Costs'!$B$10</x:f>
        <x:v>2332850000</x:v>
      </x:c>
      <x:c r="K55" s="87" t="n">
        <x:f>D55*(E55-1)*I55</x:f>
        <x:v>0</x:v>
      </x:c>
      <x:c r="L55" s="87" t="n">
        <x:f>D55*(E55-1)*J55</x:f>
        <x:v>2332850000</x:v>
      </x:c>
      <x:c r="M55" s="87" t="n">
        <x:f>0</x:f>
        <x:v>0</x:v>
      </x:c>
      <x:c r="N55" s="87" t="n">
        <x:f>H55+K55+M55</x:f>
        <x:v>500</x:v>
      </x:c>
      <x:c r="O55" s="87" t="n">
        <x:f>N55*'01 Base Costs'!$B$7+L55</x:f>
        <x:v>4737850000</x:v>
      </x:c>
      <x:c r="P55" s="87" t="n">
        <x:f>D55*E55</x:f>
        <x:v>2</x:v>
      </x:c>
      <x:c r="Q55" s="87" t="n">
        <x:f>P55*'01 Base Costs'!$B$12</x:f>
        <x:v>3888000</x:v>
      </x:c>
      <x:c r="R55" s="87" t="n">
        <x:f>'01 Base Costs'!$B$13</x:f>
        <x:v>100000</x:v>
      </x:c>
      <x:c r="S55" s="87" t="n">
        <x:f>Q55+R55</x:f>
        <x:v>3988000</x:v>
      </x:c>
      <x:c r="T55" s="141" t="n">
        <x:f>S55/'01 Base Costs'!$B$14</x:f>
        <x:v>7.976</x:v>
      </x:c>
      <x:c r="U55" s="87" t="n">
        <x:f>INT(T55)</x:f>
        <x:v>7</x:v>
      </x:c>
      <x:c r="V55" s="87" t="n">
        <x:f>S55-U55*'01 Base Costs'!$B$14</x:f>
        <x:v>488000</x:v>
      </x:c>
      <x:c r="W55" s="120" t="n">
        <x:f>'01 Base Costs'!$B$20*0.8/50</x:f>
        <x:v>89.6</x:v>
      </x:c>
      <x:c r="X55" s="120" t="n">
        <x:f>0</x:f>
        <x:v>0</x:v>
      </x:c>
      <x:c r="Y55" s="87" t="n">
        <x:f>T55*(W55*'01 Base Costs'!$B$7+X55)</x:f>
        <x:v>3437464576</x:v>
      </x:c>
      <x:c r="Z55" s="87" t="n">
        <x:f>T55*'01 Base Costs'!$B$8</x:f>
        <x:v>6005130400</x:v>
      </x:c>
      <x:c r="AA55" s="87" t="n">
        <x:f>Z55*'01 Base Costs'!$B$11</x:f>
        <x:v>300256520</x:v>
      </x:c>
      <x:c r="AB55" s="87" t="n">
        <x:f>Z55-AA55</x:f>
        <x:v>5704873880</x:v>
      </x:c>
      <x:c r="AC55" s="87" t="n">
        <x:f>O55+Y55</x:f>
        <x:v>8175314576</x:v>
      </x:c>
      <x:c r="AD55" s="87" t="n">
        <x:f>AB55-AC55</x:f>
        <x:v>-2470440696</x:v>
      </x:c>
      <x:c r="AE55" s="87" t="n">
        <x:f>AD55/D55</x:f>
        <x:v>-2470440696</x:v>
      </x:c>
      <x:c r="AF55" s="87" t="n">
        <x:f>AD55/P55</x:f>
        <x:v>-1235220348</x:v>
      </x:c>
      <x:c r="AG55" s="87" t="n">
        <x:f>IF(T55=0,0,AC55/T55/(1-'01 Base Costs'!$B$11))</x:f>
        <x:v>1078936094.5995884</x:v>
      </x:c>
      <x:c r="AH55" s="88" t="str">
        <x:f>IF(AD55&gt;0,"PROFIT","LOSS")</x:f>
        <x:v>LOSS</x:v>
      </x:c>
      <x:c r="AI55" s="89" t="str">
        <x:v>Base 1M Omega; includes 100k SP bonus. MCT certificate bought with ISK market price. 50-pack at 20% off.</x:v>
      </x:c>
    </x:row>
    <x:row r="56">
      <x:c r="A56" s="86" t="n">
        <x:v>54</x:v>
      </x:c>
      <x:c r="B56" s="88" t="str">
        <x:v>Base</x:v>
      </x:c>
      <x:c r="C56" s="88" t="str">
        <x:v>1M Omega + Bonus Items</x:v>
      </x:c>
      <x:c r="D56" s="88" t="n">
        <x:v>1</x:v>
      </x:c>
      <x:c r="E56" s="88" t="n">
        <x:v>2</x:v>
      </x:c>
      <x:c r="F56" s="88" t="str">
        <x:v>Market MCT certificate</x:v>
      </x:c>
      <x:c r="G56" s="88" t="str">
        <x:v>Market Skill Extractor</x:v>
      </x:c>
      <x:c r="H56" s="87" t="n">
        <x:f>'01 Base Costs'!$B$21</x:f>
        <x:v>500</x:v>
      </x:c>
      <x:c r="I56" s="87" t="n">
        <x:f>0</x:f>
        <x:v>0</x:v>
      </x:c>
      <x:c r="J56" s="87" t="n">
        <x:f>'01 Base Costs'!$B$10</x:f>
        <x:v>2332850000</x:v>
      </x:c>
      <x:c r="K56" s="87" t="n">
        <x:f>D56*(E56-1)*I56</x:f>
        <x:v>0</x:v>
      </x:c>
      <x:c r="L56" s="87" t="n">
        <x:f>D56*(E56-1)*J56</x:f>
        <x:v>2332850000</x:v>
      </x:c>
      <x:c r="M56" s="87" t="n">
        <x:f>0</x:f>
        <x:v>0</x:v>
      </x:c>
      <x:c r="N56" s="87" t="n">
        <x:f>H56+K56+M56</x:f>
        <x:v>500</x:v>
      </x:c>
      <x:c r="O56" s="87" t="n">
        <x:f>N56*'01 Base Costs'!$B$7+L56</x:f>
        <x:v>4737850000</x:v>
      </x:c>
      <x:c r="P56" s="87" t="n">
        <x:f>D56*E56</x:f>
        <x:v>2</x:v>
      </x:c>
      <x:c r="Q56" s="87" t="n">
        <x:f>P56*'01 Base Costs'!$B$12</x:f>
        <x:v>3888000</x:v>
      </x:c>
      <x:c r="R56" s="87" t="n">
        <x:f>'01 Base Costs'!$B$13</x:f>
        <x:v>100000</x:v>
      </x:c>
      <x:c r="S56" s="87" t="n">
        <x:f>Q56+R56</x:f>
        <x:v>3988000</x:v>
      </x:c>
      <x:c r="T56" s="141" t="n">
        <x:f>S56/'01 Base Costs'!$B$14</x:f>
        <x:v>7.976</x:v>
      </x:c>
      <x:c r="U56" s="87" t="n">
        <x:f>INT(T56)</x:f>
        <x:v>7</x:v>
      </x:c>
      <x:c r="V56" s="87" t="n">
        <x:f>S56-U56*'01 Base Costs'!$B$14</x:f>
        <x:v>488000</x:v>
      </x:c>
      <x:c r="W56" s="120" t="n">
        <x:f>0</x:f>
        <x:v>0</x:v>
      </x:c>
      <x:c r="X56" s="120" t="n">
        <x:f>'01 Base Costs'!$B$9</x:f>
        <x:v>463500000</x:v>
      </x:c>
      <x:c r="Y56" s="87" t="n">
        <x:f>T56*(W56*'01 Base Costs'!$B$7+X56)</x:f>
        <x:v>3696876000</x:v>
      </x:c>
      <x:c r="Z56" s="87" t="n">
        <x:f>T56*'01 Base Costs'!$B$8</x:f>
        <x:v>6005130400</x:v>
      </x:c>
      <x:c r="AA56" s="87" t="n">
        <x:f>Z56*'01 Base Costs'!$B$11</x:f>
        <x:v>300256520</x:v>
      </x:c>
      <x:c r="AB56" s="87" t="n">
        <x:f>Z56-AA56</x:f>
        <x:v>5704873880</x:v>
      </x:c>
      <x:c r="AC56" s="87" t="n">
        <x:f>O56+Y56</x:f>
        <x:v>8434726000</x:v>
      </x:c>
      <x:c r="AD56" s="87" t="n">
        <x:f>AB56-AC56</x:f>
        <x:v>-2729852120</x:v>
      </x:c>
      <x:c r="AE56" s="87" t="n">
        <x:f>AD56/D56</x:f>
        <x:v>-2729852120</x:v>
      </x:c>
      <x:c r="AF56" s="87" t="n">
        <x:f>AD56/P56</x:f>
        <x:v>-1364926060</x:v>
      </x:c>
      <x:c r="AG56" s="87" t="n">
        <x:f>IF(T56=0,0,AC56/T56/(1-'01 Base Costs'!$B$11))</x:f>
        <x:v>1113171884.0732725</x:v>
      </x:c>
      <x:c r="AH56" s="88" t="str">
        <x:f>IF(AD56&gt;0,"PROFIT","LOSS")</x:f>
        <x:v>LOSS</x:v>
      </x:c>
      <x:c r="AI56" s="89" t="str">
        <x:v>Base 1M Omega; includes 100k SP bonus. MCT certificate bought with ISK market price. Extractor bought on market with ISK.</x:v>
      </x:c>
    </x:row>
    <x:row r="57">
      <x:c r="A57" s="86" t="n">
        <x:v>55</x:v>
      </x:c>
      <x:c r="B57" s="88" t="str">
        <x:v>Base</x:v>
      </x:c>
      <x:c r="C57" s="88" t="str">
        <x:v>1M Omega + Bonus Items</x:v>
      </x:c>
      <x:c r="D57" s="88" t="n">
        <x:v>1</x:v>
      </x:c>
      <x:c r="E57" s="88" t="n">
        <x:v>3</x:v>
      </x:c>
      <x:c r="F57" s="88" t="str">
        <x:v>NES base MCT</x:v>
      </x:c>
      <x:c r="G57" s="88" t="str">
        <x:v>NES single extractor</x:v>
      </x:c>
      <x:c r="H57" s="87" t="n">
        <x:f>'01 Base Costs'!$B$21</x:f>
        <x:v>500</x:v>
      </x:c>
      <x:c r="I57" s="87" t="n">
        <x:f>'01 Base Costs'!$B$16</x:f>
        <x:v>485</x:v>
      </x:c>
      <x:c r="J57" s="87" t="n">
        <x:f>0</x:f>
        <x:v>0</x:v>
      </x:c>
      <x:c r="K57" s="87" t="n">
        <x:f>D57*(E57-1)*I57</x:f>
        <x:v>970</x:v>
      </x:c>
      <x:c r="L57" s="87" t="n">
        <x:f>D57*(E57-1)*J57</x:f>
        <x:v>0</x:v>
      </x:c>
      <x:c r="M57" s="87" t="n">
        <x:f>0</x:f>
        <x:v>0</x:v>
      </x:c>
      <x:c r="N57" s="87" t="n">
        <x:f>H57+K57+M57</x:f>
        <x:v>1470</x:v>
      </x:c>
      <x:c r="O57" s="87" t="n">
        <x:f>N57*'01 Base Costs'!$B$7+L57</x:f>
        <x:v>7070700000</x:v>
      </x:c>
      <x:c r="P57" s="87" t="n">
        <x:f>D57*E57</x:f>
        <x:v>3</x:v>
      </x:c>
      <x:c r="Q57" s="87" t="n">
        <x:f>P57*'01 Base Costs'!$B$12</x:f>
        <x:v>5832000</x:v>
      </x:c>
      <x:c r="R57" s="87" t="n">
        <x:f>'01 Base Costs'!$B$13</x:f>
        <x:v>100000</x:v>
      </x:c>
      <x:c r="S57" s="87" t="n">
        <x:f>Q57+R57</x:f>
        <x:v>5932000</x:v>
      </x:c>
      <x:c r="T57" s="141" t="n">
        <x:f>S57/'01 Base Costs'!$B$14</x:f>
        <x:v>11.864</x:v>
      </x:c>
      <x:c r="U57" s="87" t="n">
        <x:f>INT(T57)</x:f>
        <x:v>11</x:v>
      </x:c>
      <x:c r="V57" s="87" t="n">
        <x:f>S57-U57*'01 Base Costs'!$B$14</x:f>
        <x:v>432000</x:v>
      </x:c>
      <x:c r="W57" s="120" t="n">
        <x:f>'01 Base Costs'!$B$17</x:f>
        <x:v>140</x:v>
      </x:c>
      <x:c r="X57" s="120" t="n">
        <x:f>0</x:f>
        <x:v>0</x:v>
      </x:c>
      <x:c r="Y57" s="87" t="n">
        <x:f>T57*(W57*'01 Base Costs'!$B$7+X57)</x:f>
        <x:v>7989217600.000001</x:v>
      </x:c>
      <x:c r="Z57" s="87" t="n">
        <x:f>T57*'01 Base Costs'!$B$8</x:f>
        <x:v>8932405600</x:v>
      </x:c>
      <x:c r="AA57" s="87" t="n">
        <x:f>Z57*'01 Base Costs'!$B$11</x:f>
        <x:v>446620280</x:v>
      </x:c>
      <x:c r="AB57" s="87" t="n">
        <x:f>Z57-AA57</x:f>
        <x:v>8485785320</x:v>
      </x:c>
      <x:c r="AC57" s="87" t="n">
        <x:f>O57+Y57</x:f>
        <x:v>15059917600</x:v>
      </x:c>
      <x:c r="AD57" s="87" t="n">
        <x:f>AB57-AC57</x:f>
        <x:v>-6574132280</x:v>
      </x:c>
      <x:c r="AE57" s="87" t="n">
        <x:f>AD57/D57</x:f>
        <x:v>-6574132280</x:v>
      </x:c>
      <x:c r="AF57" s="87" t="n">
        <x:f>AD57/P57</x:f>
        <x:v>-2191377426.6666665</x:v>
      </x:c>
      <x:c r="AG57" s="87" t="n">
        <x:f>IF(T57=0,0,AC57/T57/(1-'01 Base Costs'!$B$11))</x:f>
        <x:v>1336188877.4532418</x:v>
      </x:c>
      <x:c r="AH57" s="88" t="str">
        <x:f>IF(AD57&gt;0,"PROFIT","LOSS")</x:f>
        <x:v>LOSS</x:v>
      </x:c>
      <x:c r="AI57" s="89" t="str">
        <x:v>Base 1M Omega; includes 100k SP bonus. MCT purchased with PLEX in NES. Base single extractor.</x:v>
      </x:c>
    </x:row>
    <x:row r="58">
      <x:c r="A58" s="86" t="n">
        <x:v>56</x:v>
      </x:c>
      <x:c r="B58" s="88" t="str">
        <x:v>Base</x:v>
      </x:c>
      <x:c r="C58" s="88" t="str">
        <x:v>1M Omega + Bonus Items</x:v>
      </x:c>
      <x:c r="D58" s="88" t="n">
        <x:v>1</x:v>
      </x:c>
      <x:c r="E58" s="88" t="n">
        <x:v>3</x:v>
      </x:c>
      <x:c r="F58" s="88" t="str">
        <x:v>NES base MCT</x:v>
      </x:c>
      <x:c r="G58" s="88" t="str">
        <x:v>NES 5-pack extractor</x:v>
      </x:c>
      <x:c r="H58" s="87" t="n">
        <x:f>'01 Base Costs'!$B$21</x:f>
        <x:v>500</x:v>
      </x:c>
      <x:c r="I58" s="87" t="n">
        <x:f>'01 Base Costs'!$B$16</x:f>
        <x:v>485</x:v>
      </x:c>
      <x:c r="J58" s="87" t="n">
        <x:f>0</x:f>
        <x:v>0</x:v>
      </x:c>
      <x:c r="K58" s="87" t="n">
        <x:f>D58*(E58-1)*I58</x:f>
        <x:v>970</x:v>
      </x:c>
      <x:c r="L58" s="87" t="n">
        <x:f>D58*(E58-1)*J58</x:f>
        <x:v>0</x:v>
      </x:c>
      <x:c r="M58" s="87" t="n">
        <x:f>0</x:f>
        <x:v>0</x:v>
      </x:c>
      <x:c r="N58" s="87" t="n">
        <x:f>H58+K58+M58</x:f>
        <x:v>1470</x:v>
      </x:c>
      <x:c r="O58" s="87" t="n">
        <x:f>N58*'01 Base Costs'!$B$7+L58</x:f>
        <x:v>7070700000</x:v>
      </x:c>
      <x:c r="P58" s="87" t="n">
        <x:f>D58*E58</x:f>
        <x:v>3</x:v>
      </x:c>
      <x:c r="Q58" s="87" t="n">
        <x:f>P58*'01 Base Costs'!$B$12</x:f>
        <x:v>5832000</x:v>
      </x:c>
      <x:c r="R58" s="87" t="n">
        <x:f>'01 Base Costs'!$B$13</x:f>
        <x:v>100000</x:v>
      </x:c>
      <x:c r="S58" s="87" t="n">
        <x:f>Q58+R58</x:f>
        <x:v>5932000</x:v>
      </x:c>
      <x:c r="T58" s="141" t="n">
        <x:f>S58/'01 Base Costs'!$B$14</x:f>
        <x:v>11.864</x:v>
      </x:c>
      <x:c r="U58" s="87" t="n">
        <x:f>INT(T58)</x:f>
        <x:v>11</x:v>
      </x:c>
      <x:c r="V58" s="87" t="n">
        <x:f>S58-U58*'01 Base Costs'!$B$14</x:f>
        <x:v>432000</x:v>
      </x:c>
      <x:c r="W58" s="120" t="n">
        <x:f>'01 Base Costs'!$B$18/5</x:f>
        <x:v>126</x:v>
      </x:c>
      <x:c r="X58" s="120" t="n">
        <x:f>0</x:f>
        <x:v>0</x:v>
      </x:c>
      <x:c r="Y58" s="87" t="n">
        <x:f>T58*(W58*'01 Base Costs'!$B$7+X58)</x:f>
        <x:v>7190295840</x:v>
      </x:c>
      <x:c r="Z58" s="87" t="n">
        <x:f>T58*'01 Base Costs'!$B$8</x:f>
        <x:v>8932405600</x:v>
      </x:c>
      <x:c r="AA58" s="87" t="n">
        <x:f>Z58*'01 Base Costs'!$B$11</x:f>
        <x:v>446620280</x:v>
      </x:c>
      <x:c r="AB58" s="87" t="n">
        <x:f>Z58-AA58</x:f>
        <x:v>8485785320</x:v>
      </x:c>
      <x:c r="AC58" s="87" t="n">
        <x:f>O58+Y58</x:f>
        <x:v>14260995840</x:v>
      </x:c>
      <x:c r="AD58" s="87" t="n">
        <x:f>AB58-AC58</x:f>
        <x:v>-5775210520</x:v>
      </x:c>
      <x:c r="AE58" s="87" t="n">
        <x:f>AD58/D58</x:f>
        <x:v>-5775210520</x:v>
      </x:c>
      <x:c r="AF58" s="87" t="n">
        <x:f>AD58/P58</x:f>
        <x:v>-1925070173.3333333</x:v>
      </x:c>
      <x:c r="AG58" s="87" t="n">
        <x:f>IF(T58=0,0,AC58/T58/(1-'01 Base Costs'!$B$11))</x:f>
        <x:v>1265304666.9269261</x:v>
      </x:c>
      <x:c r="AH58" s="88" t="str">
        <x:f>IF(AD58&gt;0,"PROFIT","LOSS")</x:f>
        <x:v>LOSS</x:v>
      </x:c>
      <x:c r="AI58" s="89" t="str">
        <x:v>Base 1M Omega; includes 100k SP bonus. MCT purchased with PLEX in NES. Base 5-pack average.</x:v>
      </x:c>
    </x:row>
    <x:row r="59">
      <x:c r="A59" s="86" t="n">
        <x:v>57</x:v>
      </x:c>
      <x:c r="B59" s="88" t="str">
        <x:v>Base</x:v>
      </x:c>
      <x:c r="C59" s="88" t="str">
        <x:v>1M Omega + Bonus Items</x:v>
      </x:c>
      <x:c r="D59" s="88" t="n">
        <x:v>1</x:v>
      </x:c>
      <x:c r="E59" s="88" t="n">
        <x:v>3</x:v>
      </x:c>
      <x:c r="F59" s="88" t="str">
        <x:v>NES base MCT</x:v>
      </x:c>
      <x:c r="G59" s="88" t="str">
        <x:v>NES 10-pack extractor</x:v>
      </x:c>
      <x:c r="H59" s="87" t="n">
        <x:f>'01 Base Costs'!$B$21</x:f>
        <x:v>500</x:v>
      </x:c>
      <x:c r="I59" s="87" t="n">
        <x:f>'01 Base Costs'!$B$16</x:f>
        <x:v>485</x:v>
      </x:c>
      <x:c r="J59" s="87" t="n">
        <x:f>0</x:f>
        <x:v>0</x:v>
      </x:c>
      <x:c r="K59" s="87" t="n">
        <x:f>D59*(E59-1)*I59</x:f>
        <x:v>970</x:v>
      </x:c>
      <x:c r="L59" s="87" t="n">
        <x:f>D59*(E59-1)*J59</x:f>
        <x:v>0</x:v>
      </x:c>
      <x:c r="M59" s="87" t="n">
        <x:f>0</x:f>
        <x:v>0</x:v>
      </x:c>
      <x:c r="N59" s="87" t="n">
        <x:f>H59+K59+M59</x:f>
        <x:v>1470</x:v>
      </x:c>
      <x:c r="O59" s="87" t="n">
        <x:f>N59*'01 Base Costs'!$B$7+L59</x:f>
        <x:v>7070700000</x:v>
      </x:c>
      <x:c r="P59" s="87" t="n">
        <x:f>D59*E59</x:f>
        <x:v>3</x:v>
      </x:c>
      <x:c r="Q59" s="87" t="n">
        <x:f>P59*'01 Base Costs'!$B$12</x:f>
        <x:v>5832000</x:v>
      </x:c>
      <x:c r="R59" s="87" t="n">
        <x:f>'01 Base Costs'!$B$13</x:f>
        <x:v>100000</x:v>
      </x:c>
      <x:c r="S59" s="87" t="n">
        <x:f>Q59+R59</x:f>
        <x:v>5932000</x:v>
      </x:c>
      <x:c r="T59" s="141" t="n">
        <x:f>S59/'01 Base Costs'!$B$14</x:f>
        <x:v>11.864</x:v>
      </x:c>
      <x:c r="U59" s="87" t="n">
        <x:f>INT(T59)</x:f>
        <x:v>11</x:v>
      </x:c>
      <x:c r="V59" s="87" t="n">
        <x:f>S59-U59*'01 Base Costs'!$B$14</x:f>
        <x:v>432000</x:v>
      </x:c>
      <x:c r="W59" s="120" t="n">
        <x:f>'01 Base Costs'!$B$19/10</x:f>
        <x:v>119</x:v>
      </x:c>
      <x:c r="X59" s="120" t="n">
        <x:f>0</x:f>
        <x:v>0</x:v>
      </x:c>
      <x:c r="Y59" s="87" t="n">
        <x:f>T59*(W59*'01 Base Costs'!$B$7+X59)</x:f>
        <x:v>6790834960</x:v>
      </x:c>
      <x:c r="Z59" s="87" t="n">
        <x:f>T59*'01 Base Costs'!$B$8</x:f>
        <x:v>8932405600</x:v>
      </x:c>
      <x:c r="AA59" s="87" t="n">
        <x:f>Z59*'01 Base Costs'!$B$11</x:f>
        <x:v>446620280</x:v>
      </x:c>
      <x:c r="AB59" s="87" t="n">
        <x:f>Z59-AA59</x:f>
        <x:v>8485785320</x:v>
      </x:c>
      <x:c r="AC59" s="87" t="n">
        <x:f>O59+Y59</x:f>
        <x:v>13861534960</x:v>
      </x:c>
      <x:c r="AD59" s="87" t="n">
        <x:f>AB59-AC59</x:f>
        <x:v>-5375749640</x:v>
      </x:c>
      <x:c r="AE59" s="87" t="n">
        <x:f>AD59/D59</x:f>
        <x:v>-5375749640</x:v>
      </x:c>
      <x:c r="AF59" s="87" t="n">
        <x:f>AD59/P59</x:f>
        <x:v>-1791916546.6666667</x:v>
      </x:c>
      <x:c r="AG59" s="87" t="n">
        <x:f>IF(T59=0,0,AC59/T59/(1-'01 Base Costs'!$B$11))</x:f>
        <x:v>1229862561.6637683</x:v>
      </x:c>
      <x:c r="AH59" s="88" t="str">
        <x:f>IF(AD59&gt;0,"PROFIT","LOSS")</x:f>
        <x:v>LOSS</x:v>
      </x:c>
      <x:c r="AI59" s="89" t="str">
        <x:v>Base 1M Omega; includes 100k SP bonus. MCT purchased with PLEX in NES. Base 10-pack average.</x:v>
      </x:c>
    </x:row>
    <x:row r="60">
      <x:c r="A60" s="86" t="n">
        <x:v>58</x:v>
      </x:c>
      <x:c r="B60" s="88" t="str">
        <x:v>Base</x:v>
      </x:c>
      <x:c r="C60" s="88" t="str">
        <x:v>1M Omega + Bonus Items</x:v>
      </x:c>
      <x:c r="D60" s="88" t="n">
        <x:v>1</x:v>
      </x:c>
      <x:c r="E60" s="88" t="n">
        <x:v>3</x:v>
      </x:c>
      <x:c r="F60" s="88" t="str">
        <x:v>NES base MCT</x:v>
      </x:c>
      <x:c r="G60" s="88" t="str">
        <x:v>NES 50-pack extractor</x:v>
      </x:c>
      <x:c r="H60" s="87" t="n">
        <x:f>'01 Base Costs'!$B$21</x:f>
        <x:v>500</x:v>
      </x:c>
      <x:c r="I60" s="87" t="n">
        <x:f>'01 Base Costs'!$B$16</x:f>
        <x:v>485</x:v>
      </x:c>
      <x:c r="J60" s="87" t="n">
        <x:f>0</x:f>
        <x:v>0</x:v>
      </x:c>
      <x:c r="K60" s="87" t="n">
        <x:f>D60*(E60-1)*I60</x:f>
        <x:v>970</x:v>
      </x:c>
      <x:c r="L60" s="87" t="n">
        <x:f>D60*(E60-1)*J60</x:f>
        <x:v>0</x:v>
      </x:c>
      <x:c r="M60" s="87" t="n">
        <x:f>0</x:f>
        <x:v>0</x:v>
      </x:c>
      <x:c r="N60" s="87" t="n">
        <x:f>H60+K60+M60</x:f>
        <x:v>1470</x:v>
      </x:c>
      <x:c r="O60" s="87" t="n">
        <x:f>N60*'01 Base Costs'!$B$7+L60</x:f>
        <x:v>7070700000</x:v>
      </x:c>
      <x:c r="P60" s="87" t="n">
        <x:f>D60*E60</x:f>
        <x:v>3</x:v>
      </x:c>
      <x:c r="Q60" s="87" t="n">
        <x:f>P60*'01 Base Costs'!$B$12</x:f>
        <x:v>5832000</x:v>
      </x:c>
      <x:c r="R60" s="87" t="n">
        <x:f>'01 Base Costs'!$B$13</x:f>
        <x:v>100000</x:v>
      </x:c>
      <x:c r="S60" s="87" t="n">
        <x:f>Q60+R60</x:f>
        <x:v>5932000</x:v>
      </x:c>
      <x:c r="T60" s="141" t="n">
        <x:f>S60/'01 Base Costs'!$B$14</x:f>
        <x:v>11.864</x:v>
      </x:c>
      <x:c r="U60" s="87" t="n">
        <x:f>INT(T60)</x:f>
        <x:v>11</x:v>
      </x:c>
      <x:c r="V60" s="87" t="n">
        <x:f>S60-U60*'01 Base Costs'!$B$14</x:f>
        <x:v>432000</x:v>
      </x:c>
      <x:c r="W60" s="120" t="n">
        <x:f>'01 Base Costs'!$B$20/50</x:f>
        <x:v>112</x:v>
      </x:c>
      <x:c r="X60" s="120" t="n">
        <x:f>0</x:f>
        <x:v>0</x:v>
      </x:c>
      <x:c r="Y60" s="87" t="n">
        <x:f>T60*(W60*'01 Base Costs'!$B$7+X60)</x:f>
        <x:v>6391374080</x:v>
      </x:c>
      <x:c r="Z60" s="87" t="n">
        <x:f>T60*'01 Base Costs'!$B$8</x:f>
        <x:v>8932405600</x:v>
      </x:c>
      <x:c r="AA60" s="87" t="n">
        <x:f>Z60*'01 Base Costs'!$B$11</x:f>
        <x:v>446620280</x:v>
      </x:c>
      <x:c r="AB60" s="87" t="n">
        <x:f>Z60-AA60</x:f>
        <x:v>8485785320</x:v>
      </x:c>
      <x:c r="AC60" s="87" t="n">
        <x:f>O60+Y60</x:f>
        <x:v>13462074080</x:v>
      </x:c>
      <x:c r="AD60" s="87" t="n">
        <x:f>AB60-AC60</x:f>
        <x:v>-4976288760</x:v>
      </x:c>
      <x:c r="AE60" s="87" t="n">
        <x:f>AD60/D60</x:f>
        <x:v>-4976288760</x:v>
      </x:c>
      <x:c r="AF60" s="87" t="n">
        <x:f>AD60/P60</x:f>
        <x:v>-1658762920</x:v>
      </x:c>
      <x:c r="AG60" s="87" t="n">
        <x:f>IF(T60=0,0,AC60/T60/(1-'01 Base Costs'!$B$11))</x:f>
        <x:v>1194420456.4006102</x:v>
      </x:c>
      <x:c r="AH60" s="88" t="str">
        <x:f>IF(AD60&gt;0,"PROFIT","LOSS")</x:f>
        <x:v>LOSS</x:v>
      </x:c>
      <x:c r="AI60" s="89" t="str">
        <x:v>Base 1M Omega; includes 100k SP bonus. MCT purchased with PLEX in NES. Base 50-pack average.</x:v>
      </x:c>
    </x:row>
    <x:row r="61">
      <x:c r="A61" s="86" t="n">
        <x:v>59</x:v>
      </x:c>
      <x:c r="B61" s="88" t="str">
        <x:v>Base</x:v>
      </x:c>
      <x:c r="C61" s="88" t="str">
        <x:v>1M Omega + Bonus Items</x:v>
      </x:c>
      <x:c r="D61" s="88" t="n">
        <x:v>1</x:v>
      </x:c>
      <x:c r="E61" s="88" t="n">
        <x:v>3</x:v>
      </x:c>
      <x:c r="F61" s="88" t="str">
        <x:v>NES base MCT</x:v>
      </x:c>
      <x:c r="G61" s="88" t="str">
        <x:v>NES 3-for-2 extractor sale</x:v>
      </x:c>
      <x:c r="H61" s="87" t="n">
        <x:f>'01 Base Costs'!$B$21</x:f>
        <x:v>500</x:v>
      </x:c>
      <x:c r="I61" s="87" t="n">
        <x:f>'01 Base Costs'!$B$16</x:f>
        <x:v>485</x:v>
      </x:c>
      <x:c r="J61" s="87" t="n">
        <x:f>0</x:f>
        <x:v>0</x:v>
      </x:c>
      <x:c r="K61" s="87" t="n">
        <x:f>D61*(E61-1)*I61</x:f>
        <x:v>970</x:v>
      </x:c>
      <x:c r="L61" s="87" t="n">
        <x:f>D61*(E61-1)*J61</x:f>
        <x:v>0</x:v>
      </x:c>
      <x:c r="M61" s="87" t="n">
        <x:f>0</x:f>
        <x:v>0</x:v>
      </x:c>
      <x:c r="N61" s="87" t="n">
        <x:f>H61+K61+M61</x:f>
        <x:v>1470</x:v>
      </x:c>
      <x:c r="O61" s="87" t="n">
        <x:f>N61*'01 Base Costs'!$B$7+L61</x:f>
        <x:v>7070700000</x:v>
      </x:c>
      <x:c r="P61" s="87" t="n">
        <x:f>D61*E61</x:f>
        <x:v>3</x:v>
      </x:c>
      <x:c r="Q61" s="87" t="n">
        <x:f>P61*'01 Base Costs'!$B$12</x:f>
        <x:v>5832000</x:v>
      </x:c>
      <x:c r="R61" s="87" t="n">
        <x:f>'01 Base Costs'!$B$13</x:f>
        <x:v>100000</x:v>
      </x:c>
      <x:c r="S61" s="87" t="n">
        <x:f>Q61+R61</x:f>
        <x:v>5932000</x:v>
      </x:c>
      <x:c r="T61" s="141" t="n">
        <x:f>S61/'01 Base Costs'!$B$14</x:f>
        <x:v>11.864</x:v>
      </x:c>
      <x:c r="U61" s="87" t="n">
        <x:f>INT(T61)</x:f>
        <x:v>11</x:v>
      </x:c>
      <x:c r="V61" s="87" t="n">
        <x:f>S61-U61*'01 Base Costs'!$B$14</x:f>
        <x:v>432000</x:v>
      </x:c>
      <x:c r="W61" s="120" t="n">
        <x:f>'01 Base Costs'!$B$17*2/3</x:f>
        <x:v>93.33333333333333</x:v>
      </x:c>
      <x:c r="X61" s="120" t="n">
        <x:f>0</x:f>
        <x:v>0</x:v>
      </x:c>
      <x:c r="Y61" s="87" t="n">
        <x:f>T61*(W61*'01 Base Costs'!$B$7+X61)</x:f>
        <x:v>5326145066.666667</x:v>
      </x:c>
      <x:c r="Z61" s="87" t="n">
        <x:f>T61*'01 Base Costs'!$B$8</x:f>
        <x:v>8932405600</x:v>
      </x:c>
      <x:c r="AA61" s="87" t="n">
        <x:f>Z61*'01 Base Costs'!$B$11</x:f>
        <x:v>446620280</x:v>
      </x:c>
      <x:c r="AB61" s="87" t="n">
        <x:f>Z61-AA61</x:f>
        <x:v>8485785320</x:v>
      </x:c>
      <x:c r="AC61" s="87" t="n">
        <x:f>O61+Y61</x:f>
        <x:v>12396845066.666668</x:v>
      </x:c>
      <x:c r="AD61" s="87" t="n">
        <x:f>AB61-AC61</x:f>
        <x:v>-3911059746.666668</x:v>
      </x:c>
      <x:c r="AE61" s="87" t="n">
        <x:f>AD61/D61</x:f>
        <x:v>-3911059746.666668</x:v>
      </x:c>
      <x:c r="AF61" s="87" t="n">
        <x:f>AD61/P61</x:f>
        <x:v>-1303686582.2222226</x:v>
      </x:c>
      <x:c r="AG61" s="87" t="n">
        <x:f>IF(T61=0,0,AC61/T61/(1-'01 Base Costs'!$B$11))</x:f>
        <x:v>1099908175.698856</x:v>
      </x:c>
      <x:c r="AH61" s="88" t="str">
        <x:f>IF(AD61&gt;0,"PROFIT","LOSS")</x:f>
        <x:v>LOSS</x:v>
      </x:c>
      <x:c r="AI61" s="89" t="str">
        <x:v>Base 1M Omega; includes 100k SP bonus. MCT purchased with PLEX in NES. Extractor 3-for-2 sale.</x:v>
      </x:c>
    </x:row>
    <x:row r="62">
      <x:c r="A62" s="86" t="n">
        <x:v>60</x:v>
      </x:c>
      <x:c r="B62" s="88" t="str">
        <x:v>Base</x:v>
      </x:c>
      <x:c r="C62" s="88" t="str">
        <x:v>1M Omega + Bonus Items</x:v>
      </x:c>
      <x:c r="D62" s="88" t="n">
        <x:v>1</x:v>
      </x:c>
      <x:c r="E62" s="88" t="n">
        <x:v>3</x:v>
      </x:c>
      <x:c r="F62" s="88" t="str">
        <x:v>NES base MCT</x:v>
      </x:c>
      <x:c r="G62" s="88" t="str">
        <x:v>NES 2-for-1 extractor sale</x:v>
      </x:c>
      <x:c r="H62" s="87" t="n">
        <x:f>'01 Base Costs'!$B$21</x:f>
        <x:v>500</x:v>
      </x:c>
      <x:c r="I62" s="87" t="n">
        <x:f>'01 Base Costs'!$B$16</x:f>
        <x:v>485</x:v>
      </x:c>
      <x:c r="J62" s="87" t="n">
        <x:f>0</x:f>
        <x:v>0</x:v>
      </x:c>
      <x:c r="K62" s="87" t="n">
        <x:f>D62*(E62-1)*I62</x:f>
        <x:v>970</x:v>
      </x:c>
      <x:c r="L62" s="87" t="n">
        <x:f>D62*(E62-1)*J62</x:f>
        <x:v>0</x:v>
      </x:c>
      <x:c r="M62" s="87" t="n">
        <x:f>0</x:f>
        <x:v>0</x:v>
      </x:c>
      <x:c r="N62" s="87" t="n">
        <x:f>H62+K62+M62</x:f>
        <x:v>1470</x:v>
      </x:c>
      <x:c r="O62" s="87" t="n">
        <x:f>N62*'01 Base Costs'!$B$7+L62</x:f>
        <x:v>7070700000</x:v>
      </x:c>
      <x:c r="P62" s="87" t="n">
        <x:f>D62*E62</x:f>
        <x:v>3</x:v>
      </x:c>
      <x:c r="Q62" s="87" t="n">
        <x:f>P62*'01 Base Costs'!$B$12</x:f>
        <x:v>5832000</x:v>
      </x:c>
      <x:c r="R62" s="87" t="n">
        <x:f>'01 Base Costs'!$B$13</x:f>
        <x:v>100000</x:v>
      </x:c>
      <x:c r="S62" s="87" t="n">
        <x:f>Q62+R62</x:f>
        <x:v>5932000</x:v>
      </x:c>
      <x:c r="T62" s="141" t="n">
        <x:f>S62/'01 Base Costs'!$B$14</x:f>
        <x:v>11.864</x:v>
      </x:c>
      <x:c r="U62" s="87" t="n">
        <x:f>INT(T62)</x:f>
        <x:v>11</x:v>
      </x:c>
      <x:c r="V62" s="87" t="n">
        <x:f>S62-U62*'01 Base Costs'!$B$14</x:f>
        <x:v>432000</x:v>
      </x:c>
      <x:c r="W62" s="120" t="n">
        <x:f>'01 Base Costs'!$B$17/2</x:f>
        <x:v>70</x:v>
      </x:c>
      <x:c r="X62" s="120" t="n">
        <x:f>0</x:f>
        <x:v>0</x:v>
      </x:c>
      <x:c r="Y62" s="87" t="n">
        <x:f>T62*(W62*'01 Base Costs'!$B$7+X62)</x:f>
        <x:v>3994608800.0000005</x:v>
      </x:c>
      <x:c r="Z62" s="87" t="n">
        <x:f>T62*'01 Base Costs'!$B$8</x:f>
        <x:v>8932405600</x:v>
      </x:c>
      <x:c r="AA62" s="87" t="n">
        <x:f>Z62*'01 Base Costs'!$B$11</x:f>
        <x:v>446620280</x:v>
      </x:c>
      <x:c r="AB62" s="87" t="n">
        <x:f>Z62-AA62</x:f>
        <x:v>8485785320</x:v>
      </x:c>
      <x:c r="AC62" s="87" t="n">
        <x:f>O62+Y62</x:f>
        <x:v>11065308800</x:v>
      </x:c>
      <x:c r="AD62" s="87" t="n">
        <x:f>AB62-AC62</x:f>
        <x:v>-2579523480</x:v>
      </x:c>
      <x:c r="AE62" s="87" t="n">
        <x:f>AD62/D62</x:f>
        <x:v>-2579523480</x:v>
      </x:c>
      <x:c r="AF62" s="87" t="n">
        <x:f>AD62/P62</x:f>
        <x:v>-859841160</x:v>
      </x:c>
      <x:c r="AG62" s="87" t="n">
        <x:f>IF(T62=0,0,AC62/T62/(1-'01 Base Costs'!$B$11))</x:f>
        <x:v>981767824.821663</x:v>
      </x:c>
      <x:c r="AH62" s="88" t="str">
        <x:f>IF(AD62&gt;0,"PROFIT","LOSS")</x:f>
        <x:v>LOSS</x:v>
      </x:c>
      <x:c r="AI62" s="89" t="str">
        <x:v>Base 1M Omega; includes 100k SP bonus. MCT purchased with PLEX in NES. Extractor 2-for-1 sale.</x:v>
      </x:c>
    </x:row>
    <x:row r="63">
      <x:c r="A63" s="86" t="n">
        <x:v>61</x:v>
      </x:c>
      <x:c r="B63" s="88" t="str">
        <x:v>Base</x:v>
      </x:c>
      <x:c r="C63" s="88" t="str">
        <x:v>1M Omega + Bonus Items</x:v>
      </x:c>
      <x:c r="D63" s="88" t="n">
        <x:v>1</x:v>
      </x:c>
      <x:c r="E63" s="88" t="n">
        <x:v>3</x:v>
      </x:c>
      <x:c r="F63" s="88" t="str">
        <x:v>NES base MCT</x:v>
      </x:c>
      <x:c r="G63" s="88" t="str">
        <x:v>NES 10-pack extractor 20% sale</x:v>
      </x:c>
      <x:c r="H63" s="87" t="n">
        <x:f>'01 Base Costs'!$B$21</x:f>
        <x:v>500</x:v>
      </x:c>
      <x:c r="I63" s="87" t="n">
        <x:f>'01 Base Costs'!$B$16</x:f>
        <x:v>485</x:v>
      </x:c>
      <x:c r="J63" s="87" t="n">
        <x:f>0</x:f>
        <x:v>0</x:v>
      </x:c>
      <x:c r="K63" s="87" t="n">
        <x:f>D63*(E63-1)*I63</x:f>
        <x:v>970</x:v>
      </x:c>
      <x:c r="L63" s="87" t="n">
        <x:f>D63*(E63-1)*J63</x:f>
        <x:v>0</x:v>
      </x:c>
      <x:c r="M63" s="87" t="n">
        <x:f>0</x:f>
        <x:v>0</x:v>
      </x:c>
      <x:c r="N63" s="87" t="n">
        <x:f>H63+K63+M63</x:f>
        <x:v>1470</x:v>
      </x:c>
      <x:c r="O63" s="87" t="n">
        <x:f>N63*'01 Base Costs'!$B$7+L63</x:f>
        <x:v>7070700000</x:v>
      </x:c>
      <x:c r="P63" s="87" t="n">
        <x:f>D63*E63</x:f>
        <x:v>3</x:v>
      </x:c>
      <x:c r="Q63" s="87" t="n">
        <x:f>P63*'01 Base Costs'!$B$12</x:f>
        <x:v>5832000</x:v>
      </x:c>
      <x:c r="R63" s="87" t="n">
        <x:f>'01 Base Costs'!$B$13</x:f>
        <x:v>100000</x:v>
      </x:c>
      <x:c r="S63" s="87" t="n">
        <x:f>Q63+R63</x:f>
        <x:v>5932000</x:v>
      </x:c>
      <x:c r="T63" s="141" t="n">
        <x:f>S63/'01 Base Costs'!$B$14</x:f>
        <x:v>11.864</x:v>
      </x:c>
      <x:c r="U63" s="87" t="n">
        <x:f>INT(T63)</x:f>
        <x:v>11</x:v>
      </x:c>
      <x:c r="V63" s="87" t="n">
        <x:f>S63-U63*'01 Base Costs'!$B$14</x:f>
        <x:v>432000</x:v>
      </x:c>
      <x:c r="W63" s="120" t="n">
        <x:f>'01 Base Costs'!$B$19*0.8/10</x:f>
        <x:v>95.2</x:v>
      </x:c>
      <x:c r="X63" s="120" t="n">
        <x:f>0</x:f>
        <x:v>0</x:v>
      </x:c>
      <x:c r="Y63" s="87" t="n">
        <x:f>T63*(W63*'01 Base Costs'!$B$7+X63)</x:f>
        <x:v>5432667968</x:v>
      </x:c>
      <x:c r="Z63" s="87" t="n">
        <x:f>T63*'01 Base Costs'!$B$8</x:f>
        <x:v>8932405600</x:v>
      </x:c>
      <x:c r="AA63" s="87" t="n">
        <x:f>Z63*'01 Base Costs'!$B$11</x:f>
        <x:v>446620280</x:v>
      </x:c>
      <x:c r="AB63" s="87" t="n">
        <x:f>Z63-AA63</x:f>
        <x:v>8485785320</x:v>
      </x:c>
      <x:c r="AC63" s="87" t="n">
        <x:f>O63+Y63</x:f>
        <x:v>12503367968</x:v>
      </x:c>
      <x:c r="AD63" s="87" t="n">
        <x:f>AB63-AC63</x:f>
        <x:v>-4017582648</x:v>
      </x:c>
      <x:c r="AE63" s="87" t="n">
        <x:f>AD63/D63</x:f>
        <x:v>-4017582648</x:v>
      </x:c>
      <x:c r="AF63" s="87" t="n">
        <x:f>AD63/P63</x:f>
        <x:v>-1339194216</x:v>
      </x:c>
      <x:c r="AG63" s="87" t="n">
        <x:f>IF(T63=0,0,AC63/T63/(1-'01 Base Costs'!$B$11))</x:f>
        <x:v>1109359403.7690315</x:v>
      </x:c>
      <x:c r="AH63" s="88" t="str">
        <x:f>IF(AD63&gt;0,"PROFIT","LOSS")</x:f>
        <x:v>LOSS</x:v>
      </x:c>
      <x:c r="AI63" s="89" t="str">
        <x:v>Base 1M Omega; includes 100k SP bonus. MCT purchased with PLEX in NES. 10-pack at 20% off.</x:v>
      </x:c>
    </x:row>
    <x:row r="64">
      <x:c r="A64" s="86" t="n">
        <x:v>62</x:v>
      </x:c>
      <x:c r="B64" s="88" t="str">
        <x:v>Base</x:v>
      </x:c>
      <x:c r="C64" s="88" t="str">
        <x:v>1M Omega + Bonus Items</x:v>
      </x:c>
      <x:c r="D64" s="88" t="n">
        <x:v>1</x:v>
      </x:c>
      <x:c r="E64" s="88" t="n">
        <x:v>3</x:v>
      </x:c>
      <x:c r="F64" s="88" t="str">
        <x:v>NES base MCT</x:v>
      </x:c>
      <x:c r="G64" s="88" t="str">
        <x:v>NES 50-pack extractor 20% sale</x:v>
      </x:c>
      <x:c r="H64" s="87" t="n">
        <x:f>'01 Base Costs'!$B$21</x:f>
        <x:v>500</x:v>
      </x:c>
      <x:c r="I64" s="87" t="n">
        <x:f>'01 Base Costs'!$B$16</x:f>
        <x:v>485</x:v>
      </x:c>
      <x:c r="J64" s="87" t="n">
        <x:f>0</x:f>
        <x:v>0</x:v>
      </x:c>
      <x:c r="K64" s="87" t="n">
        <x:f>D64*(E64-1)*I64</x:f>
        <x:v>970</x:v>
      </x:c>
      <x:c r="L64" s="87" t="n">
        <x:f>D64*(E64-1)*J64</x:f>
        <x:v>0</x:v>
      </x:c>
      <x:c r="M64" s="87" t="n">
        <x:f>0</x:f>
        <x:v>0</x:v>
      </x:c>
      <x:c r="N64" s="87" t="n">
        <x:f>H64+K64+M64</x:f>
        <x:v>1470</x:v>
      </x:c>
      <x:c r="O64" s="87" t="n">
        <x:f>N64*'01 Base Costs'!$B$7+L64</x:f>
        <x:v>7070700000</x:v>
      </x:c>
      <x:c r="P64" s="87" t="n">
        <x:f>D64*E64</x:f>
        <x:v>3</x:v>
      </x:c>
      <x:c r="Q64" s="87" t="n">
        <x:f>P64*'01 Base Costs'!$B$12</x:f>
        <x:v>5832000</x:v>
      </x:c>
      <x:c r="R64" s="87" t="n">
        <x:f>'01 Base Costs'!$B$13</x:f>
        <x:v>100000</x:v>
      </x:c>
      <x:c r="S64" s="87" t="n">
        <x:f>Q64+R64</x:f>
        <x:v>5932000</x:v>
      </x:c>
      <x:c r="T64" s="141" t="n">
        <x:f>S64/'01 Base Costs'!$B$14</x:f>
        <x:v>11.864</x:v>
      </x:c>
      <x:c r="U64" s="87" t="n">
        <x:f>INT(T64)</x:f>
        <x:v>11</x:v>
      </x:c>
      <x:c r="V64" s="87" t="n">
        <x:f>S64-U64*'01 Base Costs'!$B$14</x:f>
        <x:v>432000</x:v>
      </x:c>
      <x:c r="W64" s="120" t="n">
        <x:f>'01 Base Costs'!$B$20*0.8/50</x:f>
        <x:v>89.6</x:v>
      </x:c>
      <x:c r="X64" s="120" t="n">
        <x:f>0</x:f>
        <x:v>0</x:v>
      </x:c>
      <x:c r="Y64" s="87" t="n">
        <x:f>T64*(W64*'01 Base Costs'!$B$7+X64)</x:f>
        <x:v>5113099264</x:v>
      </x:c>
      <x:c r="Z64" s="87" t="n">
        <x:f>T64*'01 Base Costs'!$B$8</x:f>
        <x:v>8932405600</x:v>
      </x:c>
      <x:c r="AA64" s="87" t="n">
        <x:f>Z64*'01 Base Costs'!$B$11</x:f>
        <x:v>446620280</x:v>
      </x:c>
      <x:c r="AB64" s="87" t="n">
        <x:f>Z64-AA64</x:f>
        <x:v>8485785320</x:v>
      </x:c>
      <x:c r="AC64" s="87" t="n">
        <x:f>O64+Y64</x:f>
        <x:v>12183799264</x:v>
      </x:c>
      <x:c r="AD64" s="87" t="n">
        <x:f>AB64-AC64</x:f>
        <x:v>-3698013944</x:v>
      </x:c>
      <x:c r="AE64" s="87" t="n">
        <x:f>AD64/D64</x:f>
        <x:v>-3698013944</x:v>
      </x:c>
      <x:c r="AF64" s="87" t="n">
        <x:f>AD64/P64</x:f>
        <x:v>-1232671314.6666667</x:v>
      </x:c>
      <x:c r="AG64" s="87" t="n">
        <x:f>IF(T64=0,0,AC64/T64/(1-'01 Base Costs'!$B$11))</x:f>
        <x:v>1081005719.5585053</x:v>
      </x:c>
      <x:c r="AH64" s="88" t="str">
        <x:f>IF(AD64&gt;0,"PROFIT","LOSS")</x:f>
        <x:v>LOSS</x:v>
      </x:c>
      <x:c r="AI64" s="89" t="str">
        <x:v>Base 1M Omega; includes 100k SP bonus. MCT purchased with PLEX in NES. 50-pack at 20% off.</x:v>
      </x:c>
    </x:row>
    <x:row r="65">
      <x:c r="A65" s="86" t="n">
        <x:v>63</x:v>
      </x:c>
      <x:c r="B65" s="88" t="str">
        <x:v>Base</x:v>
      </x:c>
      <x:c r="C65" s="88" t="str">
        <x:v>1M Omega + Bonus Items</x:v>
      </x:c>
      <x:c r="D65" s="88" t="n">
        <x:v>1</x:v>
      </x:c>
      <x:c r="E65" s="88" t="n">
        <x:v>3</x:v>
      </x:c>
      <x:c r="F65" s="88" t="str">
        <x:v>NES base MCT</x:v>
      </x:c>
      <x:c r="G65" s="88" t="str">
        <x:v>Market Skill Extractor</x:v>
      </x:c>
      <x:c r="H65" s="87" t="n">
        <x:f>'01 Base Costs'!$B$21</x:f>
        <x:v>500</x:v>
      </x:c>
      <x:c r="I65" s="87" t="n">
        <x:f>'01 Base Costs'!$B$16</x:f>
        <x:v>485</x:v>
      </x:c>
      <x:c r="J65" s="87" t="n">
        <x:f>0</x:f>
        <x:v>0</x:v>
      </x:c>
      <x:c r="K65" s="87" t="n">
        <x:f>D65*(E65-1)*I65</x:f>
        <x:v>970</x:v>
      </x:c>
      <x:c r="L65" s="87" t="n">
        <x:f>D65*(E65-1)*J65</x:f>
        <x:v>0</x:v>
      </x:c>
      <x:c r="M65" s="87" t="n">
        <x:f>0</x:f>
        <x:v>0</x:v>
      </x:c>
      <x:c r="N65" s="87" t="n">
        <x:f>H65+K65+M65</x:f>
        <x:v>1470</x:v>
      </x:c>
      <x:c r="O65" s="87" t="n">
        <x:f>N65*'01 Base Costs'!$B$7+L65</x:f>
        <x:v>7070700000</x:v>
      </x:c>
      <x:c r="P65" s="87" t="n">
        <x:f>D65*E65</x:f>
        <x:v>3</x:v>
      </x:c>
      <x:c r="Q65" s="87" t="n">
        <x:f>P65*'01 Base Costs'!$B$12</x:f>
        <x:v>5832000</x:v>
      </x:c>
      <x:c r="R65" s="87" t="n">
        <x:f>'01 Base Costs'!$B$13</x:f>
        <x:v>100000</x:v>
      </x:c>
      <x:c r="S65" s="87" t="n">
        <x:f>Q65+R65</x:f>
        <x:v>5932000</x:v>
      </x:c>
      <x:c r="T65" s="141" t="n">
        <x:f>S65/'01 Base Costs'!$B$14</x:f>
        <x:v>11.864</x:v>
      </x:c>
      <x:c r="U65" s="87" t="n">
        <x:f>INT(T65)</x:f>
        <x:v>11</x:v>
      </x:c>
      <x:c r="V65" s="87" t="n">
        <x:f>S65-U65*'01 Base Costs'!$B$14</x:f>
        <x:v>432000</x:v>
      </x:c>
      <x:c r="W65" s="120" t="n">
        <x:f>0</x:f>
        <x:v>0</x:v>
      </x:c>
      <x:c r="X65" s="120" t="n">
        <x:f>'01 Base Costs'!$B$9</x:f>
        <x:v>463500000</x:v>
      </x:c>
      <x:c r="Y65" s="87" t="n">
        <x:f>T65*(W65*'01 Base Costs'!$B$7+X65)</x:f>
        <x:v>5498964000</x:v>
      </x:c>
      <x:c r="Z65" s="87" t="n">
        <x:f>T65*'01 Base Costs'!$B$8</x:f>
        <x:v>8932405600</x:v>
      </x:c>
      <x:c r="AA65" s="87" t="n">
        <x:f>Z65*'01 Base Costs'!$B$11</x:f>
        <x:v>446620280</x:v>
      </x:c>
      <x:c r="AB65" s="87" t="n">
        <x:f>Z65-AA65</x:f>
        <x:v>8485785320</x:v>
      </x:c>
      <x:c r="AC65" s="87" t="n">
        <x:f>O65+Y65</x:f>
        <x:v>12569664000</x:v>
      </x:c>
      <x:c r="AD65" s="87" t="n">
        <x:f>AB65-AC65</x:f>
        <x:v>-4083878680</x:v>
      </x:c>
      <x:c r="AE65" s="87" t="n">
        <x:f>AD65/D65</x:f>
        <x:v>-4083878680</x:v>
      </x:c>
      <x:c r="AF65" s="87" t="n">
        <x:f>AD65/P65</x:f>
        <x:v>-1361292893.3333333</x:v>
      </x:c>
      <x:c r="AG65" s="87" t="n">
        <x:f>IF(T65=0,0,AC65/T65/(1-'01 Base Costs'!$B$11))</x:f>
        <x:v>1115241509.0321894</x:v>
      </x:c>
      <x:c r="AH65" s="88" t="str">
        <x:f>IF(AD65&gt;0,"PROFIT","LOSS")</x:f>
        <x:v>LOSS</x:v>
      </x:c>
      <x:c r="AI65" s="89" t="str">
        <x:v>Base 1M Omega; includes 100k SP bonus. MCT purchased with PLEX in NES. Extractor bought on market with ISK.</x:v>
      </x:c>
    </x:row>
    <x:row r="66">
      <x:c r="A66" s="86" t="n">
        <x:v>64</x:v>
      </x:c>
      <x:c r="B66" s="88" t="str">
        <x:v>Base</x:v>
      </x:c>
      <x:c r="C66" s="88" t="str">
        <x:v>1M Omega + Bonus Items</x:v>
      </x:c>
      <x:c r="D66" s="88" t="n">
        <x:v>1</x:v>
      </x:c>
      <x:c r="E66" s="88" t="n">
        <x:v>3</x:v>
      </x:c>
      <x:c r="F66" s="88" t="str">
        <x:v>NES MCT 20% sale</x:v>
      </x:c>
      <x:c r="G66" s="88" t="str">
        <x:v>NES single extractor</x:v>
      </x:c>
      <x:c r="H66" s="87" t="n">
        <x:f>'01 Base Costs'!$B$21</x:f>
        <x:v>500</x:v>
      </x:c>
      <x:c r="I66" s="87" t="n">
        <x:f>'01 Base Costs'!$B$16*0.8</x:f>
        <x:v>388</x:v>
      </x:c>
      <x:c r="J66" s="87" t="n">
        <x:f>0</x:f>
        <x:v>0</x:v>
      </x:c>
      <x:c r="K66" s="87" t="n">
        <x:f>D66*(E66-1)*I66</x:f>
        <x:v>776</x:v>
      </x:c>
      <x:c r="L66" s="87" t="n">
        <x:f>D66*(E66-1)*J66</x:f>
        <x:v>0</x:v>
      </x:c>
      <x:c r="M66" s="87" t="n">
        <x:f>0</x:f>
        <x:v>0</x:v>
      </x:c>
      <x:c r="N66" s="87" t="n">
        <x:f>H66+K66+M66</x:f>
        <x:v>1276</x:v>
      </x:c>
      <x:c r="O66" s="87" t="n">
        <x:f>N66*'01 Base Costs'!$B$7+L66</x:f>
        <x:v>6137560000</x:v>
      </x:c>
      <x:c r="P66" s="87" t="n">
        <x:f>D66*E66</x:f>
        <x:v>3</x:v>
      </x:c>
      <x:c r="Q66" s="87" t="n">
        <x:f>P66*'01 Base Costs'!$B$12</x:f>
        <x:v>5832000</x:v>
      </x:c>
      <x:c r="R66" s="87" t="n">
        <x:f>'01 Base Costs'!$B$13</x:f>
        <x:v>100000</x:v>
      </x:c>
      <x:c r="S66" s="87" t="n">
        <x:f>Q66+R66</x:f>
        <x:v>5932000</x:v>
      </x:c>
      <x:c r="T66" s="141" t="n">
        <x:f>S66/'01 Base Costs'!$B$14</x:f>
        <x:v>11.864</x:v>
      </x:c>
      <x:c r="U66" s="87" t="n">
        <x:f>INT(T66)</x:f>
        <x:v>11</x:v>
      </x:c>
      <x:c r="V66" s="87" t="n">
        <x:f>S66-U66*'01 Base Costs'!$B$14</x:f>
        <x:v>432000</x:v>
      </x:c>
      <x:c r="W66" s="120" t="n">
        <x:f>'01 Base Costs'!$B$17</x:f>
        <x:v>140</x:v>
      </x:c>
      <x:c r="X66" s="120" t="n">
        <x:f>0</x:f>
        <x:v>0</x:v>
      </x:c>
      <x:c r="Y66" s="87" t="n">
        <x:f>T66*(W66*'01 Base Costs'!$B$7+X66)</x:f>
        <x:v>7989217600.000001</x:v>
      </x:c>
      <x:c r="Z66" s="87" t="n">
        <x:f>T66*'01 Base Costs'!$B$8</x:f>
        <x:v>8932405600</x:v>
      </x:c>
      <x:c r="AA66" s="87" t="n">
        <x:f>Z66*'01 Base Costs'!$B$11</x:f>
        <x:v>446620280</x:v>
      </x:c>
      <x:c r="AB66" s="87" t="n">
        <x:f>Z66-AA66</x:f>
        <x:v>8485785320</x:v>
      </x:c>
      <x:c r="AC66" s="87" t="n">
        <x:f>O66+Y66</x:f>
        <x:v>14126777600</x:v>
      </x:c>
      <x:c r="AD66" s="87" t="n">
        <x:f>AB66-AC66</x:f>
        <x:v>-5640992280</x:v>
      </x:c>
      <x:c r="AE66" s="87" t="n">
        <x:f>AD66/D66</x:f>
        <x:v>-5640992280</x:v>
      </x:c>
      <x:c r="AF66" s="87" t="n">
        <x:f>AD66/P66</x:f>
        <x:v>-1880330760</x:v>
      </x:c>
      <x:c r="AG66" s="87" t="n">
        <x:f>IF(T66=0,0,AC66/T66/(1-'01 Base Costs'!$B$11))</x:f>
        <x:v>1253396174.1846185</x:v>
      </x:c>
      <x:c r="AH66" s="88" t="str">
        <x:f>IF(AD66&gt;0,"PROFIT","LOSS")</x:f>
        <x:v>LOSS</x:v>
      </x:c>
      <x:c r="AI66" s="89" t="str">
        <x:v>Base 1M Omega; includes 100k SP bonus. MCT sale 20% off. Base single extractor.</x:v>
      </x:c>
    </x:row>
    <x:row r="67">
      <x:c r="A67" s="86" t="n">
        <x:v>65</x:v>
      </x:c>
      <x:c r="B67" s="88" t="str">
        <x:v>Base</x:v>
      </x:c>
      <x:c r="C67" s="88" t="str">
        <x:v>1M Omega + Bonus Items</x:v>
      </x:c>
      <x:c r="D67" s="88" t="n">
        <x:v>1</x:v>
      </x:c>
      <x:c r="E67" s="88" t="n">
        <x:v>3</x:v>
      </x:c>
      <x:c r="F67" s="88" t="str">
        <x:v>NES MCT 20% sale</x:v>
      </x:c>
      <x:c r="G67" s="88" t="str">
        <x:v>NES 5-pack extractor</x:v>
      </x:c>
      <x:c r="H67" s="87" t="n">
        <x:f>'01 Base Costs'!$B$21</x:f>
        <x:v>500</x:v>
      </x:c>
      <x:c r="I67" s="87" t="n">
        <x:f>'01 Base Costs'!$B$16*0.8</x:f>
        <x:v>388</x:v>
      </x:c>
      <x:c r="J67" s="87" t="n">
        <x:f>0</x:f>
        <x:v>0</x:v>
      </x:c>
      <x:c r="K67" s="87" t="n">
        <x:f>D67*(E67-1)*I67</x:f>
        <x:v>776</x:v>
      </x:c>
      <x:c r="L67" s="87" t="n">
        <x:f>D67*(E67-1)*J67</x:f>
        <x:v>0</x:v>
      </x:c>
      <x:c r="M67" s="87" t="n">
        <x:f>0</x:f>
        <x:v>0</x:v>
      </x:c>
      <x:c r="N67" s="87" t="n">
        <x:f>H67+K67+M67</x:f>
        <x:v>1276</x:v>
      </x:c>
      <x:c r="O67" s="87" t="n">
        <x:f>N67*'01 Base Costs'!$B$7+L67</x:f>
        <x:v>6137560000</x:v>
      </x:c>
      <x:c r="P67" s="87" t="n">
        <x:f>D67*E67</x:f>
        <x:v>3</x:v>
      </x:c>
      <x:c r="Q67" s="87" t="n">
        <x:f>P67*'01 Base Costs'!$B$12</x:f>
        <x:v>5832000</x:v>
      </x:c>
      <x:c r="R67" s="87" t="n">
        <x:f>'01 Base Costs'!$B$13</x:f>
        <x:v>100000</x:v>
      </x:c>
      <x:c r="S67" s="87" t="n">
        <x:f>Q67+R67</x:f>
        <x:v>5932000</x:v>
      </x:c>
      <x:c r="T67" s="141" t="n">
        <x:f>S67/'01 Base Costs'!$B$14</x:f>
        <x:v>11.864</x:v>
      </x:c>
      <x:c r="U67" s="87" t="n">
        <x:f>INT(T67)</x:f>
        <x:v>11</x:v>
      </x:c>
      <x:c r="V67" s="87" t="n">
        <x:f>S67-U67*'01 Base Costs'!$B$14</x:f>
        <x:v>432000</x:v>
      </x:c>
      <x:c r="W67" s="120" t="n">
        <x:f>'01 Base Costs'!$B$18/5</x:f>
        <x:v>126</x:v>
      </x:c>
      <x:c r="X67" s="120" t="n">
        <x:f>0</x:f>
        <x:v>0</x:v>
      </x:c>
      <x:c r="Y67" s="87" t="n">
        <x:f>T67*(W67*'01 Base Costs'!$B$7+X67)</x:f>
        <x:v>7190295840</x:v>
      </x:c>
      <x:c r="Z67" s="87" t="n">
        <x:f>T67*'01 Base Costs'!$B$8</x:f>
        <x:v>8932405600</x:v>
      </x:c>
      <x:c r="AA67" s="87" t="n">
        <x:f>Z67*'01 Base Costs'!$B$11</x:f>
        <x:v>446620280</x:v>
      </x:c>
      <x:c r="AB67" s="87" t="n">
        <x:f>Z67-AA67</x:f>
        <x:v>8485785320</x:v>
      </x:c>
      <x:c r="AC67" s="87" t="n">
        <x:f>O67+Y67</x:f>
        <x:v>13327855840</x:v>
      </x:c>
      <x:c r="AD67" s="87" t="n">
        <x:f>AB67-AC67</x:f>
        <x:v>-4842070520</x:v>
      </x:c>
      <x:c r="AE67" s="87" t="n">
        <x:f>AD67/D67</x:f>
        <x:v>-4842070520</x:v>
      </x:c>
      <x:c r="AF67" s="87" t="n">
        <x:f>AD67/P67</x:f>
        <x:v>-1614023506.6666667</x:v>
      </x:c>
      <x:c r="AG67" s="87" t="n">
        <x:f>IF(T67=0,0,AC67/T67/(1-'01 Base Costs'!$B$11))</x:f>
        <x:v>1182511963.6583028</x:v>
      </x:c>
      <x:c r="AH67" s="88" t="str">
        <x:f>IF(AD67&gt;0,"PROFIT","LOSS")</x:f>
        <x:v>LOSS</x:v>
      </x:c>
      <x:c r="AI67" s="89" t="str">
        <x:v>Base 1M Omega; includes 100k SP bonus. MCT sale 20% off. Base 5-pack average.</x:v>
      </x:c>
    </x:row>
    <x:row r="68">
      <x:c r="A68" s="86" t="n">
        <x:v>66</x:v>
      </x:c>
      <x:c r="B68" s="88" t="str">
        <x:v>Base</x:v>
      </x:c>
      <x:c r="C68" s="88" t="str">
        <x:v>1M Omega + Bonus Items</x:v>
      </x:c>
      <x:c r="D68" s="88" t="n">
        <x:v>1</x:v>
      </x:c>
      <x:c r="E68" s="88" t="n">
        <x:v>3</x:v>
      </x:c>
      <x:c r="F68" s="88" t="str">
        <x:v>NES MCT 20% sale</x:v>
      </x:c>
      <x:c r="G68" s="88" t="str">
        <x:v>NES 10-pack extractor</x:v>
      </x:c>
      <x:c r="H68" s="87" t="n">
        <x:f>'01 Base Costs'!$B$21</x:f>
        <x:v>500</x:v>
      </x:c>
      <x:c r="I68" s="87" t="n">
        <x:f>'01 Base Costs'!$B$16*0.8</x:f>
        <x:v>388</x:v>
      </x:c>
      <x:c r="J68" s="87" t="n">
        <x:f>0</x:f>
        <x:v>0</x:v>
      </x:c>
      <x:c r="K68" s="87" t="n">
        <x:f>D68*(E68-1)*I68</x:f>
        <x:v>776</x:v>
      </x:c>
      <x:c r="L68" s="87" t="n">
        <x:f>D68*(E68-1)*J68</x:f>
        <x:v>0</x:v>
      </x:c>
      <x:c r="M68" s="87" t="n">
        <x:f>0</x:f>
        <x:v>0</x:v>
      </x:c>
      <x:c r="N68" s="87" t="n">
        <x:f>H68+K68+M68</x:f>
        <x:v>1276</x:v>
      </x:c>
      <x:c r="O68" s="87" t="n">
        <x:f>N68*'01 Base Costs'!$B$7+L68</x:f>
        <x:v>6137560000</x:v>
      </x:c>
      <x:c r="P68" s="87" t="n">
        <x:f>D68*E68</x:f>
        <x:v>3</x:v>
      </x:c>
      <x:c r="Q68" s="87" t="n">
        <x:f>P68*'01 Base Costs'!$B$12</x:f>
        <x:v>5832000</x:v>
      </x:c>
      <x:c r="R68" s="87" t="n">
        <x:f>'01 Base Costs'!$B$13</x:f>
        <x:v>100000</x:v>
      </x:c>
      <x:c r="S68" s="87" t="n">
        <x:f>Q68+R68</x:f>
        <x:v>5932000</x:v>
      </x:c>
      <x:c r="T68" s="141" t="n">
        <x:f>S68/'01 Base Costs'!$B$14</x:f>
        <x:v>11.864</x:v>
      </x:c>
      <x:c r="U68" s="87" t="n">
        <x:f>INT(T68)</x:f>
        <x:v>11</x:v>
      </x:c>
      <x:c r="V68" s="87" t="n">
        <x:f>S68-U68*'01 Base Costs'!$B$14</x:f>
        <x:v>432000</x:v>
      </x:c>
      <x:c r="W68" s="120" t="n">
        <x:f>'01 Base Costs'!$B$19/10</x:f>
        <x:v>119</x:v>
      </x:c>
      <x:c r="X68" s="120" t="n">
        <x:f>0</x:f>
        <x:v>0</x:v>
      </x:c>
      <x:c r="Y68" s="87" t="n">
        <x:f>T68*(W68*'01 Base Costs'!$B$7+X68)</x:f>
        <x:v>6790834960</x:v>
      </x:c>
      <x:c r="Z68" s="87" t="n">
        <x:f>T68*'01 Base Costs'!$B$8</x:f>
        <x:v>8932405600</x:v>
      </x:c>
      <x:c r="AA68" s="87" t="n">
        <x:f>Z68*'01 Base Costs'!$B$11</x:f>
        <x:v>446620280</x:v>
      </x:c>
      <x:c r="AB68" s="87" t="n">
        <x:f>Z68-AA68</x:f>
        <x:v>8485785320</x:v>
      </x:c>
      <x:c r="AC68" s="87" t="n">
        <x:f>O68+Y68</x:f>
        <x:v>12928394960</x:v>
      </x:c>
      <x:c r="AD68" s="87" t="n">
        <x:f>AB68-AC68</x:f>
        <x:v>-4442609640</x:v>
      </x:c>
      <x:c r="AE68" s="87" t="n">
        <x:f>AD68/D68</x:f>
        <x:v>-4442609640</x:v>
      </x:c>
      <x:c r="AF68" s="87" t="n">
        <x:f>AD68/P68</x:f>
        <x:v>-1480869880</x:v>
      </x:c>
      <x:c r="AG68" s="87" t="n">
        <x:f>IF(T68=0,0,AC68/T68/(1-'01 Base Costs'!$B$11))</x:f>
        <x:v>1147069858.395145</x:v>
      </x:c>
      <x:c r="AH68" s="88" t="str">
        <x:f>IF(AD68&gt;0,"PROFIT","LOSS")</x:f>
        <x:v>LOSS</x:v>
      </x:c>
      <x:c r="AI68" s="89" t="str">
        <x:v>Base 1M Omega; includes 100k SP bonus. MCT sale 20% off. Base 10-pack average.</x:v>
      </x:c>
    </x:row>
    <x:row r="69">
      <x:c r="A69" s="86" t="n">
        <x:v>67</x:v>
      </x:c>
      <x:c r="B69" s="88" t="str">
        <x:v>Base</x:v>
      </x:c>
      <x:c r="C69" s="88" t="str">
        <x:v>1M Omega + Bonus Items</x:v>
      </x:c>
      <x:c r="D69" s="88" t="n">
        <x:v>1</x:v>
      </x:c>
      <x:c r="E69" s="88" t="n">
        <x:v>3</x:v>
      </x:c>
      <x:c r="F69" s="88" t="str">
        <x:v>NES MCT 20% sale</x:v>
      </x:c>
      <x:c r="G69" s="88" t="str">
        <x:v>NES 50-pack extractor</x:v>
      </x:c>
      <x:c r="H69" s="87" t="n">
        <x:f>'01 Base Costs'!$B$21</x:f>
        <x:v>500</x:v>
      </x:c>
      <x:c r="I69" s="87" t="n">
        <x:f>'01 Base Costs'!$B$16*0.8</x:f>
        <x:v>388</x:v>
      </x:c>
      <x:c r="J69" s="87" t="n">
        <x:f>0</x:f>
        <x:v>0</x:v>
      </x:c>
      <x:c r="K69" s="87" t="n">
        <x:f>D69*(E69-1)*I69</x:f>
        <x:v>776</x:v>
      </x:c>
      <x:c r="L69" s="87" t="n">
        <x:f>D69*(E69-1)*J69</x:f>
        <x:v>0</x:v>
      </x:c>
      <x:c r="M69" s="87" t="n">
        <x:f>0</x:f>
        <x:v>0</x:v>
      </x:c>
      <x:c r="N69" s="87" t="n">
        <x:f>H69+K69+M69</x:f>
        <x:v>1276</x:v>
      </x:c>
      <x:c r="O69" s="87" t="n">
        <x:f>N69*'01 Base Costs'!$B$7+L69</x:f>
        <x:v>6137560000</x:v>
      </x:c>
      <x:c r="P69" s="87" t="n">
        <x:f>D69*E69</x:f>
        <x:v>3</x:v>
      </x:c>
      <x:c r="Q69" s="87" t="n">
        <x:f>P69*'01 Base Costs'!$B$12</x:f>
        <x:v>5832000</x:v>
      </x:c>
      <x:c r="R69" s="87" t="n">
        <x:f>'01 Base Costs'!$B$13</x:f>
        <x:v>100000</x:v>
      </x:c>
      <x:c r="S69" s="87" t="n">
        <x:f>Q69+R69</x:f>
        <x:v>5932000</x:v>
      </x:c>
      <x:c r="T69" s="141" t="n">
        <x:f>S69/'01 Base Costs'!$B$14</x:f>
        <x:v>11.864</x:v>
      </x:c>
      <x:c r="U69" s="87" t="n">
        <x:f>INT(T69)</x:f>
        <x:v>11</x:v>
      </x:c>
      <x:c r="V69" s="87" t="n">
        <x:f>S69-U69*'01 Base Costs'!$B$14</x:f>
        <x:v>432000</x:v>
      </x:c>
      <x:c r="W69" s="120" t="n">
        <x:f>'01 Base Costs'!$B$20/50</x:f>
        <x:v>112</x:v>
      </x:c>
      <x:c r="X69" s="120" t="n">
        <x:f>0</x:f>
        <x:v>0</x:v>
      </x:c>
      <x:c r="Y69" s="87" t="n">
        <x:f>T69*(W69*'01 Base Costs'!$B$7+X69)</x:f>
        <x:v>6391374080</x:v>
      </x:c>
      <x:c r="Z69" s="87" t="n">
        <x:f>T69*'01 Base Costs'!$B$8</x:f>
        <x:v>8932405600</x:v>
      </x:c>
      <x:c r="AA69" s="87" t="n">
        <x:f>Z69*'01 Base Costs'!$B$11</x:f>
        <x:v>446620280</x:v>
      </x:c>
      <x:c r="AB69" s="87" t="n">
        <x:f>Z69-AA69</x:f>
        <x:v>8485785320</x:v>
      </x:c>
      <x:c r="AC69" s="87" t="n">
        <x:f>O69+Y69</x:f>
        <x:v>12528934080</x:v>
      </x:c>
      <x:c r="AD69" s="87" t="n">
        <x:f>AB69-AC69</x:f>
        <x:v>-4043148760</x:v>
      </x:c>
      <x:c r="AE69" s="87" t="n">
        <x:f>AD69/D69</x:f>
        <x:v>-4043148760</x:v>
      </x:c>
      <x:c r="AF69" s="87" t="n">
        <x:f>AD69/P69</x:f>
        <x:v>-1347716253.3333333</x:v>
      </x:c>
      <x:c r="AG69" s="87" t="n">
        <x:f>IF(T69=0,0,AC69/T69/(1-'01 Base Costs'!$B$11))</x:f>
        <x:v>1111627753.131987</x:v>
      </x:c>
      <x:c r="AH69" s="88" t="str">
        <x:f>IF(AD69&gt;0,"PROFIT","LOSS")</x:f>
        <x:v>LOSS</x:v>
      </x:c>
      <x:c r="AI69" s="89" t="str">
        <x:v>Base 1M Omega; includes 100k SP bonus. MCT sale 20% off. Base 50-pack average.</x:v>
      </x:c>
    </x:row>
    <x:row r="70">
      <x:c r="A70" s="86" t="n">
        <x:v>68</x:v>
      </x:c>
      <x:c r="B70" s="88" t="str">
        <x:v>Base</x:v>
      </x:c>
      <x:c r="C70" s="88" t="str">
        <x:v>1M Omega + Bonus Items</x:v>
      </x:c>
      <x:c r="D70" s="88" t="n">
        <x:v>1</x:v>
      </x:c>
      <x:c r="E70" s="88" t="n">
        <x:v>3</x:v>
      </x:c>
      <x:c r="F70" s="88" t="str">
        <x:v>NES MCT 20% sale</x:v>
      </x:c>
      <x:c r="G70" s="88" t="str">
        <x:v>NES 3-for-2 extractor sale</x:v>
      </x:c>
      <x:c r="H70" s="87" t="n">
        <x:f>'01 Base Costs'!$B$21</x:f>
        <x:v>500</x:v>
      </x:c>
      <x:c r="I70" s="87" t="n">
        <x:f>'01 Base Costs'!$B$16*0.8</x:f>
        <x:v>388</x:v>
      </x:c>
      <x:c r="J70" s="87" t="n">
        <x:f>0</x:f>
        <x:v>0</x:v>
      </x:c>
      <x:c r="K70" s="87" t="n">
        <x:f>D70*(E70-1)*I70</x:f>
        <x:v>776</x:v>
      </x:c>
      <x:c r="L70" s="87" t="n">
        <x:f>D70*(E70-1)*J70</x:f>
        <x:v>0</x:v>
      </x:c>
      <x:c r="M70" s="87" t="n">
        <x:f>0</x:f>
        <x:v>0</x:v>
      </x:c>
      <x:c r="N70" s="87" t="n">
        <x:f>H70+K70+M70</x:f>
        <x:v>1276</x:v>
      </x:c>
      <x:c r="O70" s="87" t="n">
        <x:f>N70*'01 Base Costs'!$B$7+L70</x:f>
        <x:v>6137560000</x:v>
      </x:c>
      <x:c r="P70" s="87" t="n">
        <x:f>D70*E70</x:f>
        <x:v>3</x:v>
      </x:c>
      <x:c r="Q70" s="87" t="n">
        <x:f>P70*'01 Base Costs'!$B$12</x:f>
        <x:v>5832000</x:v>
      </x:c>
      <x:c r="R70" s="87" t="n">
        <x:f>'01 Base Costs'!$B$13</x:f>
        <x:v>100000</x:v>
      </x:c>
      <x:c r="S70" s="87" t="n">
        <x:f>Q70+R70</x:f>
        <x:v>5932000</x:v>
      </x:c>
      <x:c r="T70" s="141" t="n">
        <x:f>S70/'01 Base Costs'!$B$14</x:f>
        <x:v>11.864</x:v>
      </x:c>
      <x:c r="U70" s="87" t="n">
        <x:f>INT(T70)</x:f>
        <x:v>11</x:v>
      </x:c>
      <x:c r="V70" s="87" t="n">
        <x:f>S70-U70*'01 Base Costs'!$B$14</x:f>
        <x:v>432000</x:v>
      </x:c>
      <x:c r="W70" s="120" t="n">
        <x:f>'01 Base Costs'!$B$17*2/3</x:f>
        <x:v>93.33333333333333</x:v>
      </x:c>
      <x:c r="X70" s="120" t="n">
        <x:f>0</x:f>
        <x:v>0</x:v>
      </x:c>
      <x:c r="Y70" s="87" t="n">
        <x:f>T70*(W70*'01 Base Costs'!$B$7+X70)</x:f>
        <x:v>5326145066.666667</x:v>
      </x:c>
      <x:c r="Z70" s="87" t="n">
        <x:f>T70*'01 Base Costs'!$B$8</x:f>
        <x:v>8932405600</x:v>
      </x:c>
      <x:c r="AA70" s="87" t="n">
        <x:f>Z70*'01 Base Costs'!$B$11</x:f>
        <x:v>446620280</x:v>
      </x:c>
      <x:c r="AB70" s="87" t="n">
        <x:f>Z70-AA70</x:f>
        <x:v>8485785320</x:v>
      </x:c>
      <x:c r="AC70" s="87" t="n">
        <x:f>O70+Y70</x:f>
        <x:v>11463705066.666668</x:v>
      </x:c>
      <x:c r="AD70" s="87" t="n">
        <x:f>AB70-AC70</x:f>
        <x:v>-2977919746.666668</x:v>
      </x:c>
      <x:c r="AE70" s="87" t="n">
        <x:f>AD70/D70</x:f>
        <x:v>-2977919746.666668</x:v>
      </x:c>
      <x:c r="AF70" s="87" t="n">
        <x:f>AD70/P70</x:f>
        <x:v>-992639915.5555559</x:v>
      </x:c>
      <x:c r="AG70" s="87" t="n">
        <x:f>IF(T70=0,0,AC70/T70/(1-'01 Base Costs'!$B$11))</x:f>
        <x:v>1017115472.4302328</x:v>
      </x:c>
      <x:c r="AH70" s="88" t="str">
        <x:f>IF(AD70&gt;0,"PROFIT","LOSS")</x:f>
        <x:v>LOSS</x:v>
      </x:c>
      <x:c r="AI70" s="89" t="str">
        <x:v>Base 1M Omega; includes 100k SP bonus. MCT sale 20% off. Extractor 3-for-2 sale.</x:v>
      </x:c>
    </x:row>
    <x:row r="71">
      <x:c r="A71" s="86" t="n">
        <x:v>69</x:v>
      </x:c>
      <x:c r="B71" s="88" t="str">
        <x:v>Base</x:v>
      </x:c>
      <x:c r="C71" s="88" t="str">
        <x:v>1M Omega + Bonus Items</x:v>
      </x:c>
      <x:c r="D71" s="88" t="n">
        <x:v>1</x:v>
      </x:c>
      <x:c r="E71" s="88" t="n">
        <x:v>3</x:v>
      </x:c>
      <x:c r="F71" s="88" t="str">
        <x:v>NES MCT 20% sale</x:v>
      </x:c>
      <x:c r="G71" s="88" t="str">
        <x:v>NES 2-for-1 extractor sale</x:v>
      </x:c>
      <x:c r="H71" s="87" t="n">
        <x:f>'01 Base Costs'!$B$21</x:f>
        <x:v>500</x:v>
      </x:c>
      <x:c r="I71" s="87" t="n">
        <x:f>'01 Base Costs'!$B$16*0.8</x:f>
        <x:v>388</x:v>
      </x:c>
      <x:c r="J71" s="87" t="n">
        <x:f>0</x:f>
        <x:v>0</x:v>
      </x:c>
      <x:c r="K71" s="87" t="n">
        <x:f>D71*(E71-1)*I71</x:f>
        <x:v>776</x:v>
      </x:c>
      <x:c r="L71" s="87" t="n">
        <x:f>D71*(E71-1)*J71</x:f>
        <x:v>0</x:v>
      </x:c>
      <x:c r="M71" s="87" t="n">
        <x:f>0</x:f>
        <x:v>0</x:v>
      </x:c>
      <x:c r="N71" s="87" t="n">
        <x:f>H71+K71+M71</x:f>
        <x:v>1276</x:v>
      </x:c>
      <x:c r="O71" s="87" t="n">
        <x:f>N71*'01 Base Costs'!$B$7+L71</x:f>
        <x:v>6137560000</x:v>
      </x:c>
      <x:c r="P71" s="87" t="n">
        <x:f>D71*E71</x:f>
        <x:v>3</x:v>
      </x:c>
      <x:c r="Q71" s="87" t="n">
        <x:f>P71*'01 Base Costs'!$B$12</x:f>
        <x:v>5832000</x:v>
      </x:c>
      <x:c r="R71" s="87" t="n">
        <x:f>'01 Base Costs'!$B$13</x:f>
        <x:v>100000</x:v>
      </x:c>
      <x:c r="S71" s="87" t="n">
        <x:f>Q71+R71</x:f>
        <x:v>5932000</x:v>
      </x:c>
      <x:c r="T71" s="141" t="n">
        <x:f>S71/'01 Base Costs'!$B$14</x:f>
        <x:v>11.864</x:v>
      </x:c>
      <x:c r="U71" s="87" t="n">
        <x:f>INT(T71)</x:f>
        <x:v>11</x:v>
      </x:c>
      <x:c r="V71" s="87" t="n">
        <x:f>S71-U71*'01 Base Costs'!$B$14</x:f>
        <x:v>432000</x:v>
      </x:c>
      <x:c r="W71" s="120" t="n">
        <x:f>'01 Base Costs'!$B$17/2</x:f>
        <x:v>70</x:v>
      </x:c>
      <x:c r="X71" s="120" t="n">
        <x:f>0</x:f>
        <x:v>0</x:v>
      </x:c>
      <x:c r="Y71" s="87" t="n">
        <x:f>T71*(W71*'01 Base Costs'!$B$7+X71)</x:f>
        <x:v>3994608800.0000005</x:v>
      </x:c>
      <x:c r="Z71" s="87" t="n">
        <x:f>T71*'01 Base Costs'!$B$8</x:f>
        <x:v>8932405600</x:v>
      </x:c>
      <x:c r="AA71" s="87" t="n">
        <x:f>Z71*'01 Base Costs'!$B$11</x:f>
        <x:v>446620280</x:v>
      </x:c>
      <x:c r="AB71" s="87" t="n">
        <x:f>Z71-AA71</x:f>
        <x:v>8485785320</x:v>
      </x:c>
      <x:c r="AC71" s="87" t="n">
        <x:f>O71+Y71</x:f>
        <x:v>10132168800</x:v>
      </x:c>
      <x:c r="AD71" s="87" t="n">
        <x:f>AB71-AC71</x:f>
        <x:v>-1646383480</x:v>
      </x:c>
      <x:c r="AE71" s="87" t="n">
        <x:f>AD71/D71</x:f>
        <x:v>-1646383480</x:v>
      </x:c>
      <x:c r="AF71" s="87" t="n">
        <x:f>AD71/P71</x:f>
        <x:v>-548794493.3333334</x:v>
      </x:c>
      <x:c r="AG71" s="87" t="n">
        <x:f>IF(T71=0,0,AC71/T71/(1-'01 Base Costs'!$B$11))</x:f>
        <x:v>898975121.5530397</x:v>
      </x:c>
      <x:c r="AH71" s="88" t="str">
        <x:f>IF(AD71&gt;0,"PROFIT","LOSS")</x:f>
        <x:v>LOSS</x:v>
      </x:c>
      <x:c r="AI71" s="89" t="str">
        <x:v>Base 1M Omega; includes 100k SP bonus. MCT sale 20% off. Extractor 2-for-1 sale.</x:v>
      </x:c>
    </x:row>
    <x:row r="72">
      <x:c r="A72" s="86" t="n">
        <x:v>70</x:v>
      </x:c>
      <x:c r="B72" s="88" t="str">
        <x:v>Base</x:v>
      </x:c>
      <x:c r="C72" s="88" t="str">
        <x:v>1M Omega + Bonus Items</x:v>
      </x:c>
      <x:c r="D72" s="88" t="n">
        <x:v>1</x:v>
      </x:c>
      <x:c r="E72" s="88" t="n">
        <x:v>3</x:v>
      </x:c>
      <x:c r="F72" s="88" t="str">
        <x:v>NES MCT 20% sale</x:v>
      </x:c>
      <x:c r="G72" s="88" t="str">
        <x:v>NES 10-pack extractor 20% sale</x:v>
      </x:c>
      <x:c r="H72" s="87" t="n">
        <x:f>'01 Base Costs'!$B$21</x:f>
        <x:v>500</x:v>
      </x:c>
      <x:c r="I72" s="87" t="n">
        <x:f>'01 Base Costs'!$B$16*0.8</x:f>
        <x:v>388</x:v>
      </x:c>
      <x:c r="J72" s="87" t="n">
        <x:f>0</x:f>
        <x:v>0</x:v>
      </x:c>
      <x:c r="K72" s="87" t="n">
        <x:f>D72*(E72-1)*I72</x:f>
        <x:v>776</x:v>
      </x:c>
      <x:c r="L72" s="87" t="n">
        <x:f>D72*(E72-1)*J72</x:f>
        <x:v>0</x:v>
      </x:c>
      <x:c r="M72" s="87" t="n">
        <x:f>0</x:f>
        <x:v>0</x:v>
      </x:c>
      <x:c r="N72" s="87" t="n">
        <x:f>H72+K72+M72</x:f>
        <x:v>1276</x:v>
      </x:c>
      <x:c r="O72" s="87" t="n">
        <x:f>N72*'01 Base Costs'!$B$7+L72</x:f>
        <x:v>6137560000</x:v>
      </x:c>
      <x:c r="P72" s="87" t="n">
        <x:f>D72*E72</x:f>
        <x:v>3</x:v>
      </x:c>
      <x:c r="Q72" s="87" t="n">
        <x:f>P72*'01 Base Costs'!$B$12</x:f>
        <x:v>5832000</x:v>
      </x:c>
      <x:c r="R72" s="87" t="n">
        <x:f>'01 Base Costs'!$B$13</x:f>
        <x:v>100000</x:v>
      </x:c>
      <x:c r="S72" s="87" t="n">
        <x:f>Q72+R72</x:f>
        <x:v>5932000</x:v>
      </x:c>
      <x:c r="T72" s="141" t="n">
        <x:f>S72/'01 Base Costs'!$B$14</x:f>
        <x:v>11.864</x:v>
      </x:c>
      <x:c r="U72" s="87" t="n">
        <x:f>INT(T72)</x:f>
        <x:v>11</x:v>
      </x:c>
      <x:c r="V72" s="87" t="n">
        <x:f>S72-U72*'01 Base Costs'!$B$14</x:f>
        <x:v>432000</x:v>
      </x:c>
      <x:c r="W72" s="120" t="n">
        <x:f>'01 Base Costs'!$B$19*0.8/10</x:f>
        <x:v>95.2</x:v>
      </x:c>
      <x:c r="X72" s="120" t="n">
        <x:f>0</x:f>
        <x:v>0</x:v>
      </x:c>
      <x:c r="Y72" s="87" t="n">
        <x:f>T72*(W72*'01 Base Costs'!$B$7+X72)</x:f>
        <x:v>5432667968</x:v>
      </x:c>
      <x:c r="Z72" s="87" t="n">
        <x:f>T72*'01 Base Costs'!$B$8</x:f>
        <x:v>8932405600</x:v>
      </x:c>
      <x:c r="AA72" s="87" t="n">
        <x:f>Z72*'01 Base Costs'!$B$11</x:f>
        <x:v>446620280</x:v>
      </x:c>
      <x:c r="AB72" s="87" t="n">
        <x:f>Z72-AA72</x:f>
        <x:v>8485785320</x:v>
      </x:c>
      <x:c r="AC72" s="87" t="n">
        <x:f>O72+Y72</x:f>
        <x:v>11570227968</x:v>
      </x:c>
      <x:c r="AD72" s="87" t="n">
        <x:f>AB72-AC72</x:f>
        <x:v>-3084442648</x:v>
      </x:c>
      <x:c r="AE72" s="87" t="n">
        <x:f>AD72/D72</x:f>
        <x:v>-3084442648</x:v>
      </x:c>
      <x:c r="AF72" s="87" t="n">
        <x:f>AD72/P72</x:f>
        <x:v>-1028147549.3333334</x:v>
      </x:c>
      <x:c r="AG72" s="87" t="n">
        <x:f>IF(T72=0,0,AC72/T72/(1-'01 Base Costs'!$B$11))</x:f>
        <x:v>1026566700.5004082</x:v>
      </x:c>
      <x:c r="AH72" s="88" t="str">
        <x:f>IF(AD72&gt;0,"PROFIT","LOSS")</x:f>
        <x:v>LOSS</x:v>
      </x:c>
      <x:c r="AI72" s="89" t="str">
        <x:v>Base 1M Omega; includes 100k SP bonus. MCT sale 20% off. 10-pack at 20% off.</x:v>
      </x:c>
    </x:row>
    <x:row r="73">
      <x:c r="A73" s="86" t="n">
        <x:v>71</x:v>
      </x:c>
      <x:c r="B73" s="88" t="str">
        <x:v>Base</x:v>
      </x:c>
      <x:c r="C73" s="88" t="str">
        <x:v>1M Omega + Bonus Items</x:v>
      </x:c>
      <x:c r="D73" s="88" t="n">
        <x:v>1</x:v>
      </x:c>
      <x:c r="E73" s="88" t="n">
        <x:v>3</x:v>
      </x:c>
      <x:c r="F73" s="88" t="str">
        <x:v>NES MCT 20% sale</x:v>
      </x:c>
      <x:c r="G73" s="88" t="str">
        <x:v>NES 50-pack extractor 20% sale</x:v>
      </x:c>
      <x:c r="H73" s="87" t="n">
        <x:f>'01 Base Costs'!$B$21</x:f>
        <x:v>500</x:v>
      </x:c>
      <x:c r="I73" s="87" t="n">
        <x:f>'01 Base Costs'!$B$16*0.8</x:f>
        <x:v>388</x:v>
      </x:c>
      <x:c r="J73" s="87" t="n">
        <x:f>0</x:f>
        <x:v>0</x:v>
      </x:c>
      <x:c r="K73" s="87" t="n">
        <x:f>D73*(E73-1)*I73</x:f>
        <x:v>776</x:v>
      </x:c>
      <x:c r="L73" s="87" t="n">
        <x:f>D73*(E73-1)*J73</x:f>
        <x:v>0</x:v>
      </x:c>
      <x:c r="M73" s="87" t="n">
        <x:f>0</x:f>
        <x:v>0</x:v>
      </x:c>
      <x:c r="N73" s="87" t="n">
        <x:f>H73+K73+M73</x:f>
        <x:v>1276</x:v>
      </x:c>
      <x:c r="O73" s="87" t="n">
        <x:f>N73*'01 Base Costs'!$B$7+L73</x:f>
        <x:v>6137560000</x:v>
      </x:c>
      <x:c r="P73" s="87" t="n">
        <x:f>D73*E73</x:f>
        <x:v>3</x:v>
      </x:c>
      <x:c r="Q73" s="87" t="n">
        <x:f>P73*'01 Base Costs'!$B$12</x:f>
        <x:v>5832000</x:v>
      </x:c>
      <x:c r="R73" s="87" t="n">
        <x:f>'01 Base Costs'!$B$13</x:f>
        <x:v>100000</x:v>
      </x:c>
      <x:c r="S73" s="87" t="n">
        <x:f>Q73+R73</x:f>
        <x:v>5932000</x:v>
      </x:c>
      <x:c r="T73" s="141" t="n">
        <x:f>S73/'01 Base Costs'!$B$14</x:f>
        <x:v>11.864</x:v>
      </x:c>
      <x:c r="U73" s="87" t="n">
        <x:f>INT(T73)</x:f>
        <x:v>11</x:v>
      </x:c>
      <x:c r="V73" s="87" t="n">
        <x:f>S73-U73*'01 Base Costs'!$B$14</x:f>
        <x:v>432000</x:v>
      </x:c>
      <x:c r="W73" s="120" t="n">
        <x:f>'01 Base Costs'!$B$20*0.8/50</x:f>
        <x:v>89.6</x:v>
      </x:c>
      <x:c r="X73" s="120" t="n">
        <x:f>0</x:f>
        <x:v>0</x:v>
      </x:c>
      <x:c r="Y73" s="87" t="n">
        <x:f>T73*(W73*'01 Base Costs'!$B$7+X73)</x:f>
        <x:v>5113099264</x:v>
      </x:c>
      <x:c r="Z73" s="87" t="n">
        <x:f>T73*'01 Base Costs'!$B$8</x:f>
        <x:v>8932405600</x:v>
      </x:c>
      <x:c r="AA73" s="87" t="n">
        <x:f>Z73*'01 Base Costs'!$B$11</x:f>
        <x:v>446620280</x:v>
      </x:c>
      <x:c r="AB73" s="87" t="n">
        <x:f>Z73-AA73</x:f>
        <x:v>8485785320</x:v>
      </x:c>
      <x:c r="AC73" s="87" t="n">
        <x:f>O73+Y73</x:f>
        <x:v>11250659264</x:v>
      </x:c>
      <x:c r="AD73" s="87" t="n">
        <x:f>AB73-AC73</x:f>
        <x:v>-2764873944</x:v>
      </x:c>
      <x:c r="AE73" s="87" t="n">
        <x:f>AD73/D73</x:f>
        <x:v>-2764873944</x:v>
      </x:c>
      <x:c r="AF73" s="87" t="n">
        <x:f>AD73/P73</x:f>
        <x:v>-921624648</x:v>
      </x:c>
      <x:c r="AG73" s="87" t="n">
        <x:f>IF(T73=0,0,AC73/T73/(1-'01 Base Costs'!$B$11))</x:f>
        <x:v>998213016.2898818</x:v>
      </x:c>
      <x:c r="AH73" s="88" t="str">
        <x:f>IF(AD73&gt;0,"PROFIT","LOSS")</x:f>
        <x:v>LOSS</x:v>
      </x:c>
      <x:c r="AI73" s="89" t="str">
        <x:v>Base 1M Omega; includes 100k SP bonus. MCT sale 20% off. 50-pack at 20% off.</x:v>
      </x:c>
    </x:row>
    <x:row r="74">
      <x:c r="A74" s="86" t="n">
        <x:v>72</x:v>
      </x:c>
      <x:c r="B74" s="88" t="str">
        <x:v>Base</x:v>
      </x:c>
      <x:c r="C74" s="88" t="str">
        <x:v>1M Omega + Bonus Items</x:v>
      </x:c>
      <x:c r="D74" s="88" t="n">
        <x:v>1</x:v>
      </x:c>
      <x:c r="E74" s="88" t="n">
        <x:v>3</x:v>
      </x:c>
      <x:c r="F74" s="88" t="str">
        <x:v>NES MCT 20% sale</x:v>
      </x:c>
      <x:c r="G74" s="88" t="str">
        <x:v>Market Skill Extractor</x:v>
      </x:c>
      <x:c r="H74" s="87" t="n">
        <x:f>'01 Base Costs'!$B$21</x:f>
        <x:v>500</x:v>
      </x:c>
      <x:c r="I74" s="87" t="n">
        <x:f>'01 Base Costs'!$B$16*0.8</x:f>
        <x:v>388</x:v>
      </x:c>
      <x:c r="J74" s="87" t="n">
        <x:f>0</x:f>
        <x:v>0</x:v>
      </x:c>
      <x:c r="K74" s="87" t="n">
        <x:f>D74*(E74-1)*I74</x:f>
        <x:v>776</x:v>
      </x:c>
      <x:c r="L74" s="87" t="n">
        <x:f>D74*(E74-1)*J74</x:f>
        <x:v>0</x:v>
      </x:c>
      <x:c r="M74" s="87" t="n">
        <x:f>0</x:f>
        <x:v>0</x:v>
      </x:c>
      <x:c r="N74" s="87" t="n">
        <x:f>H74+K74+M74</x:f>
        <x:v>1276</x:v>
      </x:c>
      <x:c r="O74" s="87" t="n">
        <x:f>N74*'01 Base Costs'!$B$7+L74</x:f>
        <x:v>6137560000</x:v>
      </x:c>
      <x:c r="P74" s="87" t="n">
        <x:f>D74*E74</x:f>
        <x:v>3</x:v>
      </x:c>
      <x:c r="Q74" s="87" t="n">
        <x:f>P74*'01 Base Costs'!$B$12</x:f>
        <x:v>5832000</x:v>
      </x:c>
      <x:c r="R74" s="87" t="n">
        <x:f>'01 Base Costs'!$B$13</x:f>
        <x:v>100000</x:v>
      </x:c>
      <x:c r="S74" s="87" t="n">
        <x:f>Q74+R74</x:f>
        <x:v>5932000</x:v>
      </x:c>
      <x:c r="T74" s="141" t="n">
        <x:f>S74/'01 Base Costs'!$B$14</x:f>
        <x:v>11.864</x:v>
      </x:c>
      <x:c r="U74" s="87" t="n">
        <x:f>INT(T74)</x:f>
        <x:v>11</x:v>
      </x:c>
      <x:c r="V74" s="87" t="n">
        <x:f>S74-U74*'01 Base Costs'!$B$14</x:f>
        <x:v>432000</x:v>
      </x:c>
      <x:c r="W74" s="120" t="n">
        <x:f>0</x:f>
        <x:v>0</x:v>
      </x:c>
      <x:c r="X74" s="120" t="n">
        <x:f>'01 Base Costs'!$B$9</x:f>
        <x:v>463500000</x:v>
      </x:c>
      <x:c r="Y74" s="87" t="n">
        <x:f>T74*(W74*'01 Base Costs'!$B$7+X74)</x:f>
        <x:v>5498964000</x:v>
      </x:c>
      <x:c r="Z74" s="87" t="n">
        <x:f>T74*'01 Base Costs'!$B$8</x:f>
        <x:v>8932405600</x:v>
      </x:c>
      <x:c r="AA74" s="87" t="n">
        <x:f>Z74*'01 Base Costs'!$B$11</x:f>
        <x:v>446620280</x:v>
      </x:c>
      <x:c r="AB74" s="87" t="n">
        <x:f>Z74-AA74</x:f>
        <x:v>8485785320</x:v>
      </x:c>
      <x:c r="AC74" s="87" t="n">
        <x:f>O74+Y74</x:f>
        <x:v>11636524000</x:v>
      </x:c>
      <x:c r="AD74" s="87" t="n">
        <x:f>AB74-AC74</x:f>
        <x:v>-3150738680</x:v>
      </x:c>
      <x:c r="AE74" s="87" t="n">
        <x:f>AD74/D74</x:f>
        <x:v>-3150738680</x:v>
      </x:c>
      <x:c r="AF74" s="87" t="n">
        <x:f>AD74/P74</x:f>
        <x:v>-1050246226.6666666</x:v>
      </x:c>
      <x:c r="AG74" s="87" t="n">
        <x:f>IF(T74=0,0,AC74/T74/(1-'01 Base Costs'!$B$11))</x:f>
        <x:v>1032448805.763566</x:v>
      </x:c>
      <x:c r="AH74" s="88" t="str">
        <x:f>IF(AD74&gt;0,"PROFIT","LOSS")</x:f>
        <x:v>LOSS</x:v>
      </x:c>
      <x:c r="AI74" s="89" t="str">
        <x:v>Base 1M Omega; includes 100k SP bonus. MCT sale 20% off. Extractor bought on market with ISK.</x:v>
      </x:c>
    </x:row>
    <x:row r="75">
      <x:c r="A75" s="86" t="n">
        <x:v>73</x:v>
      </x:c>
      <x:c r="B75" s="88" t="str">
        <x:v>Base</x:v>
      </x:c>
      <x:c r="C75" s="88" t="str">
        <x:v>1M Omega + Bonus Items</x:v>
      </x:c>
      <x:c r="D75" s="88" t="n">
        <x:v>1</x:v>
      </x:c>
      <x:c r="E75" s="88" t="n">
        <x:v>3</x:v>
      </x:c>
      <x:c r="F75" s="88" t="str">
        <x:v>NES MCT 30% sale</x:v>
      </x:c>
      <x:c r="G75" s="88" t="str">
        <x:v>NES single extractor</x:v>
      </x:c>
      <x:c r="H75" s="87" t="n">
        <x:f>'01 Base Costs'!$B$21</x:f>
        <x:v>500</x:v>
      </x:c>
      <x:c r="I75" s="87" t="n">
        <x:f>'01 Base Costs'!$B$16*0.7</x:f>
        <x:v>339.5</x:v>
      </x:c>
      <x:c r="J75" s="87" t="n">
        <x:f>0</x:f>
        <x:v>0</x:v>
      </x:c>
      <x:c r="K75" s="87" t="n">
        <x:f>D75*(E75-1)*I75</x:f>
        <x:v>679</x:v>
      </x:c>
      <x:c r="L75" s="87" t="n">
        <x:f>D75*(E75-1)*J75</x:f>
        <x:v>0</x:v>
      </x:c>
      <x:c r="M75" s="87" t="n">
        <x:f>0</x:f>
        <x:v>0</x:v>
      </x:c>
      <x:c r="N75" s="87" t="n">
        <x:f>H75+K75+M75</x:f>
        <x:v>1179</x:v>
      </x:c>
      <x:c r="O75" s="87" t="n">
        <x:f>N75*'01 Base Costs'!$B$7+L75</x:f>
        <x:v>5670990000</x:v>
      </x:c>
      <x:c r="P75" s="87" t="n">
        <x:f>D75*E75</x:f>
        <x:v>3</x:v>
      </x:c>
      <x:c r="Q75" s="87" t="n">
        <x:f>P75*'01 Base Costs'!$B$12</x:f>
        <x:v>5832000</x:v>
      </x:c>
      <x:c r="R75" s="87" t="n">
        <x:f>'01 Base Costs'!$B$13</x:f>
        <x:v>100000</x:v>
      </x:c>
      <x:c r="S75" s="87" t="n">
        <x:f>Q75+R75</x:f>
        <x:v>5932000</x:v>
      </x:c>
      <x:c r="T75" s="141" t="n">
        <x:f>S75/'01 Base Costs'!$B$14</x:f>
        <x:v>11.864</x:v>
      </x:c>
      <x:c r="U75" s="87" t="n">
        <x:f>INT(T75)</x:f>
        <x:v>11</x:v>
      </x:c>
      <x:c r="V75" s="87" t="n">
        <x:f>S75-U75*'01 Base Costs'!$B$14</x:f>
        <x:v>432000</x:v>
      </x:c>
      <x:c r="W75" s="120" t="n">
        <x:f>'01 Base Costs'!$B$17</x:f>
        <x:v>140</x:v>
      </x:c>
      <x:c r="X75" s="120" t="n">
        <x:f>0</x:f>
        <x:v>0</x:v>
      </x:c>
      <x:c r="Y75" s="87" t="n">
        <x:f>T75*(W75*'01 Base Costs'!$B$7+X75)</x:f>
        <x:v>7989217600.000001</x:v>
      </x:c>
      <x:c r="Z75" s="87" t="n">
        <x:f>T75*'01 Base Costs'!$B$8</x:f>
        <x:v>8932405600</x:v>
      </x:c>
      <x:c r="AA75" s="87" t="n">
        <x:f>Z75*'01 Base Costs'!$B$11</x:f>
        <x:v>446620280</x:v>
      </x:c>
      <x:c r="AB75" s="87" t="n">
        <x:f>Z75-AA75</x:f>
        <x:v>8485785320</x:v>
      </x:c>
      <x:c r="AC75" s="87" t="n">
        <x:f>O75+Y75</x:f>
        <x:v>13660207600</x:v>
      </x:c>
      <x:c r="AD75" s="87" t="n">
        <x:f>AB75-AC75</x:f>
        <x:v>-5174422280</x:v>
      </x:c>
      <x:c r="AE75" s="87" t="n">
        <x:f>AD75/D75</x:f>
        <x:v>-5174422280</x:v>
      </x:c>
      <x:c r="AF75" s="87" t="n">
        <x:f>AD75/P75</x:f>
        <x:v>-1724807426.6666667</x:v>
      </x:c>
      <x:c r="AG75" s="87" t="n">
        <x:f>IF(T75=0,0,AC75/T75/(1-'01 Base Costs'!$B$11))</x:f>
        <x:v>1211999822.5503068</x:v>
      </x:c>
      <x:c r="AH75" s="88" t="str">
        <x:f>IF(AD75&gt;0,"PROFIT","LOSS")</x:f>
        <x:v>LOSS</x:v>
      </x:c>
      <x:c r="AI75" s="89" t="str">
        <x:v>Base 1M Omega; includes 100k SP bonus. MCT sale 30% off. Base single extractor.</x:v>
      </x:c>
    </x:row>
    <x:row r="76">
      <x:c r="A76" s="86" t="n">
        <x:v>74</x:v>
      </x:c>
      <x:c r="B76" s="88" t="str">
        <x:v>Base</x:v>
      </x:c>
      <x:c r="C76" s="88" t="str">
        <x:v>1M Omega + Bonus Items</x:v>
      </x:c>
      <x:c r="D76" s="88" t="n">
        <x:v>1</x:v>
      </x:c>
      <x:c r="E76" s="88" t="n">
        <x:v>3</x:v>
      </x:c>
      <x:c r="F76" s="88" t="str">
        <x:v>NES MCT 30% sale</x:v>
      </x:c>
      <x:c r="G76" s="88" t="str">
        <x:v>NES 5-pack extractor</x:v>
      </x:c>
      <x:c r="H76" s="87" t="n">
        <x:f>'01 Base Costs'!$B$21</x:f>
        <x:v>500</x:v>
      </x:c>
      <x:c r="I76" s="87" t="n">
        <x:f>'01 Base Costs'!$B$16*0.7</x:f>
        <x:v>339.5</x:v>
      </x:c>
      <x:c r="J76" s="87" t="n">
        <x:f>0</x:f>
        <x:v>0</x:v>
      </x:c>
      <x:c r="K76" s="87" t="n">
        <x:f>D76*(E76-1)*I76</x:f>
        <x:v>679</x:v>
      </x:c>
      <x:c r="L76" s="87" t="n">
        <x:f>D76*(E76-1)*J76</x:f>
        <x:v>0</x:v>
      </x:c>
      <x:c r="M76" s="87" t="n">
        <x:f>0</x:f>
        <x:v>0</x:v>
      </x:c>
      <x:c r="N76" s="87" t="n">
        <x:f>H76+K76+M76</x:f>
        <x:v>1179</x:v>
      </x:c>
      <x:c r="O76" s="87" t="n">
        <x:f>N76*'01 Base Costs'!$B$7+L76</x:f>
        <x:v>5670990000</x:v>
      </x:c>
      <x:c r="P76" s="87" t="n">
        <x:f>D76*E76</x:f>
        <x:v>3</x:v>
      </x:c>
      <x:c r="Q76" s="87" t="n">
        <x:f>P76*'01 Base Costs'!$B$12</x:f>
        <x:v>5832000</x:v>
      </x:c>
      <x:c r="R76" s="87" t="n">
        <x:f>'01 Base Costs'!$B$13</x:f>
        <x:v>100000</x:v>
      </x:c>
      <x:c r="S76" s="87" t="n">
        <x:f>Q76+R76</x:f>
        <x:v>5932000</x:v>
      </x:c>
      <x:c r="T76" s="141" t="n">
        <x:f>S76/'01 Base Costs'!$B$14</x:f>
        <x:v>11.864</x:v>
      </x:c>
      <x:c r="U76" s="87" t="n">
        <x:f>INT(T76)</x:f>
        <x:v>11</x:v>
      </x:c>
      <x:c r="V76" s="87" t="n">
        <x:f>S76-U76*'01 Base Costs'!$B$14</x:f>
        <x:v>432000</x:v>
      </x:c>
      <x:c r="W76" s="120" t="n">
        <x:f>'01 Base Costs'!$B$18/5</x:f>
        <x:v>126</x:v>
      </x:c>
      <x:c r="X76" s="120" t="n">
        <x:f>0</x:f>
        <x:v>0</x:v>
      </x:c>
      <x:c r="Y76" s="87" t="n">
        <x:f>T76*(W76*'01 Base Costs'!$B$7+X76)</x:f>
        <x:v>7190295840</x:v>
      </x:c>
      <x:c r="Z76" s="87" t="n">
        <x:f>T76*'01 Base Costs'!$B$8</x:f>
        <x:v>8932405600</x:v>
      </x:c>
      <x:c r="AA76" s="87" t="n">
        <x:f>Z76*'01 Base Costs'!$B$11</x:f>
        <x:v>446620280</x:v>
      </x:c>
      <x:c r="AB76" s="87" t="n">
        <x:f>Z76-AA76</x:f>
        <x:v>8485785320</x:v>
      </x:c>
      <x:c r="AC76" s="87" t="n">
        <x:f>O76+Y76</x:f>
        <x:v>12861285840</x:v>
      </x:c>
      <x:c r="AD76" s="87" t="n">
        <x:f>AB76-AC76</x:f>
        <x:v>-4375500520</x:v>
      </x:c>
      <x:c r="AE76" s="87" t="n">
        <x:f>AD76/D76</x:f>
        <x:v>-4375500520</x:v>
      </x:c>
      <x:c r="AF76" s="87" t="n">
        <x:f>AD76/P76</x:f>
        <x:v>-1458500173.3333333</x:v>
      </x:c>
      <x:c r="AG76" s="87" t="n">
        <x:f>IF(T76=0,0,AC76/T76/(1-'01 Base Costs'!$B$11))</x:f>
        <x:v>1141115612.023991</x:v>
      </x:c>
      <x:c r="AH76" s="88" t="str">
        <x:f>IF(AD76&gt;0,"PROFIT","LOSS")</x:f>
        <x:v>LOSS</x:v>
      </x:c>
      <x:c r="AI76" s="89" t="str">
        <x:v>Base 1M Omega; includes 100k SP bonus. MCT sale 30% off. Base 5-pack average.</x:v>
      </x:c>
    </x:row>
    <x:row r="77">
      <x:c r="A77" s="86" t="n">
        <x:v>75</x:v>
      </x:c>
      <x:c r="B77" s="88" t="str">
        <x:v>Base</x:v>
      </x:c>
      <x:c r="C77" s="88" t="str">
        <x:v>1M Omega + Bonus Items</x:v>
      </x:c>
      <x:c r="D77" s="88" t="n">
        <x:v>1</x:v>
      </x:c>
      <x:c r="E77" s="88" t="n">
        <x:v>3</x:v>
      </x:c>
      <x:c r="F77" s="88" t="str">
        <x:v>NES MCT 30% sale</x:v>
      </x:c>
      <x:c r="G77" s="88" t="str">
        <x:v>NES 10-pack extractor</x:v>
      </x:c>
      <x:c r="H77" s="87" t="n">
        <x:f>'01 Base Costs'!$B$21</x:f>
        <x:v>500</x:v>
      </x:c>
      <x:c r="I77" s="87" t="n">
        <x:f>'01 Base Costs'!$B$16*0.7</x:f>
        <x:v>339.5</x:v>
      </x:c>
      <x:c r="J77" s="87" t="n">
        <x:f>0</x:f>
        <x:v>0</x:v>
      </x:c>
      <x:c r="K77" s="87" t="n">
        <x:f>D77*(E77-1)*I77</x:f>
        <x:v>679</x:v>
      </x:c>
      <x:c r="L77" s="87" t="n">
        <x:f>D77*(E77-1)*J77</x:f>
        <x:v>0</x:v>
      </x:c>
      <x:c r="M77" s="87" t="n">
        <x:f>0</x:f>
        <x:v>0</x:v>
      </x:c>
      <x:c r="N77" s="87" t="n">
        <x:f>H77+K77+M77</x:f>
        <x:v>1179</x:v>
      </x:c>
      <x:c r="O77" s="87" t="n">
        <x:f>N77*'01 Base Costs'!$B$7+L77</x:f>
        <x:v>5670990000</x:v>
      </x:c>
      <x:c r="P77" s="87" t="n">
        <x:f>D77*E77</x:f>
        <x:v>3</x:v>
      </x:c>
      <x:c r="Q77" s="87" t="n">
        <x:f>P77*'01 Base Costs'!$B$12</x:f>
        <x:v>5832000</x:v>
      </x:c>
      <x:c r="R77" s="87" t="n">
        <x:f>'01 Base Costs'!$B$13</x:f>
        <x:v>100000</x:v>
      </x:c>
      <x:c r="S77" s="87" t="n">
        <x:f>Q77+R77</x:f>
        <x:v>5932000</x:v>
      </x:c>
      <x:c r="T77" s="141" t="n">
        <x:f>S77/'01 Base Costs'!$B$14</x:f>
        <x:v>11.864</x:v>
      </x:c>
      <x:c r="U77" s="87" t="n">
        <x:f>INT(T77)</x:f>
        <x:v>11</x:v>
      </x:c>
      <x:c r="V77" s="87" t="n">
        <x:f>S77-U77*'01 Base Costs'!$B$14</x:f>
        <x:v>432000</x:v>
      </x:c>
      <x:c r="W77" s="120" t="n">
        <x:f>'01 Base Costs'!$B$19/10</x:f>
        <x:v>119</x:v>
      </x:c>
      <x:c r="X77" s="120" t="n">
        <x:f>0</x:f>
        <x:v>0</x:v>
      </x:c>
      <x:c r="Y77" s="87" t="n">
        <x:f>T77*(W77*'01 Base Costs'!$B$7+X77)</x:f>
        <x:v>6790834960</x:v>
      </x:c>
      <x:c r="Z77" s="87" t="n">
        <x:f>T77*'01 Base Costs'!$B$8</x:f>
        <x:v>8932405600</x:v>
      </x:c>
      <x:c r="AA77" s="87" t="n">
        <x:f>Z77*'01 Base Costs'!$B$11</x:f>
        <x:v>446620280</x:v>
      </x:c>
      <x:c r="AB77" s="87" t="n">
        <x:f>Z77-AA77</x:f>
        <x:v>8485785320</x:v>
      </x:c>
      <x:c r="AC77" s="87" t="n">
        <x:f>O77+Y77</x:f>
        <x:v>12461824960</x:v>
      </x:c>
      <x:c r="AD77" s="87" t="n">
        <x:f>AB77-AC77</x:f>
        <x:v>-3976039640</x:v>
      </x:c>
      <x:c r="AE77" s="87" t="n">
        <x:f>AD77/D77</x:f>
        <x:v>-3976039640</x:v>
      </x:c>
      <x:c r="AF77" s="87" t="n">
        <x:f>AD77/P77</x:f>
        <x:v>-1325346546.6666667</x:v>
      </x:c>
      <x:c r="AG77" s="87" t="n">
        <x:f>IF(T77=0,0,AC77/T77/(1-'01 Base Costs'!$B$11))</x:f>
        <x:v>1105673506.7608333</x:v>
      </x:c>
      <x:c r="AH77" s="88" t="str">
        <x:f>IF(AD77&gt;0,"PROFIT","LOSS")</x:f>
        <x:v>LOSS</x:v>
      </x:c>
      <x:c r="AI77" s="89" t="str">
        <x:v>Base 1M Omega; includes 100k SP bonus. MCT sale 30% off. Base 10-pack average.</x:v>
      </x:c>
    </x:row>
    <x:row r="78">
      <x:c r="A78" s="86" t="n">
        <x:v>76</x:v>
      </x:c>
      <x:c r="B78" s="88" t="str">
        <x:v>Base</x:v>
      </x:c>
      <x:c r="C78" s="88" t="str">
        <x:v>1M Omega + Bonus Items</x:v>
      </x:c>
      <x:c r="D78" s="88" t="n">
        <x:v>1</x:v>
      </x:c>
      <x:c r="E78" s="88" t="n">
        <x:v>3</x:v>
      </x:c>
      <x:c r="F78" s="88" t="str">
        <x:v>NES MCT 30% sale</x:v>
      </x:c>
      <x:c r="G78" s="88" t="str">
        <x:v>NES 50-pack extractor</x:v>
      </x:c>
      <x:c r="H78" s="87" t="n">
        <x:f>'01 Base Costs'!$B$21</x:f>
        <x:v>500</x:v>
      </x:c>
      <x:c r="I78" s="87" t="n">
        <x:f>'01 Base Costs'!$B$16*0.7</x:f>
        <x:v>339.5</x:v>
      </x:c>
      <x:c r="J78" s="87" t="n">
        <x:f>0</x:f>
        <x:v>0</x:v>
      </x:c>
      <x:c r="K78" s="87" t="n">
        <x:f>D78*(E78-1)*I78</x:f>
        <x:v>679</x:v>
      </x:c>
      <x:c r="L78" s="87" t="n">
        <x:f>D78*(E78-1)*J78</x:f>
        <x:v>0</x:v>
      </x:c>
      <x:c r="M78" s="87" t="n">
        <x:f>0</x:f>
        <x:v>0</x:v>
      </x:c>
      <x:c r="N78" s="87" t="n">
        <x:f>H78+K78+M78</x:f>
        <x:v>1179</x:v>
      </x:c>
      <x:c r="O78" s="87" t="n">
        <x:f>N78*'01 Base Costs'!$B$7+L78</x:f>
        <x:v>5670990000</x:v>
      </x:c>
      <x:c r="P78" s="87" t="n">
        <x:f>D78*E78</x:f>
        <x:v>3</x:v>
      </x:c>
      <x:c r="Q78" s="87" t="n">
        <x:f>P78*'01 Base Costs'!$B$12</x:f>
        <x:v>5832000</x:v>
      </x:c>
      <x:c r="R78" s="87" t="n">
        <x:f>'01 Base Costs'!$B$13</x:f>
        <x:v>100000</x:v>
      </x:c>
      <x:c r="S78" s="87" t="n">
        <x:f>Q78+R78</x:f>
        <x:v>5932000</x:v>
      </x:c>
      <x:c r="T78" s="141" t="n">
        <x:f>S78/'01 Base Costs'!$B$14</x:f>
        <x:v>11.864</x:v>
      </x:c>
      <x:c r="U78" s="87" t="n">
        <x:f>INT(T78)</x:f>
        <x:v>11</x:v>
      </x:c>
      <x:c r="V78" s="87" t="n">
        <x:f>S78-U78*'01 Base Costs'!$B$14</x:f>
        <x:v>432000</x:v>
      </x:c>
      <x:c r="W78" s="120" t="n">
        <x:f>'01 Base Costs'!$B$20/50</x:f>
        <x:v>112</x:v>
      </x:c>
      <x:c r="X78" s="120" t="n">
        <x:f>0</x:f>
        <x:v>0</x:v>
      </x:c>
      <x:c r="Y78" s="87" t="n">
        <x:f>T78*(W78*'01 Base Costs'!$B$7+X78)</x:f>
        <x:v>6391374080</x:v>
      </x:c>
      <x:c r="Z78" s="87" t="n">
        <x:f>T78*'01 Base Costs'!$B$8</x:f>
        <x:v>8932405600</x:v>
      </x:c>
      <x:c r="AA78" s="87" t="n">
        <x:f>Z78*'01 Base Costs'!$B$11</x:f>
        <x:v>446620280</x:v>
      </x:c>
      <x:c r="AB78" s="87" t="n">
        <x:f>Z78-AA78</x:f>
        <x:v>8485785320</x:v>
      </x:c>
      <x:c r="AC78" s="87" t="n">
        <x:f>O78+Y78</x:f>
        <x:v>12062364080</x:v>
      </x:c>
      <x:c r="AD78" s="87" t="n">
        <x:f>AB78-AC78</x:f>
        <x:v>-3576578760</x:v>
      </x:c>
      <x:c r="AE78" s="87" t="n">
        <x:f>AD78/D78</x:f>
        <x:v>-3576578760</x:v>
      </x:c>
      <x:c r="AF78" s="87" t="n">
        <x:f>AD78/P78</x:f>
        <x:v>-1192192920</x:v>
      </x:c>
      <x:c r="AG78" s="87" t="n">
        <x:f>IF(T78=0,0,AC78/T78/(1-'01 Base Costs'!$B$11))</x:f>
        <x:v>1070231401.4976754</x:v>
      </x:c>
      <x:c r="AH78" s="88" t="str">
        <x:f>IF(AD78&gt;0,"PROFIT","LOSS")</x:f>
        <x:v>LOSS</x:v>
      </x:c>
      <x:c r="AI78" s="89" t="str">
        <x:v>Base 1M Omega; includes 100k SP bonus. MCT sale 30% off. Base 50-pack average.</x:v>
      </x:c>
    </x:row>
    <x:row r="79">
      <x:c r="A79" s="86" t="n">
        <x:v>77</x:v>
      </x:c>
      <x:c r="B79" s="88" t="str">
        <x:v>Base</x:v>
      </x:c>
      <x:c r="C79" s="88" t="str">
        <x:v>1M Omega + Bonus Items</x:v>
      </x:c>
      <x:c r="D79" s="88" t="n">
        <x:v>1</x:v>
      </x:c>
      <x:c r="E79" s="88" t="n">
        <x:v>3</x:v>
      </x:c>
      <x:c r="F79" s="88" t="str">
        <x:v>NES MCT 30% sale</x:v>
      </x:c>
      <x:c r="G79" s="88" t="str">
        <x:v>NES 3-for-2 extractor sale</x:v>
      </x:c>
      <x:c r="H79" s="87" t="n">
        <x:f>'01 Base Costs'!$B$21</x:f>
        <x:v>500</x:v>
      </x:c>
      <x:c r="I79" s="87" t="n">
        <x:f>'01 Base Costs'!$B$16*0.7</x:f>
        <x:v>339.5</x:v>
      </x:c>
      <x:c r="J79" s="87" t="n">
        <x:f>0</x:f>
        <x:v>0</x:v>
      </x:c>
      <x:c r="K79" s="87" t="n">
        <x:f>D79*(E79-1)*I79</x:f>
        <x:v>679</x:v>
      </x:c>
      <x:c r="L79" s="87" t="n">
        <x:f>D79*(E79-1)*J79</x:f>
        <x:v>0</x:v>
      </x:c>
      <x:c r="M79" s="87" t="n">
        <x:f>0</x:f>
        <x:v>0</x:v>
      </x:c>
      <x:c r="N79" s="87" t="n">
        <x:f>H79+K79+M79</x:f>
        <x:v>1179</x:v>
      </x:c>
      <x:c r="O79" s="87" t="n">
        <x:f>N79*'01 Base Costs'!$B$7+L79</x:f>
        <x:v>5670990000</x:v>
      </x:c>
      <x:c r="P79" s="87" t="n">
        <x:f>D79*E79</x:f>
        <x:v>3</x:v>
      </x:c>
      <x:c r="Q79" s="87" t="n">
        <x:f>P79*'01 Base Costs'!$B$12</x:f>
        <x:v>5832000</x:v>
      </x:c>
      <x:c r="R79" s="87" t="n">
        <x:f>'01 Base Costs'!$B$13</x:f>
        <x:v>100000</x:v>
      </x:c>
      <x:c r="S79" s="87" t="n">
        <x:f>Q79+R79</x:f>
        <x:v>5932000</x:v>
      </x:c>
      <x:c r="T79" s="141" t="n">
        <x:f>S79/'01 Base Costs'!$B$14</x:f>
        <x:v>11.864</x:v>
      </x:c>
      <x:c r="U79" s="87" t="n">
        <x:f>INT(T79)</x:f>
        <x:v>11</x:v>
      </x:c>
      <x:c r="V79" s="87" t="n">
        <x:f>S79-U79*'01 Base Costs'!$B$14</x:f>
        <x:v>432000</x:v>
      </x:c>
      <x:c r="W79" s="120" t="n">
        <x:f>'01 Base Costs'!$B$17*2/3</x:f>
        <x:v>93.33333333333333</x:v>
      </x:c>
      <x:c r="X79" s="120" t="n">
        <x:f>0</x:f>
        <x:v>0</x:v>
      </x:c>
      <x:c r="Y79" s="87" t="n">
        <x:f>T79*(W79*'01 Base Costs'!$B$7+X79)</x:f>
        <x:v>5326145066.666667</x:v>
      </x:c>
      <x:c r="Z79" s="87" t="n">
        <x:f>T79*'01 Base Costs'!$B$8</x:f>
        <x:v>8932405600</x:v>
      </x:c>
      <x:c r="AA79" s="87" t="n">
        <x:f>Z79*'01 Base Costs'!$B$11</x:f>
        <x:v>446620280</x:v>
      </x:c>
      <x:c r="AB79" s="87" t="n">
        <x:f>Z79-AA79</x:f>
        <x:v>8485785320</x:v>
      </x:c>
      <x:c r="AC79" s="87" t="n">
        <x:f>O79+Y79</x:f>
        <x:v>10997135066.666668</x:v>
      </x:c>
      <x:c r="AD79" s="87" t="n">
        <x:f>AB79-AC79</x:f>
        <x:v>-2511349746.666668</x:v>
      </x:c>
      <x:c r="AE79" s="87" t="n">
        <x:f>AD79/D79</x:f>
        <x:v>-2511349746.666668</x:v>
      </x:c>
      <x:c r="AF79" s="87" t="n">
        <x:f>AD79/P79</x:f>
        <x:v>-837116582.2222227</x:v>
      </x:c>
      <x:c r="AG79" s="87" t="n">
        <x:f>IF(T79=0,0,AC79/T79/(1-'01 Base Costs'!$B$11))</x:f>
        <x:v>975719120.7959211</x:v>
      </x:c>
      <x:c r="AH79" s="88" t="str">
        <x:f>IF(AD79&gt;0,"PROFIT","LOSS")</x:f>
        <x:v>LOSS</x:v>
      </x:c>
      <x:c r="AI79" s="89" t="str">
        <x:v>Base 1M Omega; includes 100k SP bonus. MCT sale 30% off. Extractor 3-for-2 sale.</x:v>
      </x:c>
    </x:row>
    <x:row r="80">
      <x:c r="A80" s="86" t="n">
        <x:v>78</x:v>
      </x:c>
      <x:c r="B80" s="88" t="str">
        <x:v>Base</x:v>
      </x:c>
      <x:c r="C80" s="88" t="str">
        <x:v>1M Omega + Bonus Items</x:v>
      </x:c>
      <x:c r="D80" s="88" t="n">
        <x:v>1</x:v>
      </x:c>
      <x:c r="E80" s="88" t="n">
        <x:v>3</x:v>
      </x:c>
      <x:c r="F80" s="88" t="str">
        <x:v>NES MCT 30% sale</x:v>
      </x:c>
      <x:c r="G80" s="88" t="str">
        <x:v>NES 2-for-1 extractor sale</x:v>
      </x:c>
      <x:c r="H80" s="87" t="n">
        <x:f>'01 Base Costs'!$B$21</x:f>
        <x:v>500</x:v>
      </x:c>
      <x:c r="I80" s="87" t="n">
        <x:f>'01 Base Costs'!$B$16*0.7</x:f>
        <x:v>339.5</x:v>
      </x:c>
      <x:c r="J80" s="87" t="n">
        <x:f>0</x:f>
        <x:v>0</x:v>
      </x:c>
      <x:c r="K80" s="87" t="n">
        <x:f>D80*(E80-1)*I80</x:f>
        <x:v>679</x:v>
      </x:c>
      <x:c r="L80" s="87" t="n">
        <x:f>D80*(E80-1)*J80</x:f>
        <x:v>0</x:v>
      </x:c>
      <x:c r="M80" s="87" t="n">
        <x:f>0</x:f>
        <x:v>0</x:v>
      </x:c>
      <x:c r="N80" s="87" t="n">
        <x:f>H80+K80+M80</x:f>
        <x:v>1179</x:v>
      </x:c>
      <x:c r="O80" s="87" t="n">
        <x:f>N80*'01 Base Costs'!$B$7+L80</x:f>
        <x:v>5670990000</x:v>
      </x:c>
      <x:c r="P80" s="87" t="n">
        <x:f>D80*E80</x:f>
        <x:v>3</x:v>
      </x:c>
      <x:c r="Q80" s="87" t="n">
        <x:f>P80*'01 Base Costs'!$B$12</x:f>
        <x:v>5832000</x:v>
      </x:c>
      <x:c r="R80" s="87" t="n">
        <x:f>'01 Base Costs'!$B$13</x:f>
        <x:v>100000</x:v>
      </x:c>
      <x:c r="S80" s="87" t="n">
        <x:f>Q80+R80</x:f>
        <x:v>5932000</x:v>
      </x:c>
      <x:c r="T80" s="141" t="n">
        <x:f>S80/'01 Base Costs'!$B$14</x:f>
        <x:v>11.864</x:v>
      </x:c>
      <x:c r="U80" s="87" t="n">
        <x:f>INT(T80)</x:f>
        <x:v>11</x:v>
      </x:c>
      <x:c r="V80" s="87" t="n">
        <x:f>S80-U80*'01 Base Costs'!$B$14</x:f>
        <x:v>432000</x:v>
      </x:c>
      <x:c r="W80" s="120" t="n">
        <x:f>'01 Base Costs'!$B$17/2</x:f>
        <x:v>70</x:v>
      </x:c>
      <x:c r="X80" s="120" t="n">
        <x:f>0</x:f>
        <x:v>0</x:v>
      </x:c>
      <x:c r="Y80" s="87" t="n">
        <x:f>T80*(W80*'01 Base Costs'!$B$7+X80)</x:f>
        <x:v>3994608800.0000005</x:v>
      </x:c>
      <x:c r="Z80" s="87" t="n">
        <x:f>T80*'01 Base Costs'!$B$8</x:f>
        <x:v>8932405600</x:v>
      </x:c>
      <x:c r="AA80" s="87" t="n">
        <x:f>Z80*'01 Base Costs'!$B$11</x:f>
        <x:v>446620280</x:v>
      </x:c>
      <x:c r="AB80" s="87" t="n">
        <x:f>Z80-AA80</x:f>
        <x:v>8485785320</x:v>
      </x:c>
      <x:c r="AC80" s="87" t="n">
        <x:f>O80+Y80</x:f>
        <x:v>9665598800</x:v>
      </x:c>
      <x:c r="AD80" s="87" t="n">
        <x:f>AB80-AC80</x:f>
        <x:v>-1179813480</x:v>
      </x:c>
      <x:c r="AE80" s="87" t="n">
        <x:f>AD80/D80</x:f>
        <x:v>-1179813480</x:v>
      </x:c>
      <x:c r="AF80" s="87" t="n">
        <x:f>AD80/P80</x:f>
        <x:v>-393271160</x:v>
      </x:c>
      <x:c r="AG80" s="87" t="n">
        <x:f>IF(T80=0,0,AC80/T80/(1-'01 Base Costs'!$B$11))</x:f>
        <x:v>857578769.918728</x:v>
      </x:c>
      <x:c r="AH80" s="88" t="str">
        <x:f>IF(AD80&gt;0,"PROFIT","LOSS")</x:f>
        <x:v>LOSS</x:v>
      </x:c>
      <x:c r="AI80" s="89" t="str">
        <x:v>Base 1M Omega; includes 100k SP bonus. MCT sale 30% off. Extractor 2-for-1 sale.</x:v>
      </x:c>
    </x:row>
    <x:row r="81">
      <x:c r="A81" s="86" t="n">
        <x:v>79</x:v>
      </x:c>
      <x:c r="B81" s="88" t="str">
        <x:v>Base</x:v>
      </x:c>
      <x:c r="C81" s="88" t="str">
        <x:v>1M Omega + Bonus Items</x:v>
      </x:c>
      <x:c r="D81" s="88" t="n">
        <x:v>1</x:v>
      </x:c>
      <x:c r="E81" s="88" t="n">
        <x:v>3</x:v>
      </x:c>
      <x:c r="F81" s="88" t="str">
        <x:v>NES MCT 30% sale</x:v>
      </x:c>
      <x:c r="G81" s="88" t="str">
        <x:v>NES 10-pack extractor 20% sale</x:v>
      </x:c>
      <x:c r="H81" s="87" t="n">
        <x:f>'01 Base Costs'!$B$21</x:f>
        <x:v>500</x:v>
      </x:c>
      <x:c r="I81" s="87" t="n">
        <x:f>'01 Base Costs'!$B$16*0.7</x:f>
        <x:v>339.5</x:v>
      </x:c>
      <x:c r="J81" s="87" t="n">
        <x:f>0</x:f>
        <x:v>0</x:v>
      </x:c>
      <x:c r="K81" s="87" t="n">
        <x:f>D81*(E81-1)*I81</x:f>
        <x:v>679</x:v>
      </x:c>
      <x:c r="L81" s="87" t="n">
        <x:f>D81*(E81-1)*J81</x:f>
        <x:v>0</x:v>
      </x:c>
      <x:c r="M81" s="87" t="n">
        <x:f>0</x:f>
        <x:v>0</x:v>
      </x:c>
      <x:c r="N81" s="87" t="n">
        <x:f>H81+K81+M81</x:f>
        <x:v>1179</x:v>
      </x:c>
      <x:c r="O81" s="87" t="n">
        <x:f>N81*'01 Base Costs'!$B$7+L81</x:f>
        <x:v>5670990000</x:v>
      </x:c>
      <x:c r="P81" s="87" t="n">
        <x:f>D81*E81</x:f>
        <x:v>3</x:v>
      </x:c>
      <x:c r="Q81" s="87" t="n">
        <x:f>P81*'01 Base Costs'!$B$12</x:f>
        <x:v>5832000</x:v>
      </x:c>
      <x:c r="R81" s="87" t="n">
        <x:f>'01 Base Costs'!$B$13</x:f>
        <x:v>100000</x:v>
      </x:c>
      <x:c r="S81" s="87" t="n">
        <x:f>Q81+R81</x:f>
        <x:v>5932000</x:v>
      </x:c>
      <x:c r="T81" s="141" t="n">
        <x:f>S81/'01 Base Costs'!$B$14</x:f>
        <x:v>11.864</x:v>
      </x:c>
      <x:c r="U81" s="87" t="n">
        <x:f>INT(T81)</x:f>
        <x:v>11</x:v>
      </x:c>
      <x:c r="V81" s="87" t="n">
        <x:f>S81-U81*'01 Base Costs'!$B$14</x:f>
        <x:v>432000</x:v>
      </x:c>
      <x:c r="W81" s="120" t="n">
        <x:f>'01 Base Costs'!$B$19*0.8/10</x:f>
        <x:v>95.2</x:v>
      </x:c>
      <x:c r="X81" s="120" t="n">
        <x:f>0</x:f>
        <x:v>0</x:v>
      </x:c>
      <x:c r="Y81" s="87" t="n">
        <x:f>T81*(W81*'01 Base Costs'!$B$7+X81)</x:f>
        <x:v>5432667968</x:v>
      </x:c>
      <x:c r="Z81" s="87" t="n">
        <x:f>T81*'01 Base Costs'!$B$8</x:f>
        <x:v>8932405600</x:v>
      </x:c>
      <x:c r="AA81" s="87" t="n">
        <x:f>Z81*'01 Base Costs'!$B$11</x:f>
        <x:v>446620280</x:v>
      </x:c>
      <x:c r="AB81" s="87" t="n">
        <x:f>Z81-AA81</x:f>
        <x:v>8485785320</x:v>
      </x:c>
      <x:c r="AC81" s="87" t="n">
        <x:f>O81+Y81</x:f>
        <x:v>11103657968</x:v>
      </x:c>
      <x:c r="AD81" s="87" t="n">
        <x:f>AB81-AC81</x:f>
        <x:v>-2617872648</x:v>
      </x:c>
      <x:c r="AE81" s="87" t="n">
        <x:f>AD81/D81</x:f>
        <x:v>-2617872648</x:v>
      </x:c>
      <x:c r="AF81" s="87" t="n">
        <x:f>AD81/P81</x:f>
        <x:v>-872624216</x:v>
      </x:c>
      <x:c r="AG81" s="87" t="n">
        <x:f>IF(T81=0,0,AC81/T81/(1-'01 Base Costs'!$B$11))</x:f>
        <x:v>985170348.8660965</x:v>
      </x:c>
      <x:c r="AH81" s="88" t="str">
        <x:f>IF(AD81&gt;0,"PROFIT","LOSS")</x:f>
        <x:v>LOSS</x:v>
      </x:c>
      <x:c r="AI81" s="89" t="str">
        <x:v>Base 1M Omega; includes 100k SP bonus. MCT sale 30% off. 10-pack at 20% off.</x:v>
      </x:c>
    </x:row>
    <x:row r="82">
      <x:c r="A82" s="86" t="n">
        <x:v>80</x:v>
      </x:c>
      <x:c r="B82" s="88" t="str">
        <x:v>Base</x:v>
      </x:c>
      <x:c r="C82" s="88" t="str">
        <x:v>1M Omega + Bonus Items</x:v>
      </x:c>
      <x:c r="D82" s="88" t="n">
        <x:v>1</x:v>
      </x:c>
      <x:c r="E82" s="88" t="n">
        <x:v>3</x:v>
      </x:c>
      <x:c r="F82" s="88" t="str">
        <x:v>NES MCT 30% sale</x:v>
      </x:c>
      <x:c r="G82" s="88" t="str">
        <x:v>NES 50-pack extractor 20% sale</x:v>
      </x:c>
      <x:c r="H82" s="87" t="n">
        <x:f>'01 Base Costs'!$B$21</x:f>
        <x:v>500</x:v>
      </x:c>
      <x:c r="I82" s="87" t="n">
        <x:f>'01 Base Costs'!$B$16*0.7</x:f>
        <x:v>339.5</x:v>
      </x:c>
      <x:c r="J82" s="87" t="n">
        <x:f>0</x:f>
        <x:v>0</x:v>
      </x:c>
      <x:c r="K82" s="87" t="n">
        <x:f>D82*(E82-1)*I82</x:f>
        <x:v>679</x:v>
      </x:c>
      <x:c r="L82" s="87" t="n">
        <x:f>D82*(E82-1)*J82</x:f>
        <x:v>0</x:v>
      </x:c>
      <x:c r="M82" s="87" t="n">
        <x:f>0</x:f>
        <x:v>0</x:v>
      </x:c>
      <x:c r="N82" s="87" t="n">
        <x:f>H82+K82+M82</x:f>
        <x:v>1179</x:v>
      </x:c>
      <x:c r="O82" s="87" t="n">
        <x:f>N82*'01 Base Costs'!$B$7+L82</x:f>
        <x:v>5670990000</x:v>
      </x:c>
      <x:c r="P82" s="87" t="n">
        <x:f>D82*E82</x:f>
        <x:v>3</x:v>
      </x:c>
      <x:c r="Q82" s="87" t="n">
        <x:f>P82*'01 Base Costs'!$B$12</x:f>
        <x:v>5832000</x:v>
      </x:c>
      <x:c r="R82" s="87" t="n">
        <x:f>'01 Base Costs'!$B$13</x:f>
        <x:v>100000</x:v>
      </x:c>
      <x:c r="S82" s="87" t="n">
        <x:f>Q82+R82</x:f>
        <x:v>5932000</x:v>
      </x:c>
      <x:c r="T82" s="141" t="n">
        <x:f>S82/'01 Base Costs'!$B$14</x:f>
        <x:v>11.864</x:v>
      </x:c>
      <x:c r="U82" s="87" t="n">
        <x:f>INT(T82)</x:f>
        <x:v>11</x:v>
      </x:c>
      <x:c r="V82" s="87" t="n">
        <x:f>S82-U82*'01 Base Costs'!$B$14</x:f>
        <x:v>432000</x:v>
      </x:c>
      <x:c r="W82" s="120" t="n">
        <x:f>'01 Base Costs'!$B$20*0.8/50</x:f>
        <x:v>89.6</x:v>
      </x:c>
      <x:c r="X82" s="120" t="n">
        <x:f>0</x:f>
        <x:v>0</x:v>
      </x:c>
      <x:c r="Y82" s="87" t="n">
        <x:f>T82*(W82*'01 Base Costs'!$B$7+X82)</x:f>
        <x:v>5113099264</x:v>
      </x:c>
      <x:c r="Z82" s="87" t="n">
        <x:f>T82*'01 Base Costs'!$B$8</x:f>
        <x:v>8932405600</x:v>
      </x:c>
      <x:c r="AA82" s="87" t="n">
        <x:f>Z82*'01 Base Costs'!$B$11</x:f>
        <x:v>446620280</x:v>
      </x:c>
      <x:c r="AB82" s="87" t="n">
        <x:f>Z82-AA82</x:f>
        <x:v>8485785320</x:v>
      </x:c>
      <x:c r="AC82" s="87" t="n">
        <x:f>O82+Y82</x:f>
        <x:v>10784089264</x:v>
      </x:c>
      <x:c r="AD82" s="87" t="n">
        <x:f>AB82-AC82</x:f>
        <x:v>-2298303944</x:v>
      </x:c>
      <x:c r="AE82" s="87" t="n">
        <x:f>AD82/D82</x:f>
        <x:v>-2298303944</x:v>
      </x:c>
      <x:c r="AF82" s="87" t="n">
        <x:f>AD82/P82</x:f>
        <x:v>-766101314.6666666</x:v>
      </x:c>
      <x:c r="AG82" s="87" t="n">
        <x:f>IF(T82=0,0,AC82/T82/(1-'01 Base Costs'!$B$11))</x:f>
        <x:v>956816664.6555701</x:v>
      </x:c>
      <x:c r="AH82" s="88" t="str">
        <x:f>IF(AD82&gt;0,"PROFIT","LOSS")</x:f>
        <x:v>LOSS</x:v>
      </x:c>
      <x:c r="AI82" s="89" t="str">
        <x:v>Base 1M Omega; includes 100k SP bonus. MCT sale 30% off. 50-pack at 20% off.</x:v>
      </x:c>
    </x:row>
    <x:row r="83">
      <x:c r="A83" s="86" t="n">
        <x:v>81</x:v>
      </x:c>
      <x:c r="B83" s="88" t="str">
        <x:v>Base</x:v>
      </x:c>
      <x:c r="C83" s="88" t="str">
        <x:v>1M Omega + Bonus Items</x:v>
      </x:c>
      <x:c r="D83" s="88" t="n">
        <x:v>1</x:v>
      </x:c>
      <x:c r="E83" s="88" t="n">
        <x:v>3</x:v>
      </x:c>
      <x:c r="F83" s="88" t="str">
        <x:v>NES MCT 30% sale</x:v>
      </x:c>
      <x:c r="G83" s="88" t="str">
        <x:v>Market Skill Extractor</x:v>
      </x:c>
      <x:c r="H83" s="87" t="n">
        <x:f>'01 Base Costs'!$B$21</x:f>
        <x:v>500</x:v>
      </x:c>
      <x:c r="I83" s="87" t="n">
        <x:f>'01 Base Costs'!$B$16*0.7</x:f>
        <x:v>339.5</x:v>
      </x:c>
      <x:c r="J83" s="87" t="n">
        <x:f>0</x:f>
        <x:v>0</x:v>
      </x:c>
      <x:c r="K83" s="87" t="n">
        <x:f>D83*(E83-1)*I83</x:f>
        <x:v>679</x:v>
      </x:c>
      <x:c r="L83" s="87" t="n">
        <x:f>D83*(E83-1)*J83</x:f>
        <x:v>0</x:v>
      </x:c>
      <x:c r="M83" s="87" t="n">
        <x:f>0</x:f>
        <x:v>0</x:v>
      </x:c>
      <x:c r="N83" s="87" t="n">
        <x:f>H83+K83+M83</x:f>
        <x:v>1179</x:v>
      </x:c>
      <x:c r="O83" s="87" t="n">
        <x:f>N83*'01 Base Costs'!$B$7+L83</x:f>
        <x:v>5670990000</x:v>
      </x:c>
      <x:c r="P83" s="87" t="n">
        <x:f>D83*E83</x:f>
        <x:v>3</x:v>
      </x:c>
      <x:c r="Q83" s="87" t="n">
        <x:f>P83*'01 Base Costs'!$B$12</x:f>
        <x:v>5832000</x:v>
      </x:c>
      <x:c r="R83" s="87" t="n">
        <x:f>'01 Base Costs'!$B$13</x:f>
        <x:v>100000</x:v>
      </x:c>
      <x:c r="S83" s="87" t="n">
        <x:f>Q83+R83</x:f>
        <x:v>5932000</x:v>
      </x:c>
      <x:c r="T83" s="141" t="n">
        <x:f>S83/'01 Base Costs'!$B$14</x:f>
        <x:v>11.864</x:v>
      </x:c>
      <x:c r="U83" s="87" t="n">
        <x:f>INT(T83)</x:f>
        <x:v>11</x:v>
      </x:c>
      <x:c r="V83" s="87" t="n">
        <x:f>S83-U83*'01 Base Costs'!$B$14</x:f>
        <x:v>432000</x:v>
      </x:c>
      <x:c r="W83" s="120" t="n">
        <x:f>0</x:f>
        <x:v>0</x:v>
      </x:c>
      <x:c r="X83" s="120" t="n">
        <x:f>'01 Base Costs'!$B$9</x:f>
        <x:v>463500000</x:v>
      </x:c>
      <x:c r="Y83" s="87" t="n">
        <x:f>T83*(W83*'01 Base Costs'!$B$7+X83)</x:f>
        <x:v>5498964000</x:v>
      </x:c>
      <x:c r="Z83" s="87" t="n">
        <x:f>T83*'01 Base Costs'!$B$8</x:f>
        <x:v>8932405600</x:v>
      </x:c>
      <x:c r="AA83" s="87" t="n">
        <x:f>Z83*'01 Base Costs'!$B$11</x:f>
        <x:v>446620280</x:v>
      </x:c>
      <x:c r="AB83" s="87" t="n">
        <x:f>Z83-AA83</x:f>
        <x:v>8485785320</x:v>
      </x:c>
      <x:c r="AC83" s="87" t="n">
        <x:f>O83+Y83</x:f>
        <x:v>11169954000</x:v>
      </x:c>
      <x:c r="AD83" s="87" t="n">
        <x:f>AB83-AC83</x:f>
        <x:v>-2684168680</x:v>
      </x:c>
      <x:c r="AE83" s="87" t="n">
        <x:f>AD83/D83</x:f>
        <x:v>-2684168680</x:v>
      </x:c>
      <x:c r="AF83" s="87" t="n">
        <x:f>AD83/P83</x:f>
        <x:v>-894722893.3333334</x:v>
      </x:c>
      <x:c r="AG83" s="87" t="n">
        <x:f>IF(T83=0,0,AC83/T83/(1-'01 Base Costs'!$B$11))</x:f>
        <x:v>991052454.1292543</x:v>
      </x:c>
      <x:c r="AH83" s="88" t="str">
        <x:f>IF(AD83&gt;0,"PROFIT","LOSS")</x:f>
        <x:v>LOSS</x:v>
      </x:c>
      <x:c r="AI83" s="89" t="str">
        <x:v>Base 1M Omega; includes 100k SP bonus. MCT sale 30% off. Extractor bought on market with ISK.</x:v>
      </x:c>
    </x:row>
    <x:row r="84">
      <x:c r="A84" s="86" t="n">
        <x:v>82</x:v>
      </x:c>
      <x:c r="B84" s="88" t="str">
        <x:v>Base</x:v>
      </x:c>
      <x:c r="C84" s="88" t="str">
        <x:v>1M Omega + Bonus Items</x:v>
      </x:c>
      <x:c r="D84" s="88" t="n">
        <x:v>1</x:v>
      </x:c>
      <x:c r="E84" s="88" t="n">
        <x:v>3</x:v>
      </x:c>
      <x:c r="F84" s="88" t="str">
        <x:v>NES MCT 40% sale</x:v>
      </x:c>
      <x:c r="G84" s="88" t="str">
        <x:v>NES single extractor</x:v>
      </x:c>
      <x:c r="H84" s="87" t="n">
        <x:f>'01 Base Costs'!$B$21</x:f>
        <x:v>500</x:v>
      </x:c>
      <x:c r="I84" s="87" t="n">
        <x:f>'01 Base Costs'!$B$16*0.6</x:f>
        <x:v>291</x:v>
      </x:c>
      <x:c r="J84" s="87" t="n">
        <x:f>0</x:f>
        <x:v>0</x:v>
      </x:c>
      <x:c r="K84" s="87" t="n">
        <x:f>D84*(E84-1)*I84</x:f>
        <x:v>582</x:v>
      </x:c>
      <x:c r="L84" s="87" t="n">
        <x:f>D84*(E84-1)*J84</x:f>
        <x:v>0</x:v>
      </x:c>
      <x:c r="M84" s="87" t="n">
        <x:f>0</x:f>
        <x:v>0</x:v>
      </x:c>
      <x:c r="N84" s="87" t="n">
        <x:f>H84+K84+M84</x:f>
        <x:v>1082</x:v>
      </x:c>
      <x:c r="O84" s="87" t="n">
        <x:f>N84*'01 Base Costs'!$B$7+L84</x:f>
        <x:v>5204420000</x:v>
      </x:c>
      <x:c r="P84" s="87" t="n">
        <x:f>D84*E84</x:f>
        <x:v>3</x:v>
      </x:c>
      <x:c r="Q84" s="87" t="n">
        <x:f>P84*'01 Base Costs'!$B$12</x:f>
        <x:v>5832000</x:v>
      </x:c>
      <x:c r="R84" s="87" t="n">
        <x:f>'01 Base Costs'!$B$13</x:f>
        <x:v>100000</x:v>
      </x:c>
      <x:c r="S84" s="87" t="n">
        <x:f>Q84+R84</x:f>
        <x:v>5932000</x:v>
      </x:c>
      <x:c r="T84" s="141" t="n">
        <x:f>S84/'01 Base Costs'!$B$14</x:f>
        <x:v>11.864</x:v>
      </x:c>
      <x:c r="U84" s="87" t="n">
        <x:f>INT(T84)</x:f>
        <x:v>11</x:v>
      </x:c>
      <x:c r="V84" s="87" t="n">
        <x:f>S84-U84*'01 Base Costs'!$B$14</x:f>
        <x:v>432000</x:v>
      </x:c>
      <x:c r="W84" s="120" t="n">
        <x:f>'01 Base Costs'!$B$17</x:f>
        <x:v>140</x:v>
      </x:c>
      <x:c r="X84" s="120" t="n">
        <x:f>0</x:f>
        <x:v>0</x:v>
      </x:c>
      <x:c r="Y84" s="87" t="n">
        <x:f>T84*(W84*'01 Base Costs'!$B$7+X84)</x:f>
        <x:v>7989217600.000001</x:v>
      </x:c>
      <x:c r="Z84" s="87" t="n">
        <x:f>T84*'01 Base Costs'!$B$8</x:f>
        <x:v>8932405600</x:v>
      </x:c>
      <x:c r="AA84" s="87" t="n">
        <x:f>Z84*'01 Base Costs'!$B$11</x:f>
        <x:v>446620280</x:v>
      </x:c>
      <x:c r="AB84" s="87" t="n">
        <x:f>Z84-AA84</x:f>
        <x:v>8485785320</x:v>
      </x:c>
      <x:c r="AC84" s="87" t="n">
        <x:f>O84+Y84</x:f>
        <x:v>13193637600</x:v>
      </x:c>
      <x:c r="AD84" s="87" t="n">
        <x:f>AB84-AC84</x:f>
        <x:v>-4707852280</x:v>
      </x:c>
      <x:c r="AE84" s="87" t="n">
        <x:f>AD84/D84</x:f>
        <x:v>-4707852280</x:v>
      </x:c>
      <x:c r="AF84" s="87" t="n">
        <x:f>AD84/P84</x:f>
        <x:v>-1569284093.3333333</x:v>
      </x:c>
      <x:c r="AG84" s="87" t="n">
        <x:f>IF(T84=0,0,AC84/T84/(1-'01 Base Costs'!$B$11))</x:f>
        <x:v>1170603470.9159951</x:v>
      </x:c>
      <x:c r="AH84" s="88" t="str">
        <x:f>IF(AD84&gt;0,"PROFIT","LOSS")</x:f>
        <x:v>LOSS</x:v>
      </x:c>
      <x:c r="AI84" s="89" t="str">
        <x:v>Base 1M Omega; includes 100k SP bonus. MCT sale 40% off. Base single extractor.</x:v>
      </x:c>
    </x:row>
    <x:row r="85">
      <x:c r="A85" s="86" t="n">
        <x:v>83</x:v>
      </x:c>
      <x:c r="B85" s="88" t="str">
        <x:v>Base</x:v>
      </x:c>
      <x:c r="C85" s="88" t="str">
        <x:v>1M Omega + Bonus Items</x:v>
      </x:c>
      <x:c r="D85" s="88" t="n">
        <x:v>1</x:v>
      </x:c>
      <x:c r="E85" s="88" t="n">
        <x:v>3</x:v>
      </x:c>
      <x:c r="F85" s="88" t="str">
        <x:v>NES MCT 40% sale</x:v>
      </x:c>
      <x:c r="G85" s="88" t="str">
        <x:v>NES 5-pack extractor</x:v>
      </x:c>
      <x:c r="H85" s="87" t="n">
        <x:f>'01 Base Costs'!$B$21</x:f>
        <x:v>500</x:v>
      </x:c>
      <x:c r="I85" s="87" t="n">
        <x:f>'01 Base Costs'!$B$16*0.6</x:f>
        <x:v>291</x:v>
      </x:c>
      <x:c r="J85" s="87" t="n">
        <x:f>0</x:f>
        <x:v>0</x:v>
      </x:c>
      <x:c r="K85" s="87" t="n">
        <x:f>D85*(E85-1)*I85</x:f>
        <x:v>582</x:v>
      </x:c>
      <x:c r="L85" s="87" t="n">
        <x:f>D85*(E85-1)*J85</x:f>
        <x:v>0</x:v>
      </x:c>
      <x:c r="M85" s="87" t="n">
        <x:f>0</x:f>
        <x:v>0</x:v>
      </x:c>
      <x:c r="N85" s="87" t="n">
        <x:f>H85+K85+M85</x:f>
        <x:v>1082</x:v>
      </x:c>
      <x:c r="O85" s="87" t="n">
        <x:f>N85*'01 Base Costs'!$B$7+L85</x:f>
        <x:v>5204420000</x:v>
      </x:c>
      <x:c r="P85" s="87" t="n">
        <x:f>D85*E85</x:f>
        <x:v>3</x:v>
      </x:c>
      <x:c r="Q85" s="87" t="n">
        <x:f>P85*'01 Base Costs'!$B$12</x:f>
        <x:v>5832000</x:v>
      </x:c>
      <x:c r="R85" s="87" t="n">
        <x:f>'01 Base Costs'!$B$13</x:f>
        <x:v>100000</x:v>
      </x:c>
      <x:c r="S85" s="87" t="n">
        <x:f>Q85+R85</x:f>
        <x:v>5932000</x:v>
      </x:c>
      <x:c r="T85" s="141" t="n">
        <x:f>S85/'01 Base Costs'!$B$14</x:f>
        <x:v>11.864</x:v>
      </x:c>
      <x:c r="U85" s="87" t="n">
        <x:f>INT(T85)</x:f>
        <x:v>11</x:v>
      </x:c>
      <x:c r="V85" s="87" t="n">
        <x:f>S85-U85*'01 Base Costs'!$B$14</x:f>
        <x:v>432000</x:v>
      </x:c>
      <x:c r="W85" s="120" t="n">
        <x:f>'01 Base Costs'!$B$18/5</x:f>
        <x:v>126</x:v>
      </x:c>
      <x:c r="X85" s="120" t="n">
        <x:f>0</x:f>
        <x:v>0</x:v>
      </x:c>
      <x:c r="Y85" s="87" t="n">
        <x:f>T85*(W85*'01 Base Costs'!$B$7+X85)</x:f>
        <x:v>7190295840</x:v>
      </x:c>
      <x:c r="Z85" s="87" t="n">
        <x:f>T85*'01 Base Costs'!$B$8</x:f>
        <x:v>8932405600</x:v>
      </x:c>
      <x:c r="AA85" s="87" t="n">
        <x:f>Z85*'01 Base Costs'!$B$11</x:f>
        <x:v>446620280</x:v>
      </x:c>
      <x:c r="AB85" s="87" t="n">
        <x:f>Z85-AA85</x:f>
        <x:v>8485785320</x:v>
      </x:c>
      <x:c r="AC85" s="87" t="n">
        <x:f>O85+Y85</x:f>
        <x:v>12394715840</x:v>
      </x:c>
      <x:c r="AD85" s="87" t="n">
        <x:f>AB85-AC85</x:f>
        <x:v>-3908930520</x:v>
      </x:c>
      <x:c r="AE85" s="87" t="n">
        <x:f>AD85/D85</x:f>
        <x:v>-3908930520</x:v>
      </x:c>
      <x:c r="AF85" s="87" t="n">
        <x:f>AD85/P85</x:f>
        <x:v>-1302976840</x:v>
      </x:c>
      <x:c r="AG85" s="87" t="n">
        <x:f>IF(T85=0,0,AC85/T85/(1-'01 Base Costs'!$B$11))</x:f>
        <x:v>1099719260.3896794</x:v>
      </x:c>
      <x:c r="AH85" s="88" t="str">
        <x:f>IF(AD85&gt;0,"PROFIT","LOSS")</x:f>
        <x:v>LOSS</x:v>
      </x:c>
      <x:c r="AI85" s="89" t="str">
        <x:v>Base 1M Omega; includes 100k SP bonus. MCT sale 40% off. Base 5-pack average.</x:v>
      </x:c>
    </x:row>
    <x:row r="86">
      <x:c r="A86" s="86" t="n">
        <x:v>84</x:v>
      </x:c>
      <x:c r="B86" s="88" t="str">
        <x:v>Base</x:v>
      </x:c>
      <x:c r="C86" s="88" t="str">
        <x:v>1M Omega + Bonus Items</x:v>
      </x:c>
      <x:c r="D86" s="88" t="n">
        <x:v>1</x:v>
      </x:c>
      <x:c r="E86" s="88" t="n">
        <x:v>3</x:v>
      </x:c>
      <x:c r="F86" s="88" t="str">
        <x:v>NES MCT 40% sale</x:v>
      </x:c>
      <x:c r="G86" s="88" t="str">
        <x:v>NES 10-pack extractor</x:v>
      </x:c>
      <x:c r="H86" s="87" t="n">
        <x:f>'01 Base Costs'!$B$21</x:f>
        <x:v>500</x:v>
      </x:c>
      <x:c r="I86" s="87" t="n">
        <x:f>'01 Base Costs'!$B$16*0.6</x:f>
        <x:v>291</x:v>
      </x:c>
      <x:c r="J86" s="87" t="n">
        <x:f>0</x:f>
        <x:v>0</x:v>
      </x:c>
      <x:c r="K86" s="87" t="n">
        <x:f>D86*(E86-1)*I86</x:f>
        <x:v>582</x:v>
      </x:c>
      <x:c r="L86" s="87" t="n">
        <x:f>D86*(E86-1)*J86</x:f>
        <x:v>0</x:v>
      </x:c>
      <x:c r="M86" s="87" t="n">
        <x:f>0</x:f>
        <x:v>0</x:v>
      </x:c>
      <x:c r="N86" s="87" t="n">
        <x:f>H86+K86+M86</x:f>
        <x:v>1082</x:v>
      </x:c>
      <x:c r="O86" s="87" t="n">
        <x:f>N86*'01 Base Costs'!$B$7+L86</x:f>
        <x:v>5204420000</x:v>
      </x:c>
      <x:c r="P86" s="87" t="n">
        <x:f>D86*E86</x:f>
        <x:v>3</x:v>
      </x:c>
      <x:c r="Q86" s="87" t="n">
        <x:f>P86*'01 Base Costs'!$B$12</x:f>
        <x:v>5832000</x:v>
      </x:c>
      <x:c r="R86" s="87" t="n">
        <x:f>'01 Base Costs'!$B$13</x:f>
        <x:v>100000</x:v>
      </x:c>
      <x:c r="S86" s="87" t="n">
        <x:f>Q86+R86</x:f>
        <x:v>5932000</x:v>
      </x:c>
      <x:c r="T86" s="141" t="n">
        <x:f>S86/'01 Base Costs'!$B$14</x:f>
        <x:v>11.864</x:v>
      </x:c>
      <x:c r="U86" s="87" t="n">
        <x:f>INT(T86)</x:f>
        <x:v>11</x:v>
      </x:c>
      <x:c r="V86" s="87" t="n">
        <x:f>S86-U86*'01 Base Costs'!$B$14</x:f>
        <x:v>432000</x:v>
      </x:c>
      <x:c r="W86" s="120" t="n">
        <x:f>'01 Base Costs'!$B$19/10</x:f>
        <x:v>119</x:v>
      </x:c>
      <x:c r="X86" s="120" t="n">
        <x:f>0</x:f>
        <x:v>0</x:v>
      </x:c>
      <x:c r="Y86" s="87" t="n">
        <x:f>T86*(W86*'01 Base Costs'!$B$7+X86)</x:f>
        <x:v>6790834960</x:v>
      </x:c>
      <x:c r="Z86" s="87" t="n">
        <x:f>T86*'01 Base Costs'!$B$8</x:f>
        <x:v>8932405600</x:v>
      </x:c>
      <x:c r="AA86" s="87" t="n">
        <x:f>Z86*'01 Base Costs'!$B$11</x:f>
        <x:v>446620280</x:v>
      </x:c>
      <x:c r="AB86" s="87" t="n">
        <x:f>Z86-AA86</x:f>
        <x:v>8485785320</x:v>
      </x:c>
      <x:c r="AC86" s="87" t="n">
        <x:f>O86+Y86</x:f>
        <x:v>11995254960</x:v>
      </x:c>
      <x:c r="AD86" s="87" t="n">
        <x:f>AB86-AC86</x:f>
        <x:v>-3509469640</x:v>
      </x:c>
      <x:c r="AE86" s="87" t="n">
        <x:f>AD86/D86</x:f>
        <x:v>-3509469640</x:v>
      </x:c>
      <x:c r="AF86" s="87" t="n">
        <x:f>AD86/P86</x:f>
        <x:v>-1169823213.3333333</x:v>
      </x:c>
      <x:c r="AG86" s="87" t="n">
        <x:f>IF(T86=0,0,AC86/T86/(1-'01 Base Costs'!$B$11))</x:f>
        <x:v>1064277155.1265216</x:v>
      </x:c>
      <x:c r="AH86" s="88" t="str">
        <x:f>IF(AD86&gt;0,"PROFIT","LOSS")</x:f>
        <x:v>LOSS</x:v>
      </x:c>
      <x:c r="AI86" s="89" t="str">
        <x:v>Base 1M Omega; includes 100k SP bonus. MCT sale 40% off. Base 10-pack average.</x:v>
      </x:c>
    </x:row>
    <x:row r="87">
      <x:c r="A87" s="86" t="n">
        <x:v>85</x:v>
      </x:c>
      <x:c r="B87" s="88" t="str">
        <x:v>Base</x:v>
      </x:c>
      <x:c r="C87" s="88" t="str">
        <x:v>1M Omega + Bonus Items</x:v>
      </x:c>
      <x:c r="D87" s="88" t="n">
        <x:v>1</x:v>
      </x:c>
      <x:c r="E87" s="88" t="n">
        <x:v>3</x:v>
      </x:c>
      <x:c r="F87" s="88" t="str">
        <x:v>NES MCT 40% sale</x:v>
      </x:c>
      <x:c r="G87" s="88" t="str">
        <x:v>NES 50-pack extractor</x:v>
      </x:c>
      <x:c r="H87" s="87" t="n">
        <x:f>'01 Base Costs'!$B$21</x:f>
        <x:v>500</x:v>
      </x:c>
      <x:c r="I87" s="87" t="n">
        <x:f>'01 Base Costs'!$B$16*0.6</x:f>
        <x:v>291</x:v>
      </x:c>
      <x:c r="J87" s="87" t="n">
        <x:f>0</x:f>
        <x:v>0</x:v>
      </x:c>
      <x:c r="K87" s="87" t="n">
        <x:f>D87*(E87-1)*I87</x:f>
        <x:v>582</x:v>
      </x:c>
      <x:c r="L87" s="87" t="n">
        <x:f>D87*(E87-1)*J87</x:f>
        <x:v>0</x:v>
      </x:c>
      <x:c r="M87" s="87" t="n">
        <x:f>0</x:f>
        <x:v>0</x:v>
      </x:c>
      <x:c r="N87" s="87" t="n">
        <x:f>H87+K87+M87</x:f>
        <x:v>1082</x:v>
      </x:c>
      <x:c r="O87" s="87" t="n">
        <x:f>N87*'01 Base Costs'!$B$7+L87</x:f>
        <x:v>5204420000</x:v>
      </x:c>
      <x:c r="P87" s="87" t="n">
        <x:f>D87*E87</x:f>
        <x:v>3</x:v>
      </x:c>
      <x:c r="Q87" s="87" t="n">
        <x:f>P87*'01 Base Costs'!$B$12</x:f>
        <x:v>5832000</x:v>
      </x:c>
      <x:c r="R87" s="87" t="n">
        <x:f>'01 Base Costs'!$B$13</x:f>
        <x:v>100000</x:v>
      </x:c>
      <x:c r="S87" s="87" t="n">
        <x:f>Q87+R87</x:f>
        <x:v>5932000</x:v>
      </x:c>
      <x:c r="T87" s="141" t="n">
        <x:f>S87/'01 Base Costs'!$B$14</x:f>
        <x:v>11.864</x:v>
      </x:c>
      <x:c r="U87" s="87" t="n">
        <x:f>INT(T87)</x:f>
        <x:v>11</x:v>
      </x:c>
      <x:c r="V87" s="87" t="n">
        <x:f>S87-U87*'01 Base Costs'!$B$14</x:f>
        <x:v>432000</x:v>
      </x:c>
      <x:c r="W87" s="120" t="n">
        <x:f>'01 Base Costs'!$B$20/50</x:f>
        <x:v>112</x:v>
      </x:c>
      <x:c r="X87" s="120" t="n">
        <x:f>0</x:f>
        <x:v>0</x:v>
      </x:c>
      <x:c r="Y87" s="87" t="n">
        <x:f>T87*(W87*'01 Base Costs'!$B$7+X87)</x:f>
        <x:v>6391374080</x:v>
      </x:c>
      <x:c r="Z87" s="87" t="n">
        <x:f>T87*'01 Base Costs'!$B$8</x:f>
        <x:v>8932405600</x:v>
      </x:c>
      <x:c r="AA87" s="87" t="n">
        <x:f>Z87*'01 Base Costs'!$B$11</x:f>
        <x:v>446620280</x:v>
      </x:c>
      <x:c r="AB87" s="87" t="n">
        <x:f>Z87-AA87</x:f>
        <x:v>8485785320</x:v>
      </x:c>
      <x:c r="AC87" s="87" t="n">
        <x:f>O87+Y87</x:f>
        <x:v>11595794080</x:v>
      </x:c>
      <x:c r="AD87" s="87" t="n">
        <x:f>AB87-AC87</x:f>
        <x:v>-3110008760</x:v>
      </x:c>
      <x:c r="AE87" s="87" t="n">
        <x:f>AD87/D87</x:f>
        <x:v>-3110008760</x:v>
      </x:c>
      <x:c r="AF87" s="87" t="n">
        <x:f>AD87/P87</x:f>
        <x:v>-1036669586.6666666</x:v>
      </x:c>
      <x:c r="AG87" s="87" t="n">
        <x:f>IF(T87=0,0,AC87/T87/(1-'01 Base Costs'!$B$11))</x:f>
        <x:v>1028835049.8633637</x:v>
      </x:c>
      <x:c r="AH87" s="88" t="str">
        <x:f>IF(AD87&gt;0,"PROFIT","LOSS")</x:f>
        <x:v>LOSS</x:v>
      </x:c>
      <x:c r="AI87" s="89" t="str">
        <x:v>Base 1M Omega; includes 100k SP bonus. MCT sale 40% off. Base 50-pack average.</x:v>
      </x:c>
    </x:row>
    <x:row r="88">
      <x:c r="A88" s="86" t="n">
        <x:v>86</x:v>
      </x:c>
      <x:c r="B88" s="88" t="str">
        <x:v>Base</x:v>
      </x:c>
      <x:c r="C88" s="88" t="str">
        <x:v>1M Omega + Bonus Items</x:v>
      </x:c>
      <x:c r="D88" s="88" t="n">
        <x:v>1</x:v>
      </x:c>
      <x:c r="E88" s="88" t="n">
        <x:v>3</x:v>
      </x:c>
      <x:c r="F88" s="88" t="str">
        <x:v>NES MCT 40% sale</x:v>
      </x:c>
      <x:c r="G88" s="88" t="str">
        <x:v>NES 3-for-2 extractor sale</x:v>
      </x:c>
      <x:c r="H88" s="87" t="n">
        <x:f>'01 Base Costs'!$B$21</x:f>
        <x:v>500</x:v>
      </x:c>
      <x:c r="I88" s="87" t="n">
        <x:f>'01 Base Costs'!$B$16*0.6</x:f>
        <x:v>291</x:v>
      </x:c>
      <x:c r="J88" s="87" t="n">
        <x:f>0</x:f>
        <x:v>0</x:v>
      </x:c>
      <x:c r="K88" s="87" t="n">
        <x:f>D88*(E88-1)*I88</x:f>
        <x:v>582</x:v>
      </x:c>
      <x:c r="L88" s="87" t="n">
        <x:f>D88*(E88-1)*J88</x:f>
        <x:v>0</x:v>
      </x:c>
      <x:c r="M88" s="87" t="n">
        <x:f>0</x:f>
        <x:v>0</x:v>
      </x:c>
      <x:c r="N88" s="87" t="n">
        <x:f>H88+K88+M88</x:f>
        <x:v>1082</x:v>
      </x:c>
      <x:c r="O88" s="87" t="n">
        <x:f>N88*'01 Base Costs'!$B$7+L88</x:f>
        <x:v>5204420000</x:v>
      </x:c>
      <x:c r="P88" s="87" t="n">
        <x:f>D88*E88</x:f>
        <x:v>3</x:v>
      </x:c>
      <x:c r="Q88" s="87" t="n">
        <x:f>P88*'01 Base Costs'!$B$12</x:f>
        <x:v>5832000</x:v>
      </x:c>
      <x:c r="R88" s="87" t="n">
        <x:f>'01 Base Costs'!$B$13</x:f>
        <x:v>100000</x:v>
      </x:c>
      <x:c r="S88" s="87" t="n">
        <x:f>Q88+R88</x:f>
        <x:v>5932000</x:v>
      </x:c>
      <x:c r="T88" s="141" t="n">
        <x:f>S88/'01 Base Costs'!$B$14</x:f>
        <x:v>11.864</x:v>
      </x:c>
      <x:c r="U88" s="87" t="n">
        <x:f>INT(T88)</x:f>
        <x:v>11</x:v>
      </x:c>
      <x:c r="V88" s="87" t="n">
        <x:f>S88-U88*'01 Base Costs'!$B$14</x:f>
        <x:v>432000</x:v>
      </x:c>
      <x:c r="W88" s="120" t="n">
        <x:f>'01 Base Costs'!$B$17*2/3</x:f>
        <x:v>93.33333333333333</x:v>
      </x:c>
      <x:c r="X88" s="120" t="n">
        <x:f>0</x:f>
        <x:v>0</x:v>
      </x:c>
      <x:c r="Y88" s="87" t="n">
        <x:f>T88*(W88*'01 Base Costs'!$B$7+X88)</x:f>
        <x:v>5326145066.666667</x:v>
      </x:c>
      <x:c r="Z88" s="87" t="n">
        <x:f>T88*'01 Base Costs'!$B$8</x:f>
        <x:v>8932405600</x:v>
      </x:c>
      <x:c r="AA88" s="87" t="n">
        <x:f>Z88*'01 Base Costs'!$B$11</x:f>
        <x:v>446620280</x:v>
      </x:c>
      <x:c r="AB88" s="87" t="n">
        <x:f>Z88-AA88</x:f>
        <x:v>8485785320</x:v>
      </x:c>
      <x:c r="AC88" s="87" t="n">
        <x:f>O88+Y88</x:f>
        <x:v>10530565066.666668</x:v>
      </x:c>
      <x:c r="AD88" s="87" t="n">
        <x:f>AB88-AC88</x:f>
        <x:v>-2044779746.666668</x:v>
      </x:c>
      <x:c r="AE88" s="87" t="n">
        <x:f>AD88/D88</x:f>
        <x:v>-2044779746.666668</x:v>
      </x:c>
      <x:c r="AF88" s="87" t="n">
        <x:f>AD88/P88</x:f>
        <x:v>-681593248.8888893</x:v>
      </x:c>
      <x:c r="AG88" s="87" t="n">
        <x:f>IF(T88=0,0,AC88/T88/(1-'01 Base Costs'!$B$11))</x:f>
        <x:v>934322769.1616094</x:v>
      </x:c>
      <x:c r="AH88" s="88" t="str">
        <x:f>IF(AD88&gt;0,"PROFIT","LOSS")</x:f>
        <x:v>LOSS</x:v>
      </x:c>
      <x:c r="AI88" s="89" t="str">
        <x:v>Base 1M Omega; includes 100k SP bonus. MCT sale 40% off. Extractor 3-for-2 sale.</x:v>
      </x:c>
    </x:row>
    <x:row r="89">
      <x:c r="A89" s="86" t="n">
        <x:v>87</x:v>
      </x:c>
      <x:c r="B89" s="88" t="str">
        <x:v>Base</x:v>
      </x:c>
      <x:c r="C89" s="88" t="str">
        <x:v>1M Omega + Bonus Items</x:v>
      </x:c>
      <x:c r="D89" s="88" t="n">
        <x:v>1</x:v>
      </x:c>
      <x:c r="E89" s="88" t="n">
        <x:v>3</x:v>
      </x:c>
      <x:c r="F89" s="88" t="str">
        <x:v>NES MCT 40% sale</x:v>
      </x:c>
      <x:c r="G89" s="88" t="str">
        <x:v>NES 2-for-1 extractor sale</x:v>
      </x:c>
      <x:c r="H89" s="87" t="n">
        <x:f>'01 Base Costs'!$B$21</x:f>
        <x:v>500</x:v>
      </x:c>
      <x:c r="I89" s="87" t="n">
        <x:f>'01 Base Costs'!$B$16*0.6</x:f>
        <x:v>291</x:v>
      </x:c>
      <x:c r="J89" s="87" t="n">
        <x:f>0</x:f>
        <x:v>0</x:v>
      </x:c>
      <x:c r="K89" s="87" t="n">
        <x:f>D89*(E89-1)*I89</x:f>
        <x:v>582</x:v>
      </x:c>
      <x:c r="L89" s="87" t="n">
        <x:f>D89*(E89-1)*J89</x:f>
        <x:v>0</x:v>
      </x:c>
      <x:c r="M89" s="87" t="n">
        <x:f>0</x:f>
        <x:v>0</x:v>
      </x:c>
      <x:c r="N89" s="87" t="n">
        <x:f>H89+K89+M89</x:f>
        <x:v>1082</x:v>
      </x:c>
      <x:c r="O89" s="87" t="n">
        <x:f>N89*'01 Base Costs'!$B$7+L89</x:f>
        <x:v>5204420000</x:v>
      </x:c>
      <x:c r="P89" s="87" t="n">
        <x:f>D89*E89</x:f>
        <x:v>3</x:v>
      </x:c>
      <x:c r="Q89" s="87" t="n">
        <x:f>P89*'01 Base Costs'!$B$12</x:f>
        <x:v>5832000</x:v>
      </x:c>
      <x:c r="R89" s="87" t="n">
        <x:f>'01 Base Costs'!$B$13</x:f>
        <x:v>100000</x:v>
      </x:c>
      <x:c r="S89" s="87" t="n">
        <x:f>Q89+R89</x:f>
        <x:v>5932000</x:v>
      </x:c>
      <x:c r="T89" s="141" t="n">
        <x:f>S89/'01 Base Costs'!$B$14</x:f>
        <x:v>11.864</x:v>
      </x:c>
      <x:c r="U89" s="87" t="n">
        <x:f>INT(T89)</x:f>
        <x:v>11</x:v>
      </x:c>
      <x:c r="V89" s="87" t="n">
        <x:f>S89-U89*'01 Base Costs'!$B$14</x:f>
        <x:v>432000</x:v>
      </x:c>
      <x:c r="W89" s="120" t="n">
        <x:f>'01 Base Costs'!$B$17/2</x:f>
        <x:v>70</x:v>
      </x:c>
      <x:c r="X89" s="120" t="n">
        <x:f>0</x:f>
        <x:v>0</x:v>
      </x:c>
      <x:c r="Y89" s="87" t="n">
        <x:f>T89*(W89*'01 Base Costs'!$B$7+X89)</x:f>
        <x:v>3994608800.0000005</x:v>
      </x:c>
      <x:c r="Z89" s="87" t="n">
        <x:f>T89*'01 Base Costs'!$B$8</x:f>
        <x:v>8932405600</x:v>
      </x:c>
      <x:c r="AA89" s="87" t="n">
        <x:f>Z89*'01 Base Costs'!$B$11</x:f>
        <x:v>446620280</x:v>
      </x:c>
      <x:c r="AB89" s="87" t="n">
        <x:f>Z89-AA89</x:f>
        <x:v>8485785320</x:v>
      </x:c>
      <x:c r="AC89" s="87" t="n">
        <x:f>O89+Y89</x:f>
        <x:v>9199028800</x:v>
      </x:c>
      <x:c r="AD89" s="87" t="n">
        <x:f>AB89-AC89</x:f>
        <x:v>-713243480</x:v>
      </x:c>
      <x:c r="AE89" s="87" t="n">
        <x:f>AD89/D89</x:f>
        <x:v>-713243480</x:v>
      </x:c>
      <x:c r="AF89" s="87" t="n">
        <x:f>AD89/P89</x:f>
        <x:v>-237747826.66666666</x:v>
      </x:c>
      <x:c r="AG89" s="87" t="n">
        <x:f>IF(T89=0,0,AC89/T89/(1-'01 Base Costs'!$B$11))</x:f>
        <x:v>816182418.2844163</x:v>
      </x:c>
      <x:c r="AH89" s="88" t="str">
        <x:f>IF(AD89&gt;0,"PROFIT","LOSS")</x:f>
        <x:v>LOSS</x:v>
      </x:c>
      <x:c r="AI89" s="89" t="str">
        <x:v>Base 1M Omega; includes 100k SP bonus. MCT sale 40% off. Extractor 2-for-1 sale.</x:v>
      </x:c>
    </x:row>
    <x:row r="90">
      <x:c r="A90" s="86" t="n">
        <x:v>88</x:v>
      </x:c>
      <x:c r="B90" s="88" t="str">
        <x:v>Base</x:v>
      </x:c>
      <x:c r="C90" s="88" t="str">
        <x:v>1M Omega + Bonus Items</x:v>
      </x:c>
      <x:c r="D90" s="88" t="n">
        <x:v>1</x:v>
      </x:c>
      <x:c r="E90" s="88" t="n">
        <x:v>3</x:v>
      </x:c>
      <x:c r="F90" s="88" t="str">
        <x:v>NES MCT 40% sale</x:v>
      </x:c>
      <x:c r="G90" s="88" t="str">
        <x:v>NES 10-pack extractor 20% sale</x:v>
      </x:c>
      <x:c r="H90" s="87" t="n">
        <x:f>'01 Base Costs'!$B$21</x:f>
        <x:v>500</x:v>
      </x:c>
      <x:c r="I90" s="87" t="n">
        <x:f>'01 Base Costs'!$B$16*0.6</x:f>
        <x:v>291</x:v>
      </x:c>
      <x:c r="J90" s="87" t="n">
        <x:f>0</x:f>
        <x:v>0</x:v>
      </x:c>
      <x:c r="K90" s="87" t="n">
        <x:f>D90*(E90-1)*I90</x:f>
        <x:v>582</x:v>
      </x:c>
      <x:c r="L90" s="87" t="n">
        <x:f>D90*(E90-1)*J90</x:f>
        <x:v>0</x:v>
      </x:c>
      <x:c r="M90" s="87" t="n">
        <x:f>0</x:f>
        <x:v>0</x:v>
      </x:c>
      <x:c r="N90" s="87" t="n">
        <x:f>H90+K90+M90</x:f>
        <x:v>1082</x:v>
      </x:c>
      <x:c r="O90" s="87" t="n">
        <x:f>N90*'01 Base Costs'!$B$7+L90</x:f>
        <x:v>5204420000</x:v>
      </x:c>
      <x:c r="P90" s="87" t="n">
        <x:f>D90*E90</x:f>
        <x:v>3</x:v>
      </x:c>
      <x:c r="Q90" s="87" t="n">
        <x:f>P90*'01 Base Costs'!$B$12</x:f>
        <x:v>5832000</x:v>
      </x:c>
      <x:c r="R90" s="87" t="n">
        <x:f>'01 Base Costs'!$B$13</x:f>
        <x:v>100000</x:v>
      </x:c>
      <x:c r="S90" s="87" t="n">
        <x:f>Q90+R90</x:f>
        <x:v>5932000</x:v>
      </x:c>
      <x:c r="T90" s="141" t="n">
        <x:f>S90/'01 Base Costs'!$B$14</x:f>
        <x:v>11.864</x:v>
      </x:c>
      <x:c r="U90" s="87" t="n">
        <x:f>INT(T90)</x:f>
        <x:v>11</x:v>
      </x:c>
      <x:c r="V90" s="87" t="n">
        <x:f>S90-U90*'01 Base Costs'!$B$14</x:f>
        <x:v>432000</x:v>
      </x:c>
      <x:c r="W90" s="120" t="n">
        <x:f>'01 Base Costs'!$B$19*0.8/10</x:f>
        <x:v>95.2</x:v>
      </x:c>
      <x:c r="X90" s="120" t="n">
        <x:f>0</x:f>
        <x:v>0</x:v>
      </x:c>
      <x:c r="Y90" s="87" t="n">
        <x:f>T90*(W90*'01 Base Costs'!$B$7+X90)</x:f>
        <x:v>5432667968</x:v>
      </x:c>
      <x:c r="Z90" s="87" t="n">
        <x:f>T90*'01 Base Costs'!$B$8</x:f>
        <x:v>8932405600</x:v>
      </x:c>
      <x:c r="AA90" s="87" t="n">
        <x:f>Z90*'01 Base Costs'!$B$11</x:f>
        <x:v>446620280</x:v>
      </x:c>
      <x:c r="AB90" s="87" t="n">
        <x:f>Z90-AA90</x:f>
        <x:v>8485785320</x:v>
      </x:c>
      <x:c r="AC90" s="87" t="n">
        <x:f>O90+Y90</x:f>
        <x:v>10637087968</x:v>
      </x:c>
      <x:c r="AD90" s="87" t="n">
        <x:f>AB90-AC90</x:f>
        <x:v>-2151302648</x:v>
      </x:c>
      <x:c r="AE90" s="87" t="n">
        <x:f>AD90/D90</x:f>
        <x:v>-2151302648</x:v>
      </x:c>
      <x:c r="AF90" s="87" t="n">
        <x:f>AD90/P90</x:f>
        <x:v>-717100882.6666666</x:v>
      </x:c>
      <x:c r="AG90" s="87" t="n">
        <x:f>IF(T90=0,0,AC90/T90/(1-'01 Base Costs'!$B$11))</x:f>
        <x:v>943773997.2317848</x:v>
      </x:c>
      <x:c r="AH90" s="88" t="str">
        <x:f>IF(AD90&gt;0,"PROFIT","LOSS")</x:f>
        <x:v>LOSS</x:v>
      </x:c>
      <x:c r="AI90" s="89" t="str">
        <x:v>Base 1M Omega; includes 100k SP bonus. MCT sale 40% off. 10-pack at 20% off.</x:v>
      </x:c>
    </x:row>
    <x:row r="91">
      <x:c r="A91" s="86" t="n">
        <x:v>89</x:v>
      </x:c>
      <x:c r="B91" s="88" t="str">
        <x:v>Base</x:v>
      </x:c>
      <x:c r="C91" s="88" t="str">
        <x:v>1M Omega + Bonus Items</x:v>
      </x:c>
      <x:c r="D91" s="88" t="n">
        <x:v>1</x:v>
      </x:c>
      <x:c r="E91" s="88" t="n">
        <x:v>3</x:v>
      </x:c>
      <x:c r="F91" s="88" t="str">
        <x:v>NES MCT 40% sale</x:v>
      </x:c>
      <x:c r="G91" s="88" t="str">
        <x:v>NES 50-pack extractor 20% sale</x:v>
      </x:c>
      <x:c r="H91" s="87" t="n">
        <x:f>'01 Base Costs'!$B$21</x:f>
        <x:v>500</x:v>
      </x:c>
      <x:c r="I91" s="87" t="n">
        <x:f>'01 Base Costs'!$B$16*0.6</x:f>
        <x:v>291</x:v>
      </x:c>
      <x:c r="J91" s="87" t="n">
        <x:f>0</x:f>
        <x:v>0</x:v>
      </x:c>
      <x:c r="K91" s="87" t="n">
        <x:f>D91*(E91-1)*I91</x:f>
        <x:v>582</x:v>
      </x:c>
      <x:c r="L91" s="87" t="n">
        <x:f>D91*(E91-1)*J91</x:f>
        <x:v>0</x:v>
      </x:c>
      <x:c r="M91" s="87" t="n">
        <x:f>0</x:f>
        <x:v>0</x:v>
      </x:c>
      <x:c r="N91" s="87" t="n">
        <x:f>H91+K91+M91</x:f>
        <x:v>1082</x:v>
      </x:c>
      <x:c r="O91" s="87" t="n">
        <x:f>N91*'01 Base Costs'!$B$7+L91</x:f>
        <x:v>5204420000</x:v>
      </x:c>
      <x:c r="P91" s="87" t="n">
        <x:f>D91*E91</x:f>
        <x:v>3</x:v>
      </x:c>
      <x:c r="Q91" s="87" t="n">
        <x:f>P91*'01 Base Costs'!$B$12</x:f>
        <x:v>5832000</x:v>
      </x:c>
      <x:c r="R91" s="87" t="n">
        <x:f>'01 Base Costs'!$B$13</x:f>
        <x:v>100000</x:v>
      </x:c>
      <x:c r="S91" s="87" t="n">
        <x:f>Q91+R91</x:f>
        <x:v>5932000</x:v>
      </x:c>
      <x:c r="T91" s="141" t="n">
        <x:f>S91/'01 Base Costs'!$B$14</x:f>
        <x:v>11.864</x:v>
      </x:c>
      <x:c r="U91" s="87" t="n">
        <x:f>INT(T91)</x:f>
        <x:v>11</x:v>
      </x:c>
      <x:c r="V91" s="87" t="n">
        <x:f>S91-U91*'01 Base Costs'!$B$14</x:f>
        <x:v>432000</x:v>
      </x:c>
      <x:c r="W91" s="120" t="n">
        <x:f>'01 Base Costs'!$B$20*0.8/50</x:f>
        <x:v>89.6</x:v>
      </x:c>
      <x:c r="X91" s="120" t="n">
        <x:f>0</x:f>
        <x:v>0</x:v>
      </x:c>
      <x:c r="Y91" s="87" t="n">
        <x:f>T91*(W91*'01 Base Costs'!$B$7+X91)</x:f>
        <x:v>5113099264</x:v>
      </x:c>
      <x:c r="Z91" s="87" t="n">
        <x:f>T91*'01 Base Costs'!$B$8</x:f>
        <x:v>8932405600</x:v>
      </x:c>
      <x:c r="AA91" s="87" t="n">
        <x:f>Z91*'01 Base Costs'!$B$11</x:f>
        <x:v>446620280</x:v>
      </x:c>
      <x:c r="AB91" s="87" t="n">
        <x:f>Z91-AA91</x:f>
        <x:v>8485785320</x:v>
      </x:c>
      <x:c r="AC91" s="87" t="n">
        <x:f>O91+Y91</x:f>
        <x:v>10317519264</x:v>
      </x:c>
      <x:c r="AD91" s="87" t="n">
        <x:f>AB91-AC91</x:f>
        <x:v>-1831733944</x:v>
      </x:c>
      <x:c r="AE91" s="87" t="n">
        <x:f>AD91/D91</x:f>
        <x:v>-1831733944</x:v>
      </x:c>
      <x:c r="AF91" s="87" t="n">
        <x:f>AD91/P91</x:f>
        <x:v>-610577981.3333334</x:v>
      </x:c>
      <x:c r="AG91" s="87" t="n">
        <x:f>IF(T91=0,0,AC91/T91/(1-'01 Base Costs'!$B$11))</x:f>
        <x:v>915420313.0212585</x:v>
      </x:c>
      <x:c r="AH91" s="88" t="str">
        <x:f>IF(AD91&gt;0,"PROFIT","LOSS")</x:f>
        <x:v>LOSS</x:v>
      </x:c>
      <x:c r="AI91" s="89" t="str">
        <x:v>Base 1M Omega; includes 100k SP bonus. MCT sale 40% off. 50-pack at 20% off.</x:v>
      </x:c>
    </x:row>
    <x:row r="92">
      <x:c r="A92" s="86" t="n">
        <x:v>90</x:v>
      </x:c>
      <x:c r="B92" s="88" t="str">
        <x:v>Base</x:v>
      </x:c>
      <x:c r="C92" s="88" t="str">
        <x:v>1M Omega + Bonus Items</x:v>
      </x:c>
      <x:c r="D92" s="88" t="n">
        <x:v>1</x:v>
      </x:c>
      <x:c r="E92" s="88" t="n">
        <x:v>3</x:v>
      </x:c>
      <x:c r="F92" s="88" t="str">
        <x:v>NES MCT 40% sale</x:v>
      </x:c>
      <x:c r="G92" s="88" t="str">
        <x:v>Market Skill Extractor</x:v>
      </x:c>
      <x:c r="H92" s="87" t="n">
        <x:f>'01 Base Costs'!$B$21</x:f>
        <x:v>500</x:v>
      </x:c>
      <x:c r="I92" s="87" t="n">
        <x:f>'01 Base Costs'!$B$16*0.6</x:f>
        <x:v>291</x:v>
      </x:c>
      <x:c r="J92" s="87" t="n">
        <x:f>0</x:f>
        <x:v>0</x:v>
      </x:c>
      <x:c r="K92" s="87" t="n">
        <x:f>D92*(E92-1)*I92</x:f>
        <x:v>582</x:v>
      </x:c>
      <x:c r="L92" s="87" t="n">
        <x:f>D92*(E92-1)*J92</x:f>
        <x:v>0</x:v>
      </x:c>
      <x:c r="M92" s="87" t="n">
        <x:f>0</x:f>
        <x:v>0</x:v>
      </x:c>
      <x:c r="N92" s="87" t="n">
        <x:f>H92+K92+M92</x:f>
        <x:v>1082</x:v>
      </x:c>
      <x:c r="O92" s="87" t="n">
        <x:f>N92*'01 Base Costs'!$B$7+L92</x:f>
        <x:v>5204420000</x:v>
      </x:c>
      <x:c r="P92" s="87" t="n">
        <x:f>D92*E92</x:f>
        <x:v>3</x:v>
      </x:c>
      <x:c r="Q92" s="87" t="n">
        <x:f>P92*'01 Base Costs'!$B$12</x:f>
        <x:v>5832000</x:v>
      </x:c>
      <x:c r="R92" s="87" t="n">
        <x:f>'01 Base Costs'!$B$13</x:f>
        <x:v>100000</x:v>
      </x:c>
      <x:c r="S92" s="87" t="n">
        <x:f>Q92+R92</x:f>
        <x:v>5932000</x:v>
      </x:c>
      <x:c r="T92" s="141" t="n">
        <x:f>S92/'01 Base Costs'!$B$14</x:f>
        <x:v>11.864</x:v>
      </x:c>
      <x:c r="U92" s="87" t="n">
        <x:f>INT(T92)</x:f>
        <x:v>11</x:v>
      </x:c>
      <x:c r="V92" s="87" t="n">
        <x:f>S92-U92*'01 Base Costs'!$B$14</x:f>
        <x:v>432000</x:v>
      </x:c>
      <x:c r="W92" s="120" t="n">
        <x:f>0</x:f>
        <x:v>0</x:v>
      </x:c>
      <x:c r="X92" s="120" t="n">
        <x:f>'01 Base Costs'!$B$9</x:f>
        <x:v>463500000</x:v>
      </x:c>
      <x:c r="Y92" s="87" t="n">
        <x:f>T92*(W92*'01 Base Costs'!$B$7+X92)</x:f>
        <x:v>5498964000</x:v>
      </x:c>
      <x:c r="Z92" s="87" t="n">
        <x:f>T92*'01 Base Costs'!$B$8</x:f>
        <x:v>8932405600</x:v>
      </x:c>
      <x:c r="AA92" s="87" t="n">
        <x:f>Z92*'01 Base Costs'!$B$11</x:f>
        <x:v>446620280</x:v>
      </x:c>
      <x:c r="AB92" s="87" t="n">
        <x:f>Z92-AA92</x:f>
        <x:v>8485785320</x:v>
      </x:c>
      <x:c r="AC92" s="87" t="n">
        <x:f>O92+Y92</x:f>
        <x:v>10703384000</x:v>
      </x:c>
      <x:c r="AD92" s="87" t="n">
        <x:f>AB92-AC92</x:f>
        <x:v>-2217598680</x:v>
      </x:c>
      <x:c r="AE92" s="87" t="n">
        <x:f>AD92/D92</x:f>
        <x:v>-2217598680</x:v>
      </x:c>
      <x:c r="AF92" s="87" t="n">
        <x:f>AD92/P92</x:f>
        <x:v>-739199560</x:v>
      </x:c>
      <x:c r="AG92" s="87" t="n">
        <x:f>IF(T92=0,0,AC92/T92/(1-'01 Base Costs'!$B$11))</x:f>
        <x:v>949656102.4949427</x:v>
      </x:c>
      <x:c r="AH92" s="88" t="str">
        <x:f>IF(AD92&gt;0,"PROFIT","LOSS")</x:f>
        <x:v>LOSS</x:v>
      </x:c>
      <x:c r="AI92" s="89" t="str">
        <x:v>Base 1M Omega; includes 100k SP bonus. MCT sale 40% off. Extractor bought on market with ISK.</x:v>
      </x:c>
    </x:row>
    <x:row r="93">
      <x:c r="A93" s="86" t="n">
        <x:v>91</x:v>
      </x:c>
      <x:c r="B93" s="88" t="str">
        <x:v>Base</x:v>
      </x:c>
      <x:c r="C93" s="88" t="str">
        <x:v>1M Omega + Bonus Items</x:v>
      </x:c>
      <x:c r="D93" s="88" t="n">
        <x:v>1</x:v>
      </x:c>
      <x:c r="E93" s="88" t="n">
        <x:v>3</x:v>
      </x:c>
      <x:c r="F93" s="88" t="str">
        <x:v>Market MCT certificate</x:v>
      </x:c>
      <x:c r="G93" s="88" t="str">
        <x:v>NES single extractor</x:v>
      </x:c>
      <x:c r="H93" s="87" t="n">
        <x:f>'01 Base Costs'!$B$21</x:f>
        <x:v>500</x:v>
      </x:c>
      <x:c r="I93" s="87" t="n">
        <x:f>0</x:f>
        <x:v>0</x:v>
      </x:c>
      <x:c r="J93" s="87" t="n">
        <x:f>'01 Base Costs'!$B$10</x:f>
        <x:v>2332850000</x:v>
      </x:c>
      <x:c r="K93" s="87" t="n">
        <x:f>D93*(E93-1)*I93</x:f>
        <x:v>0</x:v>
      </x:c>
      <x:c r="L93" s="87" t="n">
        <x:f>D93*(E93-1)*J93</x:f>
        <x:v>4665700000</x:v>
      </x:c>
      <x:c r="M93" s="87" t="n">
        <x:f>0</x:f>
        <x:v>0</x:v>
      </x:c>
      <x:c r="N93" s="87" t="n">
        <x:f>H93+K93+M93</x:f>
        <x:v>500</x:v>
      </x:c>
      <x:c r="O93" s="87" t="n">
        <x:f>N93*'01 Base Costs'!$B$7+L93</x:f>
        <x:v>7070700000</x:v>
      </x:c>
      <x:c r="P93" s="87" t="n">
        <x:f>D93*E93</x:f>
        <x:v>3</x:v>
      </x:c>
      <x:c r="Q93" s="87" t="n">
        <x:f>P93*'01 Base Costs'!$B$12</x:f>
        <x:v>5832000</x:v>
      </x:c>
      <x:c r="R93" s="87" t="n">
        <x:f>'01 Base Costs'!$B$13</x:f>
        <x:v>100000</x:v>
      </x:c>
      <x:c r="S93" s="87" t="n">
        <x:f>Q93+R93</x:f>
        <x:v>5932000</x:v>
      </x:c>
      <x:c r="T93" s="141" t="n">
        <x:f>S93/'01 Base Costs'!$B$14</x:f>
        <x:v>11.864</x:v>
      </x:c>
      <x:c r="U93" s="87" t="n">
        <x:f>INT(T93)</x:f>
        <x:v>11</x:v>
      </x:c>
      <x:c r="V93" s="87" t="n">
        <x:f>S93-U93*'01 Base Costs'!$B$14</x:f>
        <x:v>432000</x:v>
      </x:c>
      <x:c r="W93" s="120" t="n">
        <x:f>'01 Base Costs'!$B$17</x:f>
        <x:v>140</x:v>
      </x:c>
      <x:c r="X93" s="120" t="n">
        <x:f>0</x:f>
        <x:v>0</x:v>
      </x:c>
      <x:c r="Y93" s="87" t="n">
        <x:f>T93*(W93*'01 Base Costs'!$B$7+X93)</x:f>
        <x:v>7989217600.000001</x:v>
      </x:c>
      <x:c r="Z93" s="87" t="n">
        <x:f>T93*'01 Base Costs'!$B$8</x:f>
        <x:v>8932405600</x:v>
      </x:c>
      <x:c r="AA93" s="87" t="n">
        <x:f>Z93*'01 Base Costs'!$B$11</x:f>
        <x:v>446620280</x:v>
      </x:c>
      <x:c r="AB93" s="87" t="n">
        <x:f>Z93-AA93</x:f>
        <x:v>8485785320</x:v>
      </x:c>
      <x:c r="AC93" s="87" t="n">
        <x:f>O93+Y93</x:f>
        <x:v>15059917600</x:v>
      </x:c>
      <x:c r="AD93" s="87" t="n">
        <x:f>AB93-AC93</x:f>
        <x:v>-6574132280</x:v>
      </x:c>
      <x:c r="AE93" s="87" t="n">
        <x:f>AD93/D93</x:f>
        <x:v>-6574132280</x:v>
      </x:c>
      <x:c r="AF93" s="87" t="n">
        <x:f>AD93/P93</x:f>
        <x:v>-2191377426.6666665</x:v>
      </x:c>
      <x:c r="AG93" s="87" t="n">
        <x:f>IF(T93=0,0,AC93/T93/(1-'01 Base Costs'!$B$11))</x:f>
        <x:v>1336188877.4532418</x:v>
      </x:c>
      <x:c r="AH93" s="88" t="str">
        <x:f>IF(AD93&gt;0,"PROFIT","LOSS")</x:f>
        <x:v>LOSS</x:v>
      </x:c>
      <x:c r="AI93" s="89" t="str">
        <x:v>Base 1M Omega; includes 100k SP bonus. MCT certificate bought with ISK market price. Base single extractor.</x:v>
      </x:c>
    </x:row>
    <x:row r="94">
      <x:c r="A94" s="86" t="n">
        <x:v>92</x:v>
      </x:c>
      <x:c r="B94" s="88" t="str">
        <x:v>Base</x:v>
      </x:c>
      <x:c r="C94" s="88" t="str">
        <x:v>1M Omega + Bonus Items</x:v>
      </x:c>
      <x:c r="D94" s="88" t="n">
        <x:v>1</x:v>
      </x:c>
      <x:c r="E94" s="88" t="n">
        <x:v>3</x:v>
      </x:c>
      <x:c r="F94" s="88" t="str">
        <x:v>Market MCT certificate</x:v>
      </x:c>
      <x:c r="G94" s="88" t="str">
        <x:v>NES 5-pack extractor</x:v>
      </x:c>
      <x:c r="H94" s="87" t="n">
        <x:f>'01 Base Costs'!$B$21</x:f>
        <x:v>500</x:v>
      </x:c>
      <x:c r="I94" s="87" t="n">
        <x:f>0</x:f>
        <x:v>0</x:v>
      </x:c>
      <x:c r="J94" s="87" t="n">
        <x:f>'01 Base Costs'!$B$10</x:f>
        <x:v>2332850000</x:v>
      </x:c>
      <x:c r="K94" s="87" t="n">
        <x:f>D94*(E94-1)*I94</x:f>
        <x:v>0</x:v>
      </x:c>
      <x:c r="L94" s="87" t="n">
        <x:f>D94*(E94-1)*J94</x:f>
        <x:v>4665700000</x:v>
      </x:c>
      <x:c r="M94" s="87" t="n">
        <x:f>0</x:f>
        <x:v>0</x:v>
      </x:c>
      <x:c r="N94" s="87" t="n">
        <x:f>H94+K94+M94</x:f>
        <x:v>500</x:v>
      </x:c>
      <x:c r="O94" s="87" t="n">
        <x:f>N94*'01 Base Costs'!$B$7+L94</x:f>
        <x:v>7070700000</x:v>
      </x:c>
      <x:c r="P94" s="87" t="n">
        <x:f>D94*E94</x:f>
        <x:v>3</x:v>
      </x:c>
      <x:c r="Q94" s="87" t="n">
        <x:f>P94*'01 Base Costs'!$B$12</x:f>
        <x:v>5832000</x:v>
      </x:c>
      <x:c r="R94" s="87" t="n">
        <x:f>'01 Base Costs'!$B$13</x:f>
        <x:v>100000</x:v>
      </x:c>
      <x:c r="S94" s="87" t="n">
        <x:f>Q94+R94</x:f>
        <x:v>5932000</x:v>
      </x:c>
      <x:c r="T94" s="141" t="n">
        <x:f>S94/'01 Base Costs'!$B$14</x:f>
        <x:v>11.864</x:v>
      </x:c>
      <x:c r="U94" s="87" t="n">
        <x:f>INT(T94)</x:f>
        <x:v>11</x:v>
      </x:c>
      <x:c r="V94" s="87" t="n">
        <x:f>S94-U94*'01 Base Costs'!$B$14</x:f>
        <x:v>432000</x:v>
      </x:c>
      <x:c r="W94" s="120" t="n">
        <x:f>'01 Base Costs'!$B$18/5</x:f>
        <x:v>126</x:v>
      </x:c>
      <x:c r="X94" s="120" t="n">
        <x:f>0</x:f>
        <x:v>0</x:v>
      </x:c>
      <x:c r="Y94" s="87" t="n">
        <x:f>T94*(W94*'01 Base Costs'!$B$7+X94)</x:f>
        <x:v>7190295840</x:v>
      </x:c>
      <x:c r="Z94" s="87" t="n">
        <x:f>T94*'01 Base Costs'!$B$8</x:f>
        <x:v>8932405600</x:v>
      </x:c>
      <x:c r="AA94" s="87" t="n">
        <x:f>Z94*'01 Base Costs'!$B$11</x:f>
        <x:v>446620280</x:v>
      </x:c>
      <x:c r="AB94" s="87" t="n">
        <x:f>Z94-AA94</x:f>
        <x:v>8485785320</x:v>
      </x:c>
      <x:c r="AC94" s="87" t="n">
        <x:f>O94+Y94</x:f>
        <x:v>14260995840</x:v>
      </x:c>
      <x:c r="AD94" s="87" t="n">
        <x:f>AB94-AC94</x:f>
        <x:v>-5775210520</x:v>
      </x:c>
      <x:c r="AE94" s="87" t="n">
        <x:f>AD94/D94</x:f>
        <x:v>-5775210520</x:v>
      </x:c>
      <x:c r="AF94" s="87" t="n">
        <x:f>AD94/P94</x:f>
        <x:v>-1925070173.3333333</x:v>
      </x:c>
      <x:c r="AG94" s="87" t="n">
        <x:f>IF(T94=0,0,AC94/T94/(1-'01 Base Costs'!$B$11))</x:f>
        <x:v>1265304666.9269261</x:v>
      </x:c>
      <x:c r="AH94" s="88" t="str">
        <x:f>IF(AD94&gt;0,"PROFIT","LOSS")</x:f>
        <x:v>LOSS</x:v>
      </x:c>
      <x:c r="AI94" s="89" t="str">
        <x:v>Base 1M Omega; includes 100k SP bonus. MCT certificate bought with ISK market price. Base 5-pack average.</x:v>
      </x:c>
    </x:row>
    <x:row r="95">
      <x:c r="A95" s="86" t="n">
        <x:v>93</x:v>
      </x:c>
      <x:c r="B95" s="88" t="str">
        <x:v>Base</x:v>
      </x:c>
      <x:c r="C95" s="88" t="str">
        <x:v>1M Omega + Bonus Items</x:v>
      </x:c>
      <x:c r="D95" s="88" t="n">
        <x:v>1</x:v>
      </x:c>
      <x:c r="E95" s="88" t="n">
        <x:v>3</x:v>
      </x:c>
      <x:c r="F95" s="88" t="str">
        <x:v>Market MCT certificate</x:v>
      </x:c>
      <x:c r="G95" s="88" t="str">
        <x:v>NES 10-pack extractor</x:v>
      </x:c>
      <x:c r="H95" s="87" t="n">
        <x:f>'01 Base Costs'!$B$21</x:f>
        <x:v>500</x:v>
      </x:c>
      <x:c r="I95" s="87" t="n">
        <x:f>0</x:f>
        <x:v>0</x:v>
      </x:c>
      <x:c r="J95" s="87" t="n">
        <x:f>'01 Base Costs'!$B$10</x:f>
        <x:v>2332850000</x:v>
      </x:c>
      <x:c r="K95" s="87" t="n">
        <x:f>D95*(E95-1)*I95</x:f>
        <x:v>0</x:v>
      </x:c>
      <x:c r="L95" s="87" t="n">
        <x:f>D95*(E95-1)*J95</x:f>
        <x:v>4665700000</x:v>
      </x:c>
      <x:c r="M95" s="87" t="n">
        <x:f>0</x:f>
        <x:v>0</x:v>
      </x:c>
      <x:c r="N95" s="87" t="n">
        <x:f>H95+K95+M95</x:f>
        <x:v>500</x:v>
      </x:c>
      <x:c r="O95" s="87" t="n">
        <x:f>N95*'01 Base Costs'!$B$7+L95</x:f>
        <x:v>7070700000</x:v>
      </x:c>
      <x:c r="P95" s="87" t="n">
        <x:f>D95*E95</x:f>
        <x:v>3</x:v>
      </x:c>
      <x:c r="Q95" s="87" t="n">
        <x:f>P95*'01 Base Costs'!$B$12</x:f>
        <x:v>5832000</x:v>
      </x:c>
      <x:c r="R95" s="87" t="n">
        <x:f>'01 Base Costs'!$B$13</x:f>
        <x:v>100000</x:v>
      </x:c>
      <x:c r="S95" s="87" t="n">
        <x:f>Q95+R95</x:f>
        <x:v>5932000</x:v>
      </x:c>
      <x:c r="T95" s="141" t="n">
        <x:f>S95/'01 Base Costs'!$B$14</x:f>
        <x:v>11.864</x:v>
      </x:c>
      <x:c r="U95" s="87" t="n">
        <x:f>INT(T95)</x:f>
        <x:v>11</x:v>
      </x:c>
      <x:c r="V95" s="87" t="n">
        <x:f>S95-U95*'01 Base Costs'!$B$14</x:f>
        <x:v>432000</x:v>
      </x:c>
      <x:c r="W95" s="120" t="n">
        <x:f>'01 Base Costs'!$B$19/10</x:f>
        <x:v>119</x:v>
      </x:c>
      <x:c r="X95" s="120" t="n">
        <x:f>0</x:f>
        <x:v>0</x:v>
      </x:c>
      <x:c r="Y95" s="87" t="n">
        <x:f>T95*(W95*'01 Base Costs'!$B$7+X95)</x:f>
        <x:v>6790834960</x:v>
      </x:c>
      <x:c r="Z95" s="87" t="n">
        <x:f>T95*'01 Base Costs'!$B$8</x:f>
        <x:v>8932405600</x:v>
      </x:c>
      <x:c r="AA95" s="87" t="n">
        <x:f>Z95*'01 Base Costs'!$B$11</x:f>
        <x:v>446620280</x:v>
      </x:c>
      <x:c r="AB95" s="87" t="n">
        <x:f>Z95-AA95</x:f>
        <x:v>8485785320</x:v>
      </x:c>
      <x:c r="AC95" s="87" t="n">
        <x:f>O95+Y95</x:f>
        <x:v>13861534960</x:v>
      </x:c>
      <x:c r="AD95" s="87" t="n">
        <x:f>AB95-AC95</x:f>
        <x:v>-5375749640</x:v>
      </x:c>
      <x:c r="AE95" s="87" t="n">
        <x:f>AD95/D95</x:f>
        <x:v>-5375749640</x:v>
      </x:c>
      <x:c r="AF95" s="87" t="n">
        <x:f>AD95/P95</x:f>
        <x:v>-1791916546.6666667</x:v>
      </x:c>
      <x:c r="AG95" s="87" t="n">
        <x:f>IF(T95=0,0,AC95/T95/(1-'01 Base Costs'!$B$11))</x:f>
        <x:v>1229862561.6637683</x:v>
      </x:c>
      <x:c r="AH95" s="88" t="str">
        <x:f>IF(AD95&gt;0,"PROFIT","LOSS")</x:f>
        <x:v>LOSS</x:v>
      </x:c>
      <x:c r="AI95" s="89" t="str">
        <x:v>Base 1M Omega; includes 100k SP bonus. MCT certificate bought with ISK market price. Base 10-pack average.</x:v>
      </x:c>
    </x:row>
    <x:row r="96">
      <x:c r="A96" s="86" t="n">
        <x:v>94</x:v>
      </x:c>
      <x:c r="B96" s="88" t="str">
        <x:v>Base</x:v>
      </x:c>
      <x:c r="C96" s="88" t="str">
        <x:v>1M Omega + Bonus Items</x:v>
      </x:c>
      <x:c r="D96" s="88" t="n">
        <x:v>1</x:v>
      </x:c>
      <x:c r="E96" s="88" t="n">
        <x:v>3</x:v>
      </x:c>
      <x:c r="F96" s="88" t="str">
        <x:v>Market MCT certificate</x:v>
      </x:c>
      <x:c r="G96" s="88" t="str">
        <x:v>NES 50-pack extractor</x:v>
      </x:c>
      <x:c r="H96" s="87" t="n">
        <x:f>'01 Base Costs'!$B$21</x:f>
        <x:v>500</x:v>
      </x:c>
      <x:c r="I96" s="87" t="n">
        <x:f>0</x:f>
        <x:v>0</x:v>
      </x:c>
      <x:c r="J96" s="87" t="n">
        <x:f>'01 Base Costs'!$B$10</x:f>
        <x:v>2332850000</x:v>
      </x:c>
      <x:c r="K96" s="87" t="n">
        <x:f>D96*(E96-1)*I96</x:f>
        <x:v>0</x:v>
      </x:c>
      <x:c r="L96" s="87" t="n">
        <x:f>D96*(E96-1)*J96</x:f>
        <x:v>4665700000</x:v>
      </x:c>
      <x:c r="M96" s="87" t="n">
        <x:f>0</x:f>
        <x:v>0</x:v>
      </x:c>
      <x:c r="N96" s="87" t="n">
        <x:f>H96+K96+M96</x:f>
        <x:v>500</x:v>
      </x:c>
      <x:c r="O96" s="87" t="n">
        <x:f>N96*'01 Base Costs'!$B$7+L96</x:f>
        <x:v>7070700000</x:v>
      </x:c>
      <x:c r="P96" s="87" t="n">
        <x:f>D96*E96</x:f>
        <x:v>3</x:v>
      </x:c>
      <x:c r="Q96" s="87" t="n">
        <x:f>P96*'01 Base Costs'!$B$12</x:f>
        <x:v>5832000</x:v>
      </x:c>
      <x:c r="R96" s="87" t="n">
        <x:f>'01 Base Costs'!$B$13</x:f>
        <x:v>100000</x:v>
      </x:c>
      <x:c r="S96" s="87" t="n">
        <x:f>Q96+R96</x:f>
        <x:v>5932000</x:v>
      </x:c>
      <x:c r="T96" s="141" t="n">
        <x:f>S96/'01 Base Costs'!$B$14</x:f>
        <x:v>11.864</x:v>
      </x:c>
      <x:c r="U96" s="87" t="n">
        <x:f>INT(T96)</x:f>
        <x:v>11</x:v>
      </x:c>
      <x:c r="V96" s="87" t="n">
        <x:f>S96-U96*'01 Base Costs'!$B$14</x:f>
        <x:v>432000</x:v>
      </x:c>
      <x:c r="W96" s="120" t="n">
        <x:f>'01 Base Costs'!$B$20/50</x:f>
        <x:v>112</x:v>
      </x:c>
      <x:c r="X96" s="120" t="n">
        <x:f>0</x:f>
        <x:v>0</x:v>
      </x:c>
      <x:c r="Y96" s="87" t="n">
        <x:f>T96*(W96*'01 Base Costs'!$B$7+X96)</x:f>
        <x:v>6391374080</x:v>
      </x:c>
      <x:c r="Z96" s="87" t="n">
        <x:f>T96*'01 Base Costs'!$B$8</x:f>
        <x:v>8932405600</x:v>
      </x:c>
      <x:c r="AA96" s="87" t="n">
        <x:f>Z96*'01 Base Costs'!$B$11</x:f>
        <x:v>446620280</x:v>
      </x:c>
      <x:c r="AB96" s="87" t="n">
        <x:f>Z96-AA96</x:f>
        <x:v>8485785320</x:v>
      </x:c>
      <x:c r="AC96" s="87" t="n">
        <x:f>O96+Y96</x:f>
        <x:v>13462074080</x:v>
      </x:c>
      <x:c r="AD96" s="87" t="n">
        <x:f>AB96-AC96</x:f>
        <x:v>-4976288760</x:v>
      </x:c>
      <x:c r="AE96" s="87" t="n">
        <x:f>AD96/D96</x:f>
        <x:v>-4976288760</x:v>
      </x:c>
      <x:c r="AF96" s="87" t="n">
        <x:f>AD96/P96</x:f>
        <x:v>-1658762920</x:v>
      </x:c>
      <x:c r="AG96" s="87" t="n">
        <x:f>IF(T96=0,0,AC96/T96/(1-'01 Base Costs'!$B$11))</x:f>
        <x:v>1194420456.4006102</x:v>
      </x:c>
      <x:c r="AH96" s="88" t="str">
        <x:f>IF(AD96&gt;0,"PROFIT","LOSS")</x:f>
        <x:v>LOSS</x:v>
      </x:c>
      <x:c r="AI96" s="89" t="str">
        <x:v>Base 1M Omega; includes 100k SP bonus. MCT certificate bought with ISK market price. Base 50-pack average.</x:v>
      </x:c>
    </x:row>
    <x:row r="97">
      <x:c r="A97" s="86" t="n">
        <x:v>95</x:v>
      </x:c>
      <x:c r="B97" s="88" t="str">
        <x:v>Base</x:v>
      </x:c>
      <x:c r="C97" s="88" t="str">
        <x:v>1M Omega + Bonus Items</x:v>
      </x:c>
      <x:c r="D97" s="88" t="n">
        <x:v>1</x:v>
      </x:c>
      <x:c r="E97" s="88" t="n">
        <x:v>3</x:v>
      </x:c>
      <x:c r="F97" s="88" t="str">
        <x:v>Market MCT certificate</x:v>
      </x:c>
      <x:c r="G97" s="88" t="str">
        <x:v>NES 3-for-2 extractor sale</x:v>
      </x:c>
      <x:c r="H97" s="87" t="n">
        <x:f>'01 Base Costs'!$B$21</x:f>
        <x:v>500</x:v>
      </x:c>
      <x:c r="I97" s="87" t="n">
        <x:f>0</x:f>
        <x:v>0</x:v>
      </x:c>
      <x:c r="J97" s="87" t="n">
        <x:f>'01 Base Costs'!$B$10</x:f>
        <x:v>2332850000</x:v>
      </x:c>
      <x:c r="K97" s="87" t="n">
        <x:f>D97*(E97-1)*I97</x:f>
        <x:v>0</x:v>
      </x:c>
      <x:c r="L97" s="87" t="n">
        <x:f>D97*(E97-1)*J97</x:f>
        <x:v>4665700000</x:v>
      </x:c>
      <x:c r="M97" s="87" t="n">
        <x:f>0</x:f>
        <x:v>0</x:v>
      </x:c>
      <x:c r="N97" s="87" t="n">
        <x:f>H97+K97+M97</x:f>
        <x:v>500</x:v>
      </x:c>
      <x:c r="O97" s="87" t="n">
        <x:f>N97*'01 Base Costs'!$B$7+L97</x:f>
        <x:v>7070700000</x:v>
      </x:c>
      <x:c r="P97" s="87" t="n">
        <x:f>D97*E97</x:f>
        <x:v>3</x:v>
      </x:c>
      <x:c r="Q97" s="87" t="n">
        <x:f>P97*'01 Base Costs'!$B$12</x:f>
        <x:v>5832000</x:v>
      </x:c>
      <x:c r="R97" s="87" t="n">
        <x:f>'01 Base Costs'!$B$13</x:f>
        <x:v>100000</x:v>
      </x:c>
      <x:c r="S97" s="87" t="n">
        <x:f>Q97+R97</x:f>
        <x:v>5932000</x:v>
      </x:c>
      <x:c r="T97" s="141" t="n">
        <x:f>S97/'01 Base Costs'!$B$14</x:f>
        <x:v>11.864</x:v>
      </x:c>
      <x:c r="U97" s="87" t="n">
        <x:f>INT(T97)</x:f>
        <x:v>11</x:v>
      </x:c>
      <x:c r="V97" s="87" t="n">
        <x:f>S97-U97*'01 Base Costs'!$B$14</x:f>
        <x:v>432000</x:v>
      </x:c>
      <x:c r="W97" s="120" t="n">
        <x:f>'01 Base Costs'!$B$17*2/3</x:f>
        <x:v>93.33333333333333</x:v>
      </x:c>
      <x:c r="X97" s="120" t="n">
        <x:f>0</x:f>
        <x:v>0</x:v>
      </x:c>
      <x:c r="Y97" s="87" t="n">
        <x:f>T97*(W97*'01 Base Costs'!$B$7+X97)</x:f>
        <x:v>5326145066.666667</x:v>
      </x:c>
      <x:c r="Z97" s="87" t="n">
        <x:f>T97*'01 Base Costs'!$B$8</x:f>
        <x:v>8932405600</x:v>
      </x:c>
      <x:c r="AA97" s="87" t="n">
        <x:f>Z97*'01 Base Costs'!$B$11</x:f>
        <x:v>446620280</x:v>
      </x:c>
      <x:c r="AB97" s="87" t="n">
        <x:f>Z97-AA97</x:f>
        <x:v>8485785320</x:v>
      </x:c>
      <x:c r="AC97" s="87" t="n">
        <x:f>O97+Y97</x:f>
        <x:v>12396845066.666668</x:v>
      </x:c>
      <x:c r="AD97" s="87" t="n">
        <x:f>AB97-AC97</x:f>
        <x:v>-3911059746.666668</x:v>
      </x:c>
      <x:c r="AE97" s="87" t="n">
        <x:f>AD97/D97</x:f>
        <x:v>-3911059746.666668</x:v>
      </x:c>
      <x:c r="AF97" s="87" t="n">
        <x:f>AD97/P97</x:f>
        <x:v>-1303686582.2222226</x:v>
      </x:c>
      <x:c r="AG97" s="87" t="n">
        <x:f>IF(T97=0,0,AC97/T97/(1-'01 Base Costs'!$B$11))</x:f>
        <x:v>1099908175.698856</x:v>
      </x:c>
      <x:c r="AH97" s="88" t="str">
        <x:f>IF(AD97&gt;0,"PROFIT","LOSS")</x:f>
        <x:v>LOSS</x:v>
      </x:c>
      <x:c r="AI97" s="89" t="str">
        <x:v>Base 1M Omega; includes 100k SP bonus. MCT certificate bought with ISK market price. Extractor 3-for-2 sale.</x:v>
      </x:c>
    </x:row>
    <x:row r="98">
      <x:c r="A98" s="86" t="n">
        <x:v>96</x:v>
      </x:c>
      <x:c r="B98" s="88" t="str">
        <x:v>Base</x:v>
      </x:c>
      <x:c r="C98" s="88" t="str">
        <x:v>1M Omega + Bonus Items</x:v>
      </x:c>
      <x:c r="D98" s="88" t="n">
        <x:v>1</x:v>
      </x:c>
      <x:c r="E98" s="88" t="n">
        <x:v>3</x:v>
      </x:c>
      <x:c r="F98" s="88" t="str">
        <x:v>Market MCT certificate</x:v>
      </x:c>
      <x:c r="G98" s="88" t="str">
        <x:v>NES 2-for-1 extractor sale</x:v>
      </x:c>
      <x:c r="H98" s="87" t="n">
        <x:f>'01 Base Costs'!$B$21</x:f>
        <x:v>500</x:v>
      </x:c>
      <x:c r="I98" s="87" t="n">
        <x:f>0</x:f>
        <x:v>0</x:v>
      </x:c>
      <x:c r="J98" s="87" t="n">
        <x:f>'01 Base Costs'!$B$10</x:f>
        <x:v>2332850000</x:v>
      </x:c>
      <x:c r="K98" s="87" t="n">
        <x:f>D98*(E98-1)*I98</x:f>
        <x:v>0</x:v>
      </x:c>
      <x:c r="L98" s="87" t="n">
        <x:f>D98*(E98-1)*J98</x:f>
        <x:v>4665700000</x:v>
      </x:c>
      <x:c r="M98" s="87" t="n">
        <x:f>0</x:f>
        <x:v>0</x:v>
      </x:c>
      <x:c r="N98" s="87" t="n">
        <x:f>H98+K98+M98</x:f>
        <x:v>500</x:v>
      </x:c>
      <x:c r="O98" s="87" t="n">
        <x:f>N98*'01 Base Costs'!$B$7+L98</x:f>
        <x:v>7070700000</x:v>
      </x:c>
      <x:c r="P98" s="87" t="n">
        <x:f>D98*E98</x:f>
        <x:v>3</x:v>
      </x:c>
      <x:c r="Q98" s="87" t="n">
        <x:f>P98*'01 Base Costs'!$B$12</x:f>
        <x:v>5832000</x:v>
      </x:c>
      <x:c r="R98" s="87" t="n">
        <x:f>'01 Base Costs'!$B$13</x:f>
        <x:v>100000</x:v>
      </x:c>
      <x:c r="S98" s="87" t="n">
        <x:f>Q98+R98</x:f>
        <x:v>5932000</x:v>
      </x:c>
      <x:c r="T98" s="141" t="n">
        <x:f>S98/'01 Base Costs'!$B$14</x:f>
        <x:v>11.864</x:v>
      </x:c>
      <x:c r="U98" s="87" t="n">
        <x:f>INT(T98)</x:f>
        <x:v>11</x:v>
      </x:c>
      <x:c r="V98" s="87" t="n">
        <x:f>S98-U98*'01 Base Costs'!$B$14</x:f>
        <x:v>432000</x:v>
      </x:c>
      <x:c r="W98" s="120" t="n">
        <x:f>'01 Base Costs'!$B$17/2</x:f>
        <x:v>70</x:v>
      </x:c>
      <x:c r="X98" s="120" t="n">
        <x:f>0</x:f>
        <x:v>0</x:v>
      </x:c>
      <x:c r="Y98" s="87" t="n">
        <x:f>T98*(W98*'01 Base Costs'!$B$7+X98)</x:f>
        <x:v>3994608800.0000005</x:v>
      </x:c>
      <x:c r="Z98" s="87" t="n">
        <x:f>T98*'01 Base Costs'!$B$8</x:f>
        <x:v>8932405600</x:v>
      </x:c>
      <x:c r="AA98" s="87" t="n">
        <x:f>Z98*'01 Base Costs'!$B$11</x:f>
        <x:v>446620280</x:v>
      </x:c>
      <x:c r="AB98" s="87" t="n">
        <x:f>Z98-AA98</x:f>
        <x:v>8485785320</x:v>
      </x:c>
      <x:c r="AC98" s="87" t="n">
        <x:f>O98+Y98</x:f>
        <x:v>11065308800</x:v>
      </x:c>
      <x:c r="AD98" s="87" t="n">
        <x:f>AB98-AC98</x:f>
        <x:v>-2579523480</x:v>
      </x:c>
      <x:c r="AE98" s="87" t="n">
        <x:f>AD98/D98</x:f>
        <x:v>-2579523480</x:v>
      </x:c>
      <x:c r="AF98" s="87" t="n">
        <x:f>AD98/P98</x:f>
        <x:v>-859841160</x:v>
      </x:c>
      <x:c r="AG98" s="87" t="n">
        <x:f>IF(T98=0,0,AC98/T98/(1-'01 Base Costs'!$B$11))</x:f>
        <x:v>981767824.821663</x:v>
      </x:c>
      <x:c r="AH98" s="88" t="str">
        <x:f>IF(AD98&gt;0,"PROFIT","LOSS")</x:f>
        <x:v>LOSS</x:v>
      </x:c>
      <x:c r="AI98" s="89" t="str">
        <x:v>Base 1M Omega; includes 100k SP bonus. MCT certificate bought with ISK market price. Extractor 2-for-1 sale.</x:v>
      </x:c>
    </x:row>
    <x:row r="99">
      <x:c r="A99" s="86" t="n">
        <x:v>97</x:v>
      </x:c>
      <x:c r="B99" s="88" t="str">
        <x:v>Base</x:v>
      </x:c>
      <x:c r="C99" s="88" t="str">
        <x:v>1M Omega + Bonus Items</x:v>
      </x:c>
      <x:c r="D99" s="88" t="n">
        <x:v>1</x:v>
      </x:c>
      <x:c r="E99" s="88" t="n">
        <x:v>3</x:v>
      </x:c>
      <x:c r="F99" s="88" t="str">
        <x:v>Market MCT certificate</x:v>
      </x:c>
      <x:c r="G99" s="88" t="str">
        <x:v>NES 10-pack extractor 20% sale</x:v>
      </x:c>
      <x:c r="H99" s="87" t="n">
        <x:f>'01 Base Costs'!$B$21</x:f>
        <x:v>500</x:v>
      </x:c>
      <x:c r="I99" s="87" t="n">
        <x:f>0</x:f>
        <x:v>0</x:v>
      </x:c>
      <x:c r="J99" s="87" t="n">
        <x:f>'01 Base Costs'!$B$10</x:f>
        <x:v>2332850000</x:v>
      </x:c>
      <x:c r="K99" s="87" t="n">
        <x:f>D99*(E99-1)*I99</x:f>
        <x:v>0</x:v>
      </x:c>
      <x:c r="L99" s="87" t="n">
        <x:f>D99*(E99-1)*J99</x:f>
        <x:v>4665700000</x:v>
      </x:c>
      <x:c r="M99" s="87" t="n">
        <x:f>0</x:f>
        <x:v>0</x:v>
      </x:c>
      <x:c r="N99" s="87" t="n">
        <x:f>H99+K99+M99</x:f>
        <x:v>500</x:v>
      </x:c>
      <x:c r="O99" s="87" t="n">
        <x:f>N99*'01 Base Costs'!$B$7+L99</x:f>
        <x:v>7070700000</x:v>
      </x:c>
      <x:c r="P99" s="87" t="n">
        <x:f>D99*E99</x:f>
        <x:v>3</x:v>
      </x:c>
      <x:c r="Q99" s="87" t="n">
        <x:f>P99*'01 Base Costs'!$B$12</x:f>
        <x:v>5832000</x:v>
      </x:c>
      <x:c r="R99" s="87" t="n">
        <x:f>'01 Base Costs'!$B$13</x:f>
        <x:v>100000</x:v>
      </x:c>
      <x:c r="S99" s="87" t="n">
        <x:f>Q99+R99</x:f>
        <x:v>5932000</x:v>
      </x:c>
      <x:c r="T99" s="141" t="n">
        <x:f>S99/'01 Base Costs'!$B$14</x:f>
        <x:v>11.864</x:v>
      </x:c>
      <x:c r="U99" s="87" t="n">
        <x:f>INT(T99)</x:f>
        <x:v>11</x:v>
      </x:c>
      <x:c r="V99" s="87" t="n">
        <x:f>S99-U99*'01 Base Costs'!$B$14</x:f>
        <x:v>432000</x:v>
      </x:c>
      <x:c r="W99" s="120" t="n">
        <x:f>'01 Base Costs'!$B$19*0.8/10</x:f>
        <x:v>95.2</x:v>
      </x:c>
      <x:c r="X99" s="120" t="n">
        <x:f>0</x:f>
        <x:v>0</x:v>
      </x:c>
      <x:c r="Y99" s="87" t="n">
        <x:f>T99*(W99*'01 Base Costs'!$B$7+X99)</x:f>
        <x:v>5432667968</x:v>
      </x:c>
      <x:c r="Z99" s="87" t="n">
        <x:f>T99*'01 Base Costs'!$B$8</x:f>
        <x:v>8932405600</x:v>
      </x:c>
      <x:c r="AA99" s="87" t="n">
        <x:f>Z99*'01 Base Costs'!$B$11</x:f>
        <x:v>446620280</x:v>
      </x:c>
      <x:c r="AB99" s="87" t="n">
        <x:f>Z99-AA99</x:f>
        <x:v>8485785320</x:v>
      </x:c>
      <x:c r="AC99" s="87" t="n">
        <x:f>O99+Y99</x:f>
        <x:v>12503367968</x:v>
      </x:c>
      <x:c r="AD99" s="87" t="n">
        <x:f>AB99-AC99</x:f>
        <x:v>-4017582648</x:v>
      </x:c>
      <x:c r="AE99" s="87" t="n">
        <x:f>AD99/D99</x:f>
        <x:v>-4017582648</x:v>
      </x:c>
      <x:c r="AF99" s="87" t="n">
        <x:f>AD99/P99</x:f>
        <x:v>-1339194216</x:v>
      </x:c>
      <x:c r="AG99" s="87" t="n">
        <x:f>IF(T99=0,0,AC99/T99/(1-'01 Base Costs'!$B$11))</x:f>
        <x:v>1109359403.7690315</x:v>
      </x:c>
      <x:c r="AH99" s="88" t="str">
        <x:f>IF(AD99&gt;0,"PROFIT","LOSS")</x:f>
        <x:v>LOSS</x:v>
      </x:c>
      <x:c r="AI99" s="89" t="str">
        <x:v>Base 1M Omega; includes 100k SP bonus. MCT certificate bought with ISK market price. 10-pack at 20% off.</x:v>
      </x:c>
    </x:row>
    <x:row r="100">
      <x:c r="A100" s="86" t="n">
        <x:v>98</x:v>
      </x:c>
      <x:c r="B100" s="88" t="str">
        <x:v>Base</x:v>
      </x:c>
      <x:c r="C100" s="88" t="str">
        <x:v>1M Omega + Bonus Items</x:v>
      </x:c>
      <x:c r="D100" s="88" t="n">
        <x:v>1</x:v>
      </x:c>
      <x:c r="E100" s="88" t="n">
        <x:v>3</x:v>
      </x:c>
      <x:c r="F100" s="88" t="str">
        <x:v>Market MCT certificate</x:v>
      </x:c>
      <x:c r="G100" s="88" t="str">
        <x:v>NES 50-pack extractor 20% sale</x:v>
      </x:c>
      <x:c r="H100" s="87" t="n">
        <x:f>'01 Base Costs'!$B$21</x:f>
        <x:v>500</x:v>
      </x:c>
      <x:c r="I100" s="87" t="n">
        <x:f>0</x:f>
        <x:v>0</x:v>
      </x:c>
      <x:c r="J100" s="87" t="n">
        <x:f>'01 Base Costs'!$B$10</x:f>
        <x:v>2332850000</x:v>
      </x:c>
      <x:c r="K100" s="87" t="n">
        <x:f>D100*(E100-1)*I100</x:f>
        <x:v>0</x:v>
      </x:c>
      <x:c r="L100" s="87" t="n">
        <x:f>D100*(E100-1)*J100</x:f>
        <x:v>4665700000</x:v>
      </x:c>
      <x:c r="M100" s="87" t="n">
        <x:f>0</x:f>
        <x:v>0</x:v>
      </x:c>
      <x:c r="N100" s="87" t="n">
        <x:f>H100+K100+M100</x:f>
        <x:v>500</x:v>
      </x:c>
      <x:c r="O100" s="87" t="n">
        <x:f>N100*'01 Base Costs'!$B$7+L100</x:f>
        <x:v>7070700000</x:v>
      </x:c>
      <x:c r="P100" s="87" t="n">
        <x:f>D100*E100</x:f>
        <x:v>3</x:v>
      </x:c>
      <x:c r="Q100" s="87" t="n">
        <x:f>P100*'01 Base Costs'!$B$12</x:f>
        <x:v>5832000</x:v>
      </x:c>
      <x:c r="R100" s="87" t="n">
        <x:f>'01 Base Costs'!$B$13</x:f>
        <x:v>100000</x:v>
      </x:c>
      <x:c r="S100" s="87" t="n">
        <x:f>Q100+R100</x:f>
        <x:v>5932000</x:v>
      </x:c>
      <x:c r="T100" s="141" t="n">
        <x:f>S100/'01 Base Costs'!$B$14</x:f>
        <x:v>11.864</x:v>
      </x:c>
      <x:c r="U100" s="87" t="n">
        <x:f>INT(T100)</x:f>
        <x:v>11</x:v>
      </x:c>
      <x:c r="V100" s="87" t="n">
        <x:f>S100-U100*'01 Base Costs'!$B$14</x:f>
        <x:v>432000</x:v>
      </x:c>
      <x:c r="W100" s="120" t="n">
        <x:f>'01 Base Costs'!$B$20*0.8/50</x:f>
        <x:v>89.6</x:v>
      </x:c>
      <x:c r="X100" s="120" t="n">
        <x:f>0</x:f>
        <x:v>0</x:v>
      </x:c>
      <x:c r="Y100" s="87" t="n">
        <x:f>T100*(W100*'01 Base Costs'!$B$7+X100)</x:f>
        <x:v>5113099264</x:v>
      </x:c>
      <x:c r="Z100" s="87" t="n">
        <x:f>T100*'01 Base Costs'!$B$8</x:f>
        <x:v>8932405600</x:v>
      </x:c>
      <x:c r="AA100" s="87" t="n">
        <x:f>Z100*'01 Base Costs'!$B$11</x:f>
        <x:v>446620280</x:v>
      </x:c>
      <x:c r="AB100" s="87" t="n">
        <x:f>Z100-AA100</x:f>
        <x:v>8485785320</x:v>
      </x:c>
      <x:c r="AC100" s="87" t="n">
        <x:f>O100+Y100</x:f>
        <x:v>12183799264</x:v>
      </x:c>
      <x:c r="AD100" s="87" t="n">
        <x:f>AB100-AC100</x:f>
        <x:v>-3698013944</x:v>
      </x:c>
      <x:c r="AE100" s="87" t="n">
        <x:f>AD100/D100</x:f>
        <x:v>-3698013944</x:v>
      </x:c>
      <x:c r="AF100" s="87" t="n">
        <x:f>AD100/P100</x:f>
        <x:v>-1232671314.6666667</x:v>
      </x:c>
      <x:c r="AG100" s="87" t="n">
        <x:f>IF(T100=0,0,AC100/T100/(1-'01 Base Costs'!$B$11))</x:f>
        <x:v>1081005719.5585053</x:v>
      </x:c>
      <x:c r="AH100" s="88" t="str">
        <x:f>IF(AD100&gt;0,"PROFIT","LOSS")</x:f>
        <x:v>LOSS</x:v>
      </x:c>
      <x:c r="AI100" s="89" t="str">
        <x:v>Base 1M Omega; includes 100k SP bonus. MCT certificate bought with ISK market price. 50-pack at 20% off.</x:v>
      </x:c>
    </x:row>
    <x:row r="101">
      <x:c r="A101" s="86" t="n">
        <x:v>99</x:v>
      </x:c>
      <x:c r="B101" s="88" t="str">
        <x:v>Base</x:v>
      </x:c>
      <x:c r="C101" s="88" t="str">
        <x:v>1M Omega + Bonus Items</x:v>
      </x:c>
      <x:c r="D101" s="88" t="n">
        <x:v>1</x:v>
      </x:c>
      <x:c r="E101" s="88" t="n">
        <x:v>3</x:v>
      </x:c>
      <x:c r="F101" s="88" t="str">
        <x:v>Market MCT certificate</x:v>
      </x:c>
      <x:c r="G101" s="88" t="str">
        <x:v>Market Skill Extractor</x:v>
      </x:c>
      <x:c r="H101" s="87" t="n">
        <x:f>'01 Base Costs'!$B$21</x:f>
        <x:v>500</x:v>
      </x:c>
      <x:c r="I101" s="87" t="n">
        <x:f>0</x:f>
        <x:v>0</x:v>
      </x:c>
      <x:c r="J101" s="87" t="n">
        <x:f>'01 Base Costs'!$B$10</x:f>
        <x:v>2332850000</x:v>
      </x:c>
      <x:c r="K101" s="87" t="n">
        <x:f>D101*(E101-1)*I101</x:f>
        <x:v>0</x:v>
      </x:c>
      <x:c r="L101" s="87" t="n">
        <x:f>D101*(E101-1)*J101</x:f>
        <x:v>4665700000</x:v>
      </x:c>
      <x:c r="M101" s="87" t="n">
        <x:f>0</x:f>
        <x:v>0</x:v>
      </x:c>
      <x:c r="N101" s="87" t="n">
        <x:f>H101+K101+M101</x:f>
        <x:v>500</x:v>
      </x:c>
      <x:c r="O101" s="87" t="n">
        <x:f>N101*'01 Base Costs'!$B$7+L101</x:f>
        <x:v>7070700000</x:v>
      </x:c>
      <x:c r="P101" s="87" t="n">
        <x:f>D101*E101</x:f>
        <x:v>3</x:v>
      </x:c>
      <x:c r="Q101" s="87" t="n">
        <x:f>P101*'01 Base Costs'!$B$12</x:f>
        <x:v>5832000</x:v>
      </x:c>
      <x:c r="R101" s="87" t="n">
        <x:f>'01 Base Costs'!$B$13</x:f>
        <x:v>100000</x:v>
      </x:c>
      <x:c r="S101" s="87" t="n">
        <x:f>Q101+R101</x:f>
        <x:v>5932000</x:v>
      </x:c>
      <x:c r="T101" s="141" t="n">
        <x:f>S101/'01 Base Costs'!$B$14</x:f>
        <x:v>11.864</x:v>
      </x:c>
      <x:c r="U101" s="87" t="n">
        <x:f>INT(T101)</x:f>
        <x:v>11</x:v>
      </x:c>
      <x:c r="V101" s="87" t="n">
        <x:f>S101-U101*'01 Base Costs'!$B$14</x:f>
        <x:v>432000</x:v>
      </x:c>
      <x:c r="W101" s="120" t="n">
        <x:f>0</x:f>
        <x:v>0</x:v>
      </x:c>
      <x:c r="X101" s="120" t="n">
        <x:f>'01 Base Costs'!$B$9</x:f>
        <x:v>463500000</x:v>
      </x:c>
      <x:c r="Y101" s="87" t="n">
        <x:f>T101*(W101*'01 Base Costs'!$B$7+X101)</x:f>
        <x:v>5498964000</x:v>
      </x:c>
      <x:c r="Z101" s="87" t="n">
        <x:f>T101*'01 Base Costs'!$B$8</x:f>
        <x:v>8932405600</x:v>
      </x:c>
      <x:c r="AA101" s="87" t="n">
        <x:f>Z101*'01 Base Costs'!$B$11</x:f>
        <x:v>446620280</x:v>
      </x:c>
      <x:c r="AB101" s="87" t="n">
        <x:f>Z101-AA101</x:f>
        <x:v>8485785320</x:v>
      </x:c>
      <x:c r="AC101" s="87" t="n">
        <x:f>O101+Y101</x:f>
        <x:v>12569664000</x:v>
      </x:c>
      <x:c r="AD101" s="87" t="n">
        <x:f>AB101-AC101</x:f>
        <x:v>-4083878680</x:v>
      </x:c>
      <x:c r="AE101" s="87" t="n">
        <x:f>AD101/D101</x:f>
        <x:v>-4083878680</x:v>
      </x:c>
      <x:c r="AF101" s="87" t="n">
        <x:f>AD101/P101</x:f>
        <x:v>-1361292893.3333333</x:v>
      </x:c>
      <x:c r="AG101" s="87" t="n">
        <x:f>IF(T101=0,0,AC101/T101/(1-'01 Base Costs'!$B$11))</x:f>
        <x:v>1115241509.0321894</x:v>
      </x:c>
      <x:c r="AH101" s="88" t="str">
        <x:f>IF(AD101&gt;0,"PROFIT","LOSS")</x:f>
        <x:v>LOSS</x:v>
      </x:c>
      <x:c r="AI101" s="89" t="str">
        <x:v>Base 1M Omega; includes 100k SP bonus. MCT certificate bought with ISK market price. Extractor bought on market with ISK.</x:v>
      </x:c>
    </x:row>
    <x:row r="102">
      <x:c r="A102" s="86" t="n">
        <x:v>100</x:v>
      </x:c>
      <x:c r="B102" s="88" t="str">
        <x:v>Base</x:v>
      </x:c>
      <x:c r="C102" s="88" t="str">
        <x:v>3M Omega</x:v>
      </x:c>
      <x:c r="D102" s="88" t="n">
        <x:v>3</x:v>
      </x:c>
      <x:c r="E102" s="88" t="n">
        <x:v>1</x:v>
      </x:c>
      <x:c r="F102" s="88" t="str">
        <x:v>No MCT</x:v>
      </x:c>
      <x:c r="G102" s="88" t="str">
        <x:v>NES single extractor</x:v>
      </x:c>
      <x:c r="H102" s="87" t="n">
        <x:f>'01 Base Costs'!$B$22</x:f>
        <x:v>1200</x:v>
      </x:c>
      <x:c r="I102" s="87" t="n">
        <x:f>0</x:f>
        <x:v>0</x:v>
      </x:c>
      <x:c r="J102" s="87" t="n">
        <x:f>0</x:f>
        <x:v>0</x:v>
      </x:c>
      <x:c r="K102" s="87" t="n">
        <x:f>D102*(E102-1)*I102</x:f>
        <x:v>0</x:v>
      </x:c>
      <x:c r="L102" s="87" t="n">
        <x:f>D102*(E102-1)*J102</x:f>
        <x:v>0</x:v>
      </x:c>
      <x:c r="M102" s="87" t="n">
        <x:f>0</x:f>
        <x:v>0</x:v>
      </x:c>
      <x:c r="N102" s="87" t="n">
        <x:f>H102+K102+M102</x:f>
        <x:v>1200</x:v>
      </x:c>
      <x:c r="O102" s="87" t="n">
        <x:f>N102*'01 Base Costs'!$B$7+L102</x:f>
        <x:v>5772000000</x:v>
      </x:c>
      <x:c r="P102" s="87" t="n">
        <x:f>D102*E102</x:f>
        <x:v>3</x:v>
      </x:c>
      <x:c r="Q102" s="87" t="n">
        <x:f>P102*'01 Base Costs'!$B$12</x:f>
        <x:v>5832000</x:v>
      </x:c>
      <x:c r="R102" s="87" t="n">
        <x:f>0</x:f>
        <x:v>0</x:v>
      </x:c>
      <x:c r="S102" s="87" t="n">
        <x:f>Q102+R102</x:f>
        <x:v>5832000</x:v>
      </x:c>
      <x:c r="T102" s="141" t="n">
        <x:f>S102/'01 Base Costs'!$B$14</x:f>
        <x:v>11.664</x:v>
      </x:c>
      <x:c r="U102" s="87" t="n">
        <x:f>INT(T102)</x:f>
        <x:v>11</x:v>
      </x:c>
      <x:c r="V102" s="87" t="n">
        <x:f>S102-U102*'01 Base Costs'!$B$14</x:f>
        <x:v>332000</x:v>
      </x:c>
      <x:c r="W102" s="120" t="n">
        <x:f>'01 Base Costs'!$B$17</x:f>
        <x:v>140</x:v>
      </x:c>
      <x:c r="X102" s="120" t="n">
        <x:f>0</x:f>
        <x:v>0</x:v>
      </x:c>
      <x:c r="Y102" s="87" t="n">
        <x:f>T102*(W102*'01 Base Costs'!$B$7+X102)</x:f>
        <x:v>7854537600</x:v>
      </x:c>
      <x:c r="Z102" s="87" t="n">
        <x:f>T102*'01 Base Costs'!$B$8</x:f>
        <x:v>8781825600</x:v>
      </x:c>
      <x:c r="AA102" s="87" t="n">
        <x:f>Z102*'01 Base Costs'!$B$11</x:f>
        <x:v>439091280</x:v>
      </x:c>
      <x:c r="AB102" s="87" t="n">
        <x:f>Z102-AA102</x:f>
        <x:v>8342734320</x:v>
      </x:c>
      <x:c r="AC102" s="87" t="n">
        <x:f>O102+Y102</x:f>
        <x:v>13626537600</x:v>
      </x:c>
      <x:c r="AD102" s="87" t="n">
        <x:f>AB102-AC102</x:f>
        <x:v>-5283803280</x:v>
      </x:c>
      <x:c r="AE102" s="87" t="n">
        <x:f>AD102/D102</x:f>
        <x:v>-1761267760</x:v>
      </x:c>
      <x:c r="AF102" s="87" t="n">
        <x:f>AD102/P102</x:f>
        <x:v>-1761267760</x:v>
      </x:c>
      <x:c r="AG102" s="87" t="n">
        <x:f>IF(T102=0,0,AC102/T102/(1-'01 Base Costs'!$B$11))</x:f>
        <x:v>1229743123.2401993</x:v>
      </x:c>
      <x:c r="AH102" s="88" t="str">
        <x:f>IF(AD102&gt;0,"PROFIT","LOSS")</x:f>
        <x:v>LOSS</x:v>
      </x:c>
      <x:c r="AI102" s="89" t="str">
        <x:v>Base 3M Omega. One training queue only. Base single extractor.</x:v>
      </x:c>
    </x:row>
    <x:row r="103">
      <x:c r="A103" s="86" t="n">
        <x:v>101</x:v>
      </x:c>
      <x:c r="B103" s="88" t="str">
        <x:v>Base</x:v>
      </x:c>
      <x:c r="C103" s="88" t="str">
        <x:v>3M Omega</x:v>
      </x:c>
      <x:c r="D103" s="88" t="n">
        <x:v>3</x:v>
      </x:c>
      <x:c r="E103" s="88" t="n">
        <x:v>1</x:v>
      </x:c>
      <x:c r="F103" s="88" t="str">
        <x:v>No MCT</x:v>
      </x:c>
      <x:c r="G103" s="88" t="str">
        <x:v>NES 5-pack extractor</x:v>
      </x:c>
      <x:c r="H103" s="87" t="n">
        <x:f>'01 Base Costs'!$B$22</x:f>
        <x:v>1200</x:v>
      </x:c>
      <x:c r="I103" s="87" t="n">
        <x:f>0</x:f>
        <x:v>0</x:v>
      </x:c>
      <x:c r="J103" s="87" t="n">
        <x:f>0</x:f>
        <x:v>0</x:v>
      </x:c>
      <x:c r="K103" s="87" t="n">
        <x:f>D103*(E103-1)*I103</x:f>
        <x:v>0</x:v>
      </x:c>
      <x:c r="L103" s="87" t="n">
        <x:f>D103*(E103-1)*J103</x:f>
        <x:v>0</x:v>
      </x:c>
      <x:c r="M103" s="87" t="n">
        <x:f>0</x:f>
        <x:v>0</x:v>
      </x:c>
      <x:c r="N103" s="87" t="n">
        <x:f>H103+K103+M103</x:f>
        <x:v>1200</x:v>
      </x:c>
      <x:c r="O103" s="87" t="n">
        <x:f>N103*'01 Base Costs'!$B$7+L103</x:f>
        <x:v>5772000000</x:v>
      </x:c>
      <x:c r="P103" s="87" t="n">
        <x:f>D103*E103</x:f>
        <x:v>3</x:v>
      </x:c>
      <x:c r="Q103" s="87" t="n">
        <x:f>P103*'01 Base Costs'!$B$12</x:f>
        <x:v>5832000</x:v>
      </x:c>
      <x:c r="R103" s="87" t="n">
        <x:f>0</x:f>
        <x:v>0</x:v>
      </x:c>
      <x:c r="S103" s="87" t="n">
        <x:f>Q103+R103</x:f>
        <x:v>5832000</x:v>
      </x:c>
      <x:c r="T103" s="141" t="n">
        <x:f>S103/'01 Base Costs'!$B$14</x:f>
        <x:v>11.664</x:v>
      </x:c>
      <x:c r="U103" s="87" t="n">
        <x:f>INT(T103)</x:f>
        <x:v>11</x:v>
      </x:c>
      <x:c r="V103" s="87" t="n">
        <x:f>S103-U103*'01 Base Costs'!$B$14</x:f>
        <x:v>332000</x:v>
      </x:c>
      <x:c r="W103" s="120" t="n">
        <x:f>'01 Base Costs'!$B$18/5</x:f>
        <x:v>126</x:v>
      </x:c>
      <x:c r="X103" s="120" t="n">
        <x:f>0</x:f>
        <x:v>0</x:v>
      </x:c>
      <x:c r="Y103" s="87" t="n">
        <x:f>T103*(W103*'01 Base Costs'!$B$7+X103)</x:f>
        <x:v>7069083840</x:v>
      </x:c>
      <x:c r="Z103" s="87" t="n">
        <x:f>T103*'01 Base Costs'!$B$8</x:f>
        <x:v>8781825600</x:v>
      </x:c>
      <x:c r="AA103" s="87" t="n">
        <x:f>Z103*'01 Base Costs'!$B$11</x:f>
        <x:v>439091280</x:v>
      </x:c>
      <x:c r="AB103" s="87" t="n">
        <x:f>Z103-AA103</x:f>
        <x:v>8342734320</x:v>
      </x:c>
      <x:c r="AC103" s="87" t="n">
        <x:f>O103+Y103</x:f>
        <x:v>12841083840</x:v>
      </x:c>
      <x:c r="AD103" s="87" t="n">
        <x:f>AB103-AC103</x:f>
        <x:v>-4498349520</x:v>
      </x:c>
      <x:c r="AE103" s="87" t="n">
        <x:f>AD103/D103</x:f>
        <x:v>-1499449840</x:v>
      </x:c>
      <x:c r="AF103" s="87" t="n">
        <x:f>AD103/P103</x:f>
        <x:v>-1499449840</x:v>
      </x:c>
      <x:c r="AG103" s="87" t="n">
        <x:f>IF(T103=0,0,AC103/T103/(1-'01 Base Costs'!$B$11))</x:f>
        <x:v>1158858912.7138836</x:v>
      </x:c>
      <x:c r="AH103" s="88" t="str">
        <x:f>IF(AD103&gt;0,"PROFIT","LOSS")</x:f>
        <x:v>LOSS</x:v>
      </x:c>
      <x:c r="AI103" s="89" t="str">
        <x:v>Base 3M Omega. One training queue only. Base 5-pack average.</x:v>
      </x:c>
    </x:row>
    <x:row r="104">
      <x:c r="A104" s="86" t="n">
        <x:v>102</x:v>
      </x:c>
      <x:c r="B104" s="88" t="str">
        <x:v>Base</x:v>
      </x:c>
      <x:c r="C104" s="88" t="str">
        <x:v>3M Omega</x:v>
      </x:c>
      <x:c r="D104" s="88" t="n">
        <x:v>3</x:v>
      </x:c>
      <x:c r="E104" s="88" t="n">
        <x:v>1</x:v>
      </x:c>
      <x:c r="F104" s="88" t="str">
        <x:v>No MCT</x:v>
      </x:c>
      <x:c r="G104" s="88" t="str">
        <x:v>NES 10-pack extractor</x:v>
      </x:c>
      <x:c r="H104" s="87" t="n">
        <x:f>'01 Base Costs'!$B$22</x:f>
        <x:v>1200</x:v>
      </x:c>
      <x:c r="I104" s="87" t="n">
        <x:f>0</x:f>
        <x:v>0</x:v>
      </x:c>
      <x:c r="J104" s="87" t="n">
        <x:f>0</x:f>
        <x:v>0</x:v>
      </x:c>
      <x:c r="K104" s="87" t="n">
        <x:f>D104*(E104-1)*I104</x:f>
        <x:v>0</x:v>
      </x:c>
      <x:c r="L104" s="87" t="n">
        <x:f>D104*(E104-1)*J104</x:f>
        <x:v>0</x:v>
      </x:c>
      <x:c r="M104" s="87" t="n">
        <x:f>0</x:f>
        <x:v>0</x:v>
      </x:c>
      <x:c r="N104" s="87" t="n">
        <x:f>H104+K104+M104</x:f>
        <x:v>1200</x:v>
      </x:c>
      <x:c r="O104" s="87" t="n">
        <x:f>N104*'01 Base Costs'!$B$7+L104</x:f>
        <x:v>5772000000</x:v>
      </x:c>
      <x:c r="P104" s="87" t="n">
        <x:f>D104*E104</x:f>
        <x:v>3</x:v>
      </x:c>
      <x:c r="Q104" s="87" t="n">
        <x:f>P104*'01 Base Costs'!$B$12</x:f>
        <x:v>5832000</x:v>
      </x:c>
      <x:c r="R104" s="87" t="n">
        <x:f>0</x:f>
        <x:v>0</x:v>
      </x:c>
      <x:c r="S104" s="87" t="n">
        <x:f>Q104+R104</x:f>
        <x:v>5832000</x:v>
      </x:c>
      <x:c r="T104" s="141" t="n">
        <x:f>S104/'01 Base Costs'!$B$14</x:f>
        <x:v>11.664</x:v>
      </x:c>
      <x:c r="U104" s="87" t="n">
        <x:f>INT(T104)</x:f>
        <x:v>11</x:v>
      </x:c>
      <x:c r="V104" s="87" t="n">
        <x:f>S104-U104*'01 Base Costs'!$B$14</x:f>
        <x:v>332000</x:v>
      </x:c>
      <x:c r="W104" s="120" t="n">
        <x:f>'01 Base Costs'!$B$19/10</x:f>
        <x:v>119</x:v>
      </x:c>
      <x:c r="X104" s="120" t="n">
        <x:f>0</x:f>
        <x:v>0</x:v>
      </x:c>
      <x:c r="Y104" s="87" t="n">
        <x:f>T104*(W104*'01 Base Costs'!$B$7+X104)</x:f>
        <x:v>6676356960</x:v>
      </x:c>
      <x:c r="Z104" s="87" t="n">
        <x:f>T104*'01 Base Costs'!$B$8</x:f>
        <x:v>8781825600</x:v>
      </x:c>
      <x:c r="AA104" s="87" t="n">
        <x:f>Z104*'01 Base Costs'!$B$11</x:f>
        <x:v>439091280</x:v>
      </x:c>
      <x:c r="AB104" s="87" t="n">
        <x:f>Z104-AA104</x:f>
        <x:v>8342734320</x:v>
      </x:c>
      <x:c r="AC104" s="87" t="n">
        <x:f>O104+Y104</x:f>
        <x:v>12448356960</x:v>
      </x:c>
      <x:c r="AD104" s="87" t="n">
        <x:f>AB104-AC104</x:f>
        <x:v>-4105622640</x:v>
      </x:c>
      <x:c r="AE104" s="87" t="n">
        <x:f>AD104/D104</x:f>
        <x:v>-1368540880</x:v>
      </x:c>
      <x:c r="AF104" s="87" t="n">
        <x:f>AD104/P104</x:f>
        <x:v>-1368540880</x:v>
      </x:c>
      <x:c r="AG104" s="87" t="n">
        <x:f>IF(T104=0,0,AC104/T104/(1-'01 Base Costs'!$B$11))</x:f>
        <x:v>1123416807.4507258</x:v>
      </x:c>
      <x:c r="AH104" s="88" t="str">
        <x:f>IF(AD104&gt;0,"PROFIT","LOSS")</x:f>
        <x:v>LOSS</x:v>
      </x:c>
      <x:c r="AI104" s="89" t="str">
        <x:v>Base 3M Omega. One training queue only. Base 10-pack average.</x:v>
      </x:c>
    </x:row>
    <x:row r="105">
      <x:c r="A105" s="86" t="n">
        <x:v>103</x:v>
      </x:c>
      <x:c r="B105" s="88" t="str">
        <x:v>Base</x:v>
      </x:c>
      <x:c r="C105" s="88" t="str">
        <x:v>3M Omega</x:v>
      </x:c>
      <x:c r="D105" s="88" t="n">
        <x:v>3</x:v>
      </x:c>
      <x:c r="E105" s="88" t="n">
        <x:v>1</x:v>
      </x:c>
      <x:c r="F105" s="88" t="str">
        <x:v>No MCT</x:v>
      </x:c>
      <x:c r="G105" s="88" t="str">
        <x:v>NES 50-pack extractor</x:v>
      </x:c>
      <x:c r="H105" s="87" t="n">
        <x:f>'01 Base Costs'!$B$22</x:f>
        <x:v>1200</x:v>
      </x:c>
      <x:c r="I105" s="87" t="n">
        <x:f>0</x:f>
        <x:v>0</x:v>
      </x:c>
      <x:c r="J105" s="87" t="n">
        <x:f>0</x:f>
        <x:v>0</x:v>
      </x:c>
      <x:c r="K105" s="87" t="n">
        <x:f>D105*(E105-1)*I105</x:f>
        <x:v>0</x:v>
      </x:c>
      <x:c r="L105" s="87" t="n">
        <x:f>D105*(E105-1)*J105</x:f>
        <x:v>0</x:v>
      </x:c>
      <x:c r="M105" s="87" t="n">
        <x:f>0</x:f>
        <x:v>0</x:v>
      </x:c>
      <x:c r="N105" s="87" t="n">
        <x:f>H105+K105+M105</x:f>
        <x:v>1200</x:v>
      </x:c>
      <x:c r="O105" s="87" t="n">
        <x:f>N105*'01 Base Costs'!$B$7+L105</x:f>
        <x:v>5772000000</x:v>
      </x:c>
      <x:c r="P105" s="87" t="n">
        <x:f>D105*E105</x:f>
        <x:v>3</x:v>
      </x:c>
      <x:c r="Q105" s="87" t="n">
        <x:f>P105*'01 Base Costs'!$B$12</x:f>
        <x:v>5832000</x:v>
      </x:c>
      <x:c r="R105" s="87" t="n">
        <x:f>0</x:f>
        <x:v>0</x:v>
      </x:c>
      <x:c r="S105" s="87" t="n">
        <x:f>Q105+R105</x:f>
        <x:v>5832000</x:v>
      </x:c>
      <x:c r="T105" s="141" t="n">
        <x:f>S105/'01 Base Costs'!$B$14</x:f>
        <x:v>11.664</x:v>
      </x:c>
      <x:c r="U105" s="87" t="n">
        <x:f>INT(T105)</x:f>
        <x:v>11</x:v>
      </x:c>
      <x:c r="V105" s="87" t="n">
        <x:f>S105-U105*'01 Base Costs'!$B$14</x:f>
        <x:v>332000</x:v>
      </x:c>
      <x:c r="W105" s="120" t="n">
        <x:f>'01 Base Costs'!$B$20/50</x:f>
        <x:v>112</x:v>
      </x:c>
      <x:c r="X105" s="120" t="n">
        <x:f>0</x:f>
        <x:v>0</x:v>
      </x:c>
      <x:c r="Y105" s="87" t="n">
        <x:f>T105*(W105*'01 Base Costs'!$B$7+X105)</x:f>
        <x:v>6283630080</x:v>
      </x:c>
      <x:c r="Z105" s="87" t="n">
        <x:f>T105*'01 Base Costs'!$B$8</x:f>
        <x:v>8781825600</x:v>
      </x:c>
      <x:c r="AA105" s="87" t="n">
        <x:f>Z105*'01 Base Costs'!$B$11</x:f>
        <x:v>439091280</x:v>
      </x:c>
      <x:c r="AB105" s="87" t="n">
        <x:f>Z105-AA105</x:f>
        <x:v>8342734320</x:v>
      </x:c>
      <x:c r="AC105" s="87" t="n">
        <x:f>O105+Y105</x:f>
        <x:v>12055630080</x:v>
      </x:c>
      <x:c r="AD105" s="87" t="n">
        <x:f>AB105-AC105</x:f>
        <x:v>-3712895760</x:v>
      </x:c>
      <x:c r="AE105" s="87" t="n">
        <x:f>AD105/D105</x:f>
        <x:v>-1237631920</x:v>
      </x:c>
      <x:c r="AF105" s="87" t="n">
        <x:f>AD105/P105</x:f>
        <x:v>-1237631920</x:v>
      </x:c>
      <x:c r="AG105" s="87" t="n">
        <x:f>IF(T105=0,0,AC105/T105/(1-'01 Base Costs'!$B$11))</x:f>
        <x:v>1087974702.1875677</x:v>
      </x:c>
      <x:c r="AH105" s="88" t="str">
        <x:f>IF(AD105&gt;0,"PROFIT","LOSS")</x:f>
        <x:v>LOSS</x:v>
      </x:c>
      <x:c r="AI105" s="89" t="str">
        <x:v>Base 3M Omega. One training queue only. Base 50-pack average.</x:v>
      </x:c>
    </x:row>
    <x:row r="106">
      <x:c r="A106" s="86" t="n">
        <x:v>104</x:v>
      </x:c>
      <x:c r="B106" s="88" t="str">
        <x:v>Base</x:v>
      </x:c>
      <x:c r="C106" s="88" t="str">
        <x:v>3M Omega</x:v>
      </x:c>
      <x:c r="D106" s="88" t="n">
        <x:v>3</x:v>
      </x:c>
      <x:c r="E106" s="88" t="n">
        <x:v>1</x:v>
      </x:c>
      <x:c r="F106" s="88" t="str">
        <x:v>No MCT</x:v>
      </x:c>
      <x:c r="G106" s="88" t="str">
        <x:v>NES 3-for-2 extractor sale</x:v>
      </x:c>
      <x:c r="H106" s="87" t="n">
        <x:f>'01 Base Costs'!$B$22</x:f>
        <x:v>1200</x:v>
      </x:c>
      <x:c r="I106" s="87" t="n">
        <x:f>0</x:f>
        <x:v>0</x:v>
      </x:c>
      <x:c r="J106" s="87" t="n">
        <x:f>0</x:f>
        <x:v>0</x:v>
      </x:c>
      <x:c r="K106" s="87" t="n">
        <x:f>D106*(E106-1)*I106</x:f>
        <x:v>0</x:v>
      </x:c>
      <x:c r="L106" s="87" t="n">
        <x:f>D106*(E106-1)*J106</x:f>
        <x:v>0</x:v>
      </x:c>
      <x:c r="M106" s="87" t="n">
        <x:f>0</x:f>
        <x:v>0</x:v>
      </x:c>
      <x:c r="N106" s="87" t="n">
        <x:f>H106+K106+M106</x:f>
        <x:v>1200</x:v>
      </x:c>
      <x:c r="O106" s="87" t="n">
        <x:f>N106*'01 Base Costs'!$B$7+L106</x:f>
        <x:v>5772000000</x:v>
      </x:c>
      <x:c r="P106" s="87" t="n">
        <x:f>D106*E106</x:f>
        <x:v>3</x:v>
      </x:c>
      <x:c r="Q106" s="87" t="n">
        <x:f>P106*'01 Base Costs'!$B$12</x:f>
        <x:v>5832000</x:v>
      </x:c>
      <x:c r="R106" s="87" t="n">
        <x:f>0</x:f>
        <x:v>0</x:v>
      </x:c>
      <x:c r="S106" s="87" t="n">
        <x:f>Q106+R106</x:f>
        <x:v>5832000</x:v>
      </x:c>
      <x:c r="T106" s="141" t="n">
        <x:f>S106/'01 Base Costs'!$B$14</x:f>
        <x:v>11.664</x:v>
      </x:c>
      <x:c r="U106" s="87" t="n">
        <x:f>INT(T106)</x:f>
        <x:v>11</x:v>
      </x:c>
      <x:c r="V106" s="87" t="n">
        <x:f>S106-U106*'01 Base Costs'!$B$14</x:f>
        <x:v>332000</x:v>
      </x:c>
      <x:c r="W106" s="120" t="n">
        <x:f>'01 Base Costs'!$B$17*2/3</x:f>
        <x:v>93.33333333333333</x:v>
      </x:c>
      <x:c r="X106" s="120" t="n">
        <x:f>0</x:f>
        <x:v>0</x:v>
      </x:c>
      <x:c r="Y106" s="87" t="n">
        <x:f>T106*(W106*'01 Base Costs'!$B$7+X106)</x:f>
        <x:v>5236358400</x:v>
      </x:c>
      <x:c r="Z106" s="87" t="n">
        <x:f>T106*'01 Base Costs'!$B$8</x:f>
        <x:v>8781825600</x:v>
      </x:c>
      <x:c r="AA106" s="87" t="n">
        <x:f>Z106*'01 Base Costs'!$B$11</x:f>
        <x:v>439091280</x:v>
      </x:c>
      <x:c r="AB106" s="87" t="n">
        <x:f>Z106-AA106</x:f>
        <x:v>8342734320</x:v>
      </x:c>
      <x:c r="AC106" s="87" t="n">
        <x:f>O106+Y106</x:f>
        <x:v>11008358400</x:v>
      </x:c>
      <x:c r="AD106" s="87" t="n">
        <x:f>AB106-AC106</x:f>
        <x:v>-2665624080</x:v>
      </x:c>
      <x:c r="AE106" s="87" t="n">
        <x:f>AD106/D106</x:f>
        <x:v>-888541360</x:v>
      </x:c>
      <x:c r="AF106" s="87" t="n">
        <x:f>AD106/P106</x:f>
        <x:v>-888541360</x:v>
      </x:c>
      <x:c r="AG106" s="87" t="n">
        <x:f>IF(T106=0,0,AC106/T106/(1-'01 Base Costs'!$B$11))</x:f>
        <x:v>993462421.4858134</x:v>
      </x:c>
      <x:c r="AH106" s="88" t="str">
        <x:f>IF(AD106&gt;0,"PROFIT","LOSS")</x:f>
        <x:v>LOSS</x:v>
      </x:c>
      <x:c r="AI106" s="89" t="str">
        <x:v>Base 3M Omega. One training queue only. Extractor 3-for-2 sale.</x:v>
      </x:c>
    </x:row>
    <x:row r="107">
      <x:c r="A107" s="86" t="n">
        <x:v>105</x:v>
      </x:c>
      <x:c r="B107" s="88" t="str">
        <x:v>Base</x:v>
      </x:c>
      <x:c r="C107" s="88" t="str">
        <x:v>3M Omega</x:v>
      </x:c>
      <x:c r="D107" s="88" t="n">
        <x:v>3</x:v>
      </x:c>
      <x:c r="E107" s="88" t="n">
        <x:v>1</x:v>
      </x:c>
      <x:c r="F107" s="88" t="str">
        <x:v>No MCT</x:v>
      </x:c>
      <x:c r="G107" s="88" t="str">
        <x:v>NES 2-for-1 extractor sale</x:v>
      </x:c>
      <x:c r="H107" s="87" t="n">
        <x:f>'01 Base Costs'!$B$22</x:f>
        <x:v>1200</x:v>
      </x:c>
      <x:c r="I107" s="87" t="n">
        <x:f>0</x:f>
        <x:v>0</x:v>
      </x:c>
      <x:c r="J107" s="87" t="n">
        <x:f>0</x:f>
        <x:v>0</x:v>
      </x:c>
      <x:c r="K107" s="87" t="n">
        <x:f>D107*(E107-1)*I107</x:f>
        <x:v>0</x:v>
      </x:c>
      <x:c r="L107" s="87" t="n">
        <x:f>D107*(E107-1)*J107</x:f>
        <x:v>0</x:v>
      </x:c>
      <x:c r="M107" s="87" t="n">
        <x:f>0</x:f>
        <x:v>0</x:v>
      </x:c>
      <x:c r="N107" s="87" t="n">
        <x:f>H107+K107+M107</x:f>
        <x:v>1200</x:v>
      </x:c>
      <x:c r="O107" s="87" t="n">
        <x:f>N107*'01 Base Costs'!$B$7+L107</x:f>
        <x:v>5772000000</x:v>
      </x:c>
      <x:c r="P107" s="87" t="n">
        <x:f>D107*E107</x:f>
        <x:v>3</x:v>
      </x:c>
      <x:c r="Q107" s="87" t="n">
        <x:f>P107*'01 Base Costs'!$B$12</x:f>
        <x:v>5832000</x:v>
      </x:c>
      <x:c r="R107" s="87" t="n">
        <x:f>0</x:f>
        <x:v>0</x:v>
      </x:c>
      <x:c r="S107" s="87" t="n">
        <x:f>Q107+R107</x:f>
        <x:v>5832000</x:v>
      </x:c>
      <x:c r="T107" s="141" t="n">
        <x:f>S107/'01 Base Costs'!$B$14</x:f>
        <x:v>11.664</x:v>
      </x:c>
      <x:c r="U107" s="87" t="n">
        <x:f>INT(T107)</x:f>
        <x:v>11</x:v>
      </x:c>
      <x:c r="V107" s="87" t="n">
        <x:f>S107-U107*'01 Base Costs'!$B$14</x:f>
        <x:v>332000</x:v>
      </x:c>
      <x:c r="W107" s="120" t="n">
        <x:f>'01 Base Costs'!$B$17/2</x:f>
        <x:v>70</x:v>
      </x:c>
      <x:c r="X107" s="120" t="n">
        <x:f>0</x:f>
        <x:v>0</x:v>
      </x:c>
      <x:c r="Y107" s="87" t="n">
        <x:f>T107*(W107*'01 Base Costs'!$B$7+X107)</x:f>
        <x:v>3927268800</x:v>
      </x:c>
      <x:c r="Z107" s="87" t="n">
        <x:f>T107*'01 Base Costs'!$B$8</x:f>
        <x:v>8781825600</x:v>
      </x:c>
      <x:c r="AA107" s="87" t="n">
        <x:f>Z107*'01 Base Costs'!$B$11</x:f>
        <x:v>439091280</x:v>
      </x:c>
      <x:c r="AB107" s="87" t="n">
        <x:f>Z107-AA107</x:f>
        <x:v>8342734320</x:v>
      </x:c>
      <x:c r="AC107" s="87" t="n">
        <x:f>O107+Y107</x:f>
        <x:v>9699268800</x:v>
      </x:c>
      <x:c r="AD107" s="87" t="n">
        <x:f>AB107-AC107</x:f>
        <x:v>-1356534480</x:v>
      </x:c>
      <x:c r="AE107" s="87" t="n">
        <x:f>AD107/D107</x:f>
        <x:v>-452178160</x:v>
      </x:c>
      <x:c r="AF107" s="87" t="n">
        <x:f>AD107/P107</x:f>
        <x:v>-452178160</x:v>
      </x:c>
      <x:c r="AG107" s="87" t="n">
        <x:f>IF(T107=0,0,AC107/T107/(1-'01 Base Costs'!$B$11))</x:f>
        <x:v>875322070.6086204</x:v>
      </x:c>
      <x:c r="AH107" s="88" t="str">
        <x:f>IF(AD107&gt;0,"PROFIT","LOSS")</x:f>
        <x:v>LOSS</x:v>
      </x:c>
      <x:c r="AI107" s="89" t="str">
        <x:v>Base 3M Omega. One training queue only. Extractor 2-for-1 sale.</x:v>
      </x:c>
    </x:row>
    <x:row r="108">
      <x:c r="A108" s="86" t="n">
        <x:v>106</x:v>
      </x:c>
      <x:c r="B108" s="88" t="str">
        <x:v>Base</x:v>
      </x:c>
      <x:c r="C108" s="88" t="str">
        <x:v>3M Omega</x:v>
      </x:c>
      <x:c r="D108" s="88" t="n">
        <x:v>3</x:v>
      </x:c>
      <x:c r="E108" s="88" t="n">
        <x:v>1</x:v>
      </x:c>
      <x:c r="F108" s="88" t="str">
        <x:v>No MCT</x:v>
      </x:c>
      <x:c r="G108" s="88" t="str">
        <x:v>NES 10-pack extractor 20% sale</x:v>
      </x:c>
      <x:c r="H108" s="87" t="n">
        <x:f>'01 Base Costs'!$B$22</x:f>
        <x:v>1200</x:v>
      </x:c>
      <x:c r="I108" s="87" t="n">
        <x:f>0</x:f>
        <x:v>0</x:v>
      </x:c>
      <x:c r="J108" s="87" t="n">
        <x:f>0</x:f>
        <x:v>0</x:v>
      </x:c>
      <x:c r="K108" s="87" t="n">
        <x:f>D108*(E108-1)*I108</x:f>
        <x:v>0</x:v>
      </x:c>
      <x:c r="L108" s="87" t="n">
        <x:f>D108*(E108-1)*J108</x:f>
        <x:v>0</x:v>
      </x:c>
      <x:c r="M108" s="87" t="n">
        <x:f>0</x:f>
        <x:v>0</x:v>
      </x:c>
      <x:c r="N108" s="87" t="n">
        <x:f>H108+K108+M108</x:f>
        <x:v>1200</x:v>
      </x:c>
      <x:c r="O108" s="87" t="n">
        <x:f>N108*'01 Base Costs'!$B$7+L108</x:f>
        <x:v>5772000000</x:v>
      </x:c>
      <x:c r="P108" s="87" t="n">
        <x:f>D108*E108</x:f>
        <x:v>3</x:v>
      </x:c>
      <x:c r="Q108" s="87" t="n">
        <x:f>P108*'01 Base Costs'!$B$12</x:f>
        <x:v>5832000</x:v>
      </x:c>
      <x:c r="R108" s="87" t="n">
        <x:f>0</x:f>
        <x:v>0</x:v>
      </x:c>
      <x:c r="S108" s="87" t="n">
        <x:f>Q108+R108</x:f>
        <x:v>5832000</x:v>
      </x:c>
      <x:c r="T108" s="141" t="n">
        <x:f>S108/'01 Base Costs'!$B$14</x:f>
        <x:v>11.664</x:v>
      </x:c>
      <x:c r="U108" s="87" t="n">
        <x:f>INT(T108)</x:f>
        <x:v>11</x:v>
      </x:c>
      <x:c r="V108" s="87" t="n">
        <x:f>S108-U108*'01 Base Costs'!$B$14</x:f>
        <x:v>332000</x:v>
      </x:c>
      <x:c r="W108" s="120" t="n">
        <x:f>'01 Base Costs'!$B$19*0.8/10</x:f>
        <x:v>95.2</x:v>
      </x:c>
      <x:c r="X108" s="120" t="n">
        <x:f>0</x:f>
        <x:v>0</x:v>
      </x:c>
      <x:c r="Y108" s="87" t="n">
        <x:f>T108*(W108*'01 Base Costs'!$B$7+X108)</x:f>
        <x:v>5341085568</x:v>
      </x:c>
      <x:c r="Z108" s="87" t="n">
        <x:f>T108*'01 Base Costs'!$B$8</x:f>
        <x:v>8781825600</x:v>
      </x:c>
      <x:c r="AA108" s="87" t="n">
        <x:f>Z108*'01 Base Costs'!$B$11</x:f>
        <x:v>439091280</x:v>
      </x:c>
      <x:c r="AB108" s="87" t="n">
        <x:f>Z108-AA108</x:f>
        <x:v>8342734320</x:v>
      </x:c>
      <x:c r="AC108" s="87" t="n">
        <x:f>O108+Y108</x:f>
        <x:v>11113085568</x:v>
      </x:c>
      <x:c r="AD108" s="87" t="n">
        <x:f>AB108-AC108</x:f>
        <x:v>-2770351248</x:v>
      </x:c>
      <x:c r="AE108" s="87" t="n">
        <x:f>AD108/D108</x:f>
        <x:v>-923450416</x:v>
      </x:c>
      <x:c r="AF108" s="87" t="n">
        <x:f>AD108/P108</x:f>
        <x:v>-923450416</x:v>
      </x:c>
      <x:c r="AG108" s="87" t="n">
        <x:f>IF(T108=0,0,AC108/T108/(1-'01 Base Costs'!$B$11))</x:f>
        <x:v>1002913649.5559889</x:v>
      </x:c>
      <x:c r="AH108" s="88" t="str">
        <x:f>IF(AD108&gt;0,"PROFIT","LOSS")</x:f>
        <x:v>LOSS</x:v>
      </x:c>
      <x:c r="AI108" s="89" t="str">
        <x:v>Base 3M Omega. One training queue only. 10-pack at 20% off.</x:v>
      </x:c>
    </x:row>
    <x:row r="109">
      <x:c r="A109" s="86" t="n">
        <x:v>107</x:v>
      </x:c>
      <x:c r="B109" s="88" t="str">
        <x:v>Base</x:v>
      </x:c>
      <x:c r="C109" s="88" t="str">
        <x:v>3M Omega</x:v>
      </x:c>
      <x:c r="D109" s="88" t="n">
        <x:v>3</x:v>
      </x:c>
      <x:c r="E109" s="88" t="n">
        <x:v>1</x:v>
      </x:c>
      <x:c r="F109" s="88" t="str">
        <x:v>No MCT</x:v>
      </x:c>
      <x:c r="G109" s="88" t="str">
        <x:v>NES 50-pack extractor 20% sale</x:v>
      </x:c>
      <x:c r="H109" s="87" t="n">
        <x:f>'01 Base Costs'!$B$22</x:f>
        <x:v>1200</x:v>
      </x:c>
      <x:c r="I109" s="87" t="n">
        <x:f>0</x:f>
        <x:v>0</x:v>
      </x:c>
      <x:c r="J109" s="87" t="n">
        <x:f>0</x:f>
        <x:v>0</x:v>
      </x:c>
      <x:c r="K109" s="87" t="n">
        <x:f>D109*(E109-1)*I109</x:f>
        <x:v>0</x:v>
      </x:c>
      <x:c r="L109" s="87" t="n">
        <x:f>D109*(E109-1)*J109</x:f>
        <x:v>0</x:v>
      </x:c>
      <x:c r="M109" s="87" t="n">
        <x:f>0</x:f>
        <x:v>0</x:v>
      </x:c>
      <x:c r="N109" s="87" t="n">
        <x:f>H109+K109+M109</x:f>
        <x:v>1200</x:v>
      </x:c>
      <x:c r="O109" s="87" t="n">
        <x:f>N109*'01 Base Costs'!$B$7+L109</x:f>
        <x:v>5772000000</x:v>
      </x:c>
      <x:c r="P109" s="87" t="n">
        <x:f>D109*E109</x:f>
        <x:v>3</x:v>
      </x:c>
      <x:c r="Q109" s="87" t="n">
        <x:f>P109*'01 Base Costs'!$B$12</x:f>
        <x:v>5832000</x:v>
      </x:c>
      <x:c r="R109" s="87" t="n">
        <x:f>0</x:f>
        <x:v>0</x:v>
      </x:c>
      <x:c r="S109" s="87" t="n">
        <x:f>Q109+R109</x:f>
        <x:v>5832000</x:v>
      </x:c>
      <x:c r="T109" s="141" t="n">
        <x:f>S109/'01 Base Costs'!$B$14</x:f>
        <x:v>11.664</x:v>
      </x:c>
      <x:c r="U109" s="87" t="n">
        <x:f>INT(T109)</x:f>
        <x:v>11</x:v>
      </x:c>
      <x:c r="V109" s="87" t="n">
        <x:f>S109-U109*'01 Base Costs'!$B$14</x:f>
        <x:v>332000</x:v>
      </x:c>
      <x:c r="W109" s="120" t="n">
        <x:f>'01 Base Costs'!$B$20*0.8/50</x:f>
        <x:v>89.6</x:v>
      </x:c>
      <x:c r="X109" s="120" t="n">
        <x:f>0</x:f>
        <x:v>0</x:v>
      </x:c>
      <x:c r="Y109" s="87" t="n">
        <x:f>T109*(W109*'01 Base Costs'!$B$7+X109)</x:f>
        <x:v>5026904064</x:v>
      </x:c>
      <x:c r="Z109" s="87" t="n">
        <x:f>T109*'01 Base Costs'!$B$8</x:f>
        <x:v>8781825600</x:v>
      </x:c>
      <x:c r="AA109" s="87" t="n">
        <x:f>Z109*'01 Base Costs'!$B$11</x:f>
        <x:v>439091280</x:v>
      </x:c>
      <x:c r="AB109" s="87" t="n">
        <x:f>Z109-AA109</x:f>
        <x:v>8342734320</x:v>
      </x:c>
      <x:c r="AC109" s="87" t="n">
        <x:f>O109+Y109</x:f>
        <x:v>10798904064</x:v>
      </x:c>
      <x:c r="AD109" s="87" t="n">
        <x:f>AB109-AC109</x:f>
        <x:v>-2456169744</x:v>
      </x:c>
      <x:c r="AE109" s="87" t="n">
        <x:f>AD109/D109</x:f>
        <x:v>-818723248</x:v>
      </x:c>
      <x:c r="AF109" s="87" t="n">
        <x:f>AD109/P109</x:f>
        <x:v>-818723248</x:v>
      </x:c>
      <x:c r="AG109" s="87" t="n">
        <x:f>IF(T109=0,0,AC109/T109/(1-'01 Base Costs'!$B$11))</x:f>
        <x:v>974559965.3454626</x:v>
      </x:c>
      <x:c r="AH109" s="88" t="str">
        <x:f>IF(AD109&gt;0,"PROFIT","LOSS")</x:f>
        <x:v>LOSS</x:v>
      </x:c>
      <x:c r="AI109" s="89" t="str">
        <x:v>Base 3M Omega. One training queue only. 50-pack at 20% off.</x:v>
      </x:c>
    </x:row>
    <x:row r="110">
      <x:c r="A110" s="86" t="n">
        <x:v>108</x:v>
      </x:c>
      <x:c r="B110" s="88" t="str">
        <x:v>Base</x:v>
      </x:c>
      <x:c r="C110" s="88" t="str">
        <x:v>3M Omega</x:v>
      </x:c>
      <x:c r="D110" s="88" t="n">
        <x:v>3</x:v>
      </x:c>
      <x:c r="E110" s="88" t="n">
        <x:v>1</x:v>
      </x:c>
      <x:c r="F110" s="88" t="str">
        <x:v>No MCT</x:v>
      </x:c>
      <x:c r="G110" s="88" t="str">
        <x:v>Market Skill Extractor</x:v>
      </x:c>
      <x:c r="H110" s="87" t="n">
        <x:f>'01 Base Costs'!$B$22</x:f>
        <x:v>1200</x:v>
      </x:c>
      <x:c r="I110" s="87" t="n">
        <x:f>0</x:f>
        <x:v>0</x:v>
      </x:c>
      <x:c r="J110" s="87" t="n">
        <x:f>0</x:f>
        <x:v>0</x:v>
      </x:c>
      <x:c r="K110" s="87" t="n">
        <x:f>D110*(E110-1)*I110</x:f>
        <x:v>0</x:v>
      </x:c>
      <x:c r="L110" s="87" t="n">
        <x:f>D110*(E110-1)*J110</x:f>
        <x:v>0</x:v>
      </x:c>
      <x:c r="M110" s="87" t="n">
        <x:f>0</x:f>
        <x:v>0</x:v>
      </x:c>
      <x:c r="N110" s="87" t="n">
        <x:f>H110+K110+M110</x:f>
        <x:v>1200</x:v>
      </x:c>
      <x:c r="O110" s="87" t="n">
        <x:f>N110*'01 Base Costs'!$B$7+L110</x:f>
        <x:v>5772000000</x:v>
      </x:c>
      <x:c r="P110" s="87" t="n">
        <x:f>D110*E110</x:f>
        <x:v>3</x:v>
      </x:c>
      <x:c r="Q110" s="87" t="n">
        <x:f>P110*'01 Base Costs'!$B$12</x:f>
        <x:v>5832000</x:v>
      </x:c>
      <x:c r="R110" s="87" t="n">
        <x:f>0</x:f>
        <x:v>0</x:v>
      </x:c>
      <x:c r="S110" s="87" t="n">
        <x:f>Q110+R110</x:f>
        <x:v>5832000</x:v>
      </x:c>
      <x:c r="T110" s="141" t="n">
        <x:f>S110/'01 Base Costs'!$B$14</x:f>
        <x:v>11.664</x:v>
      </x:c>
      <x:c r="U110" s="87" t="n">
        <x:f>INT(T110)</x:f>
        <x:v>11</x:v>
      </x:c>
      <x:c r="V110" s="87" t="n">
        <x:f>S110-U110*'01 Base Costs'!$B$14</x:f>
        <x:v>332000</x:v>
      </x:c>
      <x:c r="W110" s="120" t="n">
        <x:f>0</x:f>
        <x:v>0</x:v>
      </x:c>
      <x:c r="X110" s="120" t="n">
        <x:f>'01 Base Costs'!$B$9</x:f>
        <x:v>463500000</x:v>
      </x:c>
      <x:c r="Y110" s="87" t="n">
        <x:f>T110*(W110*'01 Base Costs'!$B$7+X110)</x:f>
        <x:v>5406264000</x:v>
      </x:c>
      <x:c r="Z110" s="87" t="n">
        <x:f>T110*'01 Base Costs'!$B$8</x:f>
        <x:v>8781825600</x:v>
      </x:c>
      <x:c r="AA110" s="87" t="n">
        <x:f>Z110*'01 Base Costs'!$B$11</x:f>
        <x:v>439091280</x:v>
      </x:c>
      <x:c r="AB110" s="87" t="n">
        <x:f>Z110-AA110</x:f>
        <x:v>8342734320</x:v>
      </x:c>
      <x:c r="AC110" s="87" t="n">
        <x:f>O110+Y110</x:f>
        <x:v>11178264000</x:v>
      </x:c>
      <x:c r="AD110" s="87" t="n">
        <x:f>AB110-AC110</x:f>
        <x:v>-2835529680</x:v>
      </x:c>
      <x:c r="AE110" s="87" t="n">
        <x:f>AD110/D110</x:f>
        <x:v>-945176560</x:v>
      </x:c>
      <x:c r="AF110" s="87" t="n">
        <x:f>AD110/P110</x:f>
        <x:v>-945176560</x:v>
      </x:c>
      <x:c r="AG110" s="87" t="n">
        <x:f>IF(T110=0,0,AC110/T110/(1-'01 Base Costs'!$B$11))</x:f>
        <x:v>1008795754.8191468</x:v>
      </x:c>
      <x:c r="AH110" s="88" t="str">
        <x:f>IF(AD110&gt;0,"PROFIT","LOSS")</x:f>
        <x:v>LOSS</x:v>
      </x:c>
      <x:c r="AI110" s="89" t="str">
        <x:v>Base 3M Omega. One training queue only. Extractor bought on market with ISK.</x:v>
      </x:c>
    </x:row>
    <x:row r="111">
      <x:c r="A111" s="86" t="n">
        <x:v>109</x:v>
      </x:c>
      <x:c r="B111" s="88" t="str">
        <x:v>Base</x:v>
      </x:c>
      <x:c r="C111" s="88" t="str">
        <x:v>3M Omega</x:v>
      </x:c>
      <x:c r="D111" s="88" t="n">
        <x:v>3</x:v>
      </x:c>
      <x:c r="E111" s="88" t="n">
        <x:v>2</x:v>
      </x:c>
      <x:c r="F111" s="88" t="str">
        <x:v>NES base MCT</x:v>
      </x:c>
      <x:c r="G111" s="88" t="str">
        <x:v>NES single extractor</x:v>
      </x:c>
      <x:c r="H111" s="87" t="n">
        <x:f>'01 Base Costs'!$B$22</x:f>
        <x:v>1200</x:v>
      </x:c>
      <x:c r="I111" s="87" t="n">
        <x:f>'01 Base Costs'!$B$16</x:f>
        <x:v>485</x:v>
      </x:c>
      <x:c r="J111" s="87" t="n">
        <x:f>0</x:f>
        <x:v>0</x:v>
      </x:c>
      <x:c r="K111" s="87" t="n">
        <x:f>D111*(E111-1)*I111</x:f>
        <x:v>1455</x:v>
      </x:c>
      <x:c r="L111" s="87" t="n">
        <x:f>D111*(E111-1)*J111</x:f>
        <x:v>0</x:v>
      </x:c>
      <x:c r="M111" s="87" t="n">
        <x:f>0</x:f>
        <x:v>0</x:v>
      </x:c>
      <x:c r="N111" s="87" t="n">
        <x:f>H111+K111+M111</x:f>
        <x:v>2655</x:v>
      </x:c>
      <x:c r="O111" s="87" t="n">
        <x:f>N111*'01 Base Costs'!$B$7+L111</x:f>
        <x:v>12770550000</x:v>
      </x:c>
      <x:c r="P111" s="87" t="n">
        <x:f>D111*E111</x:f>
        <x:v>6</x:v>
      </x:c>
      <x:c r="Q111" s="87" t="n">
        <x:f>P111*'01 Base Costs'!$B$12</x:f>
        <x:v>11664000</x:v>
      </x:c>
      <x:c r="R111" s="87" t="n">
        <x:f>0</x:f>
        <x:v>0</x:v>
      </x:c>
      <x:c r="S111" s="87" t="n">
        <x:f>Q111+R111</x:f>
        <x:v>11664000</x:v>
      </x:c>
      <x:c r="T111" s="141" t="n">
        <x:f>S111/'01 Base Costs'!$B$14</x:f>
        <x:v>23.328</x:v>
      </x:c>
      <x:c r="U111" s="87" t="n">
        <x:f>INT(T111)</x:f>
        <x:v>23</x:v>
      </x:c>
      <x:c r="V111" s="87" t="n">
        <x:f>S111-U111*'01 Base Costs'!$B$14</x:f>
        <x:v>164000</x:v>
      </x:c>
      <x:c r="W111" s="120" t="n">
        <x:f>'01 Base Costs'!$B$17</x:f>
        <x:v>140</x:v>
      </x:c>
      <x:c r="X111" s="120" t="n">
        <x:f>0</x:f>
        <x:v>0</x:v>
      </x:c>
      <x:c r="Y111" s="87" t="n">
        <x:f>T111*(W111*'01 Base Costs'!$B$7+X111)</x:f>
        <x:v>15709075200</x:v>
      </x:c>
      <x:c r="Z111" s="87" t="n">
        <x:f>T111*'01 Base Costs'!$B$8</x:f>
        <x:v>17563651200</x:v>
      </x:c>
      <x:c r="AA111" s="87" t="n">
        <x:f>Z111*'01 Base Costs'!$B$11</x:f>
        <x:v>878182560</x:v>
      </x:c>
      <x:c r="AB111" s="87" t="n">
        <x:f>Z111-AA111</x:f>
        <x:v>16685468640</x:v>
      </x:c>
      <x:c r="AC111" s="87" t="n">
        <x:f>O111+Y111</x:f>
        <x:v>28479625200</x:v>
      </x:c>
      <x:c r="AD111" s="87" t="n">
        <x:f>AB111-AC111</x:f>
        <x:v>-11794156560</x:v>
      </x:c>
      <x:c r="AE111" s="87" t="n">
        <x:f>AD111/D111</x:f>
        <x:v>-3931385520</x:v>
      </x:c>
      <x:c r="AF111" s="87" t="n">
        <x:f>AD111/P111</x:f>
        <x:v>-1965692760</x:v>
      </x:c>
      <x:c r="AG111" s="87" t="n">
        <x:f>IF(T111=0,0,AC111/T111/(1-'01 Base Costs'!$B$11))</x:f>
        <x:v>1285088856.40026</x:v>
      </x:c>
      <x:c r="AH111" s="88" t="str">
        <x:f>IF(AD111&gt;0,"PROFIT","LOSS")</x:f>
        <x:v>LOSS</x:v>
      </x:c>
      <x:c r="AI111" s="89" t="str">
        <x:v>Base 3M Omega. MCT purchased with PLEX in NES. Base single extractor.</x:v>
      </x:c>
    </x:row>
    <x:row r="112">
      <x:c r="A112" s="86" t="n">
        <x:v>110</x:v>
      </x:c>
      <x:c r="B112" s="88" t="str">
        <x:v>Base</x:v>
      </x:c>
      <x:c r="C112" s="88" t="str">
        <x:v>3M Omega</x:v>
      </x:c>
      <x:c r="D112" s="88" t="n">
        <x:v>3</x:v>
      </x:c>
      <x:c r="E112" s="88" t="n">
        <x:v>2</x:v>
      </x:c>
      <x:c r="F112" s="88" t="str">
        <x:v>NES base MCT</x:v>
      </x:c>
      <x:c r="G112" s="88" t="str">
        <x:v>NES 5-pack extractor</x:v>
      </x:c>
      <x:c r="H112" s="87" t="n">
        <x:f>'01 Base Costs'!$B$22</x:f>
        <x:v>1200</x:v>
      </x:c>
      <x:c r="I112" s="87" t="n">
        <x:f>'01 Base Costs'!$B$16</x:f>
        <x:v>485</x:v>
      </x:c>
      <x:c r="J112" s="87" t="n">
        <x:f>0</x:f>
        <x:v>0</x:v>
      </x:c>
      <x:c r="K112" s="87" t="n">
        <x:f>D112*(E112-1)*I112</x:f>
        <x:v>1455</x:v>
      </x:c>
      <x:c r="L112" s="87" t="n">
        <x:f>D112*(E112-1)*J112</x:f>
        <x:v>0</x:v>
      </x:c>
      <x:c r="M112" s="87" t="n">
        <x:f>0</x:f>
        <x:v>0</x:v>
      </x:c>
      <x:c r="N112" s="87" t="n">
        <x:f>H112+K112+M112</x:f>
        <x:v>2655</x:v>
      </x:c>
      <x:c r="O112" s="87" t="n">
        <x:f>N112*'01 Base Costs'!$B$7+L112</x:f>
        <x:v>12770550000</x:v>
      </x:c>
      <x:c r="P112" s="87" t="n">
        <x:f>D112*E112</x:f>
        <x:v>6</x:v>
      </x:c>
      <x:c r="Q112" s="87" t="n">
        <x:f>P112*'01 Base Costs'!$B$12</x:f>
        <x:v>11664000</x:v>
      </x:c>
      <x:c r="R112" s="87" t="n">
        <x:f>0</x:f>
        <x:v>0</x:v>
      </x:c>
      <x:c r="S112" s="87" t="n">
        <x:f>Q112+R112</x:f>
        <x:v>11664000</x:v>
      </x:c>
      <x:c r="T112" s="141" t="n">
        <x:f>S112/'01 Base Costs'!$B$14</x:f>
        <x:v>23.328</x:v>
      </x:c>
      <x:c r="U112" s="87" t="n">
        <x:f>INT(T112)</x:f>
        <x:v>23</x:v>
      </x:c>
      <x:c r="V112" s="87" t="n">
        <x:f>S112-U112*'01 Base Costs'!$B$14</x:f>
        <x:v>164000</x:v>
      </x:c>
      <x:c r="W112" s="120" t="n">
        <x:f>'01 Base Costs'!$B$18/5</x:f>
        <x:v>126</x:v>
      </x:c>
      <x:c r="X112" s="120" t="n">
        <x:f>0</x:f>
        <x:v>0</x:v>
      </x:c>
      <x:c r="Y112" s="87" t="n">
        <x:f>T112*(W112*'01 Base Costs'!$B$7+X112)</x:f>
        <x:v>14138167680</x:v>
      </x:c>
      <x:c r="Z112" s="87" t="n">
        <x:f>T112*'01 Base Costs'!$B$8</x:f>
        <x:v>17563651200</x:v>
      </x:c>
      <x:c r="AA112" s="87" t="n">
        <x:f>Z112*'01 Base Costs'!$B$11</x:f>
        <x:v>878182560</x:v>
      </x:c>
      <x:c r="AB112" s="87" t="n">
        <x:f>Z112-AA112</x:f>
        <x:v>16685468640</x:v>
      </x:c>
      <x:c r="AC112" s="87" t="n">
        <x:f>O112+Y112</x:f>
        <x:v>26908717680</x:v>
      </x:c>
      <x:c r="AD112" s="87" t="n">
        <x:f>AB112-AC112</x:f>
        <x:v>-10223249040</x:v>
      </x:c>
      <x:c r="AE112" s="87" t="n">
        <x:f>AD112/D112</x:f>
        <x:v>-3407749680</x:v>
      </x:c>
      <x:c r="AF112" s="87" t="n">
        <x:f>AD112/P112</x:f>
        <x:v>-1703874840</x:v>
      </x:c>
      <x:c r="AG112" s="87" t="n">
        <x:f>IF(T112=0,0,AC112/T112/(1-'01 Base Costs'!$B$11))</x:f>
        <x:v>1214204645.8739443</x:v>
      </x:c>
      <x:c r="AH112" s="88" t="str">
        <x:f>IF(AD112&gt;0,"PROFIT","LOSS")</x:f>
        <x:v>LOSS</x:v>
      </x:c>
      <x:c r="AI112" s="89" t="str">
        <x:v>Base 3M Omega. MCT purchased with PLEX in NES. Base 5-pack average.</x:v>
      </x:c>
    </x:row>
    <x:row r="113">
      <x:c r="A113" s="86" t="n">
        <x:v>111</x:v>
      </x:c>
      <x:c r="B113" s="88" t="str">
        <x:v>Base</x:v>
      </x:c>
      <x:c r="C113" s="88" t="str">
        <x:v>3M Omega</x:v>
      </x:c>
      <x:c r="D113" s="88" t="n">
        <x:v>3</x:v>
      </x:c>
      <x:c r="E113" s="88" t="n">
        <x:v>2</x:v>
      </x:c>
      <x:c r="F113" s="88" t="str">
        <x:v>NES base MCT</x:v>
      </x:c>
      <x:c r="G113" s="88" t="str">
        <x:v>NES 10-pack extractor</x:v>
      </x:c>
      <x:c r="H113" s="87" t="n">
        <x:f>'01 Base Costs'!$B$22</x:f>
        <x:v>1200</x:v>
      </x:c>
      <x:c r="I113" s="87" t="n">
        <x:f>'01 Base Costs'!$B$16</x:f>
        <x:v>485</x:v>
      </x:c>
      <x:c r="J113" s="87" t="n">
        <x:f>0</x:f>
        <x:v>0</x:v>
      </x:c>
      <x:c r="K113" s="87" t="n">
        <x:f>D113*(E113-1)*I113</x:f>
        <x:v>1455</x:v>
      </x:c>
      <x:c r="L113" s="87" t="n">
        <x:f>D113*(E113-1)*J113</x:f>
        <x:v>0</x:v>
      </x:c>
      <x:c r="M113" s="87" t="n">
        <x:f>0</x:f>
        <x:v>0</x:v>
      </x:c>
      <x:c r="N113" s="87" t="n">
        <x:f>H113+K113+M113</x:f>
        <x:v>2655</x:v>
      </x:c>
      <x:c r="O113" s="87" t="n">
        <x:f>N113*'01 Base Costs'!$B$7+L113</x:f>
        <x:v>12770550000</x:v>
      </x:c>
      <x:c r="P113" s="87" t="n">
        <x:f>D113*E113</x:f>
        <x:v>6</x:v>
      </x:c>
      <x:c r="Q113" s="87" t="n">
        <x:f>P113*'01 Base Costs'!$B$12</x:f>
        <x:v>11664000</x:v>
      </x:c>
      <x:c r="R113" s="87" t="n">
        <x:f>0</x:f>
        <x:v>0</x:v>
      </x:c>
      <x:c r="S113" s="87" t="n">
        <x:f>Q113+R113</x:f>
        <x:v>11664000</x:v>
      </x:c>
      <x:c r="T113" s="141" t="n">
        <x:f>S113/'01 Base Costs'!$B$14</x:f>
        <x:v>23.328</x:v>
      </x:c>
      <x:c r="U113" s="87" t="n">
        <x:f>INT(T113)</x:f>
        <x:v>23</x:v>
      </x:c>
      <x:c r="V113" s="87" t="n">
        <x:f>S113-U113*'01 Base Costs'!$B$14</x:f>
        <x:v>164000</x:v>
      </x:c>
      <x:c r="W113" s="120" t="n">
        <x:f>'01 Base Costs'!$B$19/10</x:f>
        <x:v>119</x:v>
      </x:c>
      <x:c r="X113" s="120" t="n">
        <x:f>0</x:f>
        <x:v>0</x:v>
      </x:c>
      <x:c r="Y113" s="87" t="n">
        <x:f>T113*(W113*'01 Base Costs'!$B$7+X113)</x:f>
        <x:v>13352713920</x:v>
      </x:c>
      <x:c r="Z113" s="87" t="n">
        <x:f>T113*'01 Base Costs'!$B$8</x:f>
        <x:v>17563651200</x:v>
      </x:c>
      <x:c r="AA113" s="87" t="n">
        <x:f>Z113*'01 Base Costs'!$B$11</x:f>
        <x:v>878182560</x:v>
      </x:c>
      <x:c r="AB113" s="87" t="n">
        <x:f>Z113-AA113</x:f>
        <x:v>16685468640</x:v>
      </x:c>
      <x:c r="AC113" s="87" t="n">
        <x:f>O113+Y113</x:f>
        <x:v>26123263920</x:v>
      </x:c>
      <x:c r="AD113" s="87" t="n">
        <x:f>AB113-AC113</x:f>
        <x:v>-9437795280</x:v>
      </x:c>
      <x:c r="AE113" s="87" t="n">
        <x:f>AD113/D113</x:f>
        <x:v>-3145931760</x:v>
      </x:c>
      <x:c r="AF113" s="87" t="n">
        <x:f>AD113/P113</x:f>
        <x:v>-1572965880</x:v>
      </x:c>
      <x:c r="AG113" s="87" t="n">
        <x:f>IF(T113=0,0,AC113/T113/(1-'01 Base Costs'!$B$11))</x:f>
        <x:v>1178762540.6107862</x:v>
      </x:c>
      <x:c r="AH113" s="88" t="str">
        <x:f>IF(AD113&gt;0,"PROFIT","LOSS")</x:f>
        <x:v>LOSS</x:v>
      </x:c>
      <x:c r="AI113" s="89" t="str">
        <x:v>Base 3M Omega. MCT purchased with PLEX in NES. Base 10-pack average.</x:v>
      </x:c>
    </x:row>
    <x:row r="114">
      <x:c r="A114" s="86" t="n">
        <x:v>112</x:v>
      </x:c>
      <x:c r="B114" s="88" t="str">
        <x:v>Base</x:v>
      </x:c>
      <x:c r="C114" s="88" t="str">
        <x:v>3M Omega</x:v>
      </x:c>
      <x:c r="D114" s="88" t="n">
        <x:v>3</x:v>
      </x:c>
      <x:c r="E114" s="88" t="n">
        <x:v>2</x:v>
      </x:c>
      <x:c r="F114" s="88" t="str">
        <x:v>NES base MCT</x:v>
      </x:c>
      <x:c r="G114" s="88" t="str">
        <x:v>NES 50-pack extractor</x:v>
      </x:c>
      <x:c r="H114" s="87" t="n">
        <x:f>'01 Base Costs'!$B$22</x:f>
        <x:v>1200</x:v>
      </x:c>
      <x:c r="I114" s="87" t="n">
        <x:f>'01 Base Costs'!$B$16</x:f>
        <x:v>485</x:v>
      </x:c>
      <x:c r="J114" s="87" t="n">
        <x:f>0</x:f>
        <x:v>0</x:v>
      </x:c>
      <x:c r="K114" s="87" t="n">
        <x:f>D114*(E114-1)*I114</x:f>
        <x:v>1455</x:v>
      </x:c>
      <x:c r="L114" s="87" t="n">
        <x:f>D114*(E114-1)*J114</x:f>
        <x:v>0</x:v>
      </x:c>
      <x:c r="M114" s="87" t="n">
        <x:f>0</x:f>
        <x:v>0</x:v>
      </x:c>
      <x:c r="N114" s="87" t="n">
        <x:f>H114+K114+M114</x:f>
        <x:v>2655</x:v>
      </x:c>
      <x:c r="O114" s="87" t="n">
        <x:f>N114*'01 Base Costs'!$B$7+L114</x:f>
        <x:v>12770550000</x:v>
      </x:c>
      <x:c r="P114" s="87" t="n">
        <x:f>D114*E114</x:f>
        <x:v>6</x:v>
      </x:c>
      <x:c r="Q114" s="87" t="n">
        <x:f>P114*'01 Base Costs'!$B$12</x:f>
        <x:v>11664000</x:v>
      </x:c>
      <x:c r="R114" s="87" t="n">
        <x:f>0</x:f>
        <x:v>0</x:v>
      </x:c>
      <x:c r="S114" s="87" t="n">
        <x:f>Q114+R114</x:f>
        <x:v>11664000</x:v>
      </x:c>
      <x:c r="T114" s="141" t="n">
        <x:f>S114/'01 Base Costs'!$B$14</x:f>
        <x:v>23.328</x:v>
      </x:c>
      <x:c r="U114" s="87" t="n">
        <x:f>INT(T114)</x:f>
        <x:v>23</x:v>
      </x:c>
      <x:c r="V114" s="87" t="n">
        <x:f>S114-U114*'01 Base Costs'!$B$14</x:f>
        <x:v>164000</x:v>
      </x:c>
      <x:c r="W114" s="120" t="n">
        <x:f>'01 Base Costs'!$B$20/50</x:f>
        <x:v>112</x:v>
      </x:c>
      <x:c r="X114" s="120" t="n">
        <x:f>0</x:f>
        <x:v>0</x:v>
      </x:c>
      <x:c r="Y114" s="87" t="n">
        <x:f>T114*(W114*'01 Base Costs'!$B$7+X114)</x:f>
        <x:v>12567260160</x:v>
      </x:c>
      <x:c r="Z114" s="87" t="n">
        <x:f>T114*'01 Base Costs'!$B$8</x:f>
        <x:v>17563651200</x:v>
      </x:c>
      <x:c r="AA114" s="87" t="n">
        <x:f>Z114*'01 Base Costs'!$B$11</x:f>
        <x:v>878182560</x:v>
      </x:c>
      <x:c r="AB114" s="87" t="n">
        <x:f>Z114-AA114</x:f>
        <x:v>16685468640</x:v>
      </x:c>
      <x:c r="AC114" s="87" t="n">
        <x:f>O114+Y114</x:f>
        <x:v>25337810160</x:v>
      </x:c>
      <x:c r="AD114" s="87" t="n">
        <x:f>AB114-AC114</x:f>
        <x:v>-8652341520</x:v>
      </x:c>
      <x:c r="AE114" s="87" t="n">
        <x:f>AD114/D114</x:f>
        <x:v>-2884113840</x:v>
      </x:c>
      <x:c r="AF114" s="87" t="n">
        <x:f>AD114/P114</x:f>
        <x:v>-1442056920</x:v>
      </x:c>
      <x:c r="AG114" s="87" t="n">
        <x:f>IF(T114=0,0,AC114/T114/(1-'01 Base Costs'!$B$11))</x:f>
        <x:v>1143320435.3476284</x:v>
      </x:c>
      <x:c r="AH114" s="88" t="str">
        <x:f>IF(AD114&gt;0,"PROFIT","LOSS")</x:f>
        <x:v>LOSS</x:v>
      </x:c>
      <x:c r="AI114" s="89" t="str">
        <x:v>Base 3M Omega. MCT purchased with PLEX in NES. Base 50-pack average.</x:v>
      </x:c>
    </x:row>
    <x:row r="115">
      <x:c r="A115" s="86" t="n">
        <x:v>113</x:v>
      </x:c>
      <x:c r="B115" s="88" t="str">
        <x:v>Base</x:v>
      </x:c>
      <x:c r="C115" s="88" t="str">
        <x:v>3M Omega</x:v>
      </x:c>
      <x:c r="D115" s="88" t="n">
        <x:v>3</x:v>
      </x:c>
      <x:c r="E115" s="88" t="n">
        <x:v>2</x:v>
      </x:c>
      <x:c r="F115" s="88" t="str">
        <x:v>NES base MCT</x:v>
      </x:c>
      <x:c r="G115" s="88" t="str">
        <x:v>NES 3-for-2 extractor sale</x:v>
      </x:c>
      <x:c r="H115" s="87" t="n">
        <x:f>'01 Base Costs'!$B$22</x:f>
        <x:v>1200</x:v>
      </x:c>
      <x:c r="I115" s="87" t="n">
        <x:f>'01 Base Costs'!$B$16</x:f>
        <x:v>485</x:v>
      </x:c>
      <x:c r="J115" s="87" t="n">
        <x:f>0</x:f>
        <x:v>0</x:v>
      </x:c>
      <x:c r="K115" s="87" t="n">
        <x:f>D115*(E115-1)*I115</x:f>
        <x:v>1455</x:v>
      </x:c>
      <x:c r="L115" s="87" t="n">
        <x:f>D115*(E115-1)*J115</x:f>
        <x:v>0</x:v>
      </x:c>
      <x:c r="M115" s="87" t="n">
        <x:f>0</x:f>
        <x:v>0</x:v>
      </x:c>
      <x:c r="N115" s="87" t="n">
        <x:f>H115+K115+M115</x:f>
        <x:v>2655</x:v>
      </x:c>
      <x:c r="O115" s="87" t="n">
        <x:f>N115*'01 Base Costs'!$B$7+L115</x:f>
        <x:v>12770550000</x:v>
      </x:c>
      <x:c r="P115" s="87" t="n">
        <x:f>D115*E115</x:f>
        <x:v>6</x:v>
      </x:c>
      <x:c r="Q115" s="87" t="n">
        <x:f>P115*'01 Base Costs'!$B$12</x:f>
        <x:v>11664000</x:v>
      </x:c>
      <x:c r="R115" s="87" t="n">
        <x:f>0</x:f>
        <x:v>0</x:v>
      </x:c>
      <x:c r="S115" s="87" t="n">
        <x:f>Q115+R115</x:f>
        <x:v>11664000</x:v>
      </x:c>
      <x:c r="T115" s="141" t="n">
        <x:f>S115/'01 Base Costs'!$B$14</x:f>
        <x:v>23.328</x:v>
      </x:c>
      <x:c r="U115" s="87" t="n">
        <x:f>INT(T115)</x:f>
        <x:v>23</x:v>
      </x:c>
      <x:c r="V115" s="87" t="n">
        <x:f>S115-U115*'01 Base Costs'!$B$14</x:f>
        <x:v>164000</x:v>
      </x:c>
      <x:c r="W115" s="120" t="n">
        <x:f>'01 Base Costs'!$B$17*2/3</x:f>
        <x:v>93.33333333333333</x:v>
      </x:c>
      <x:c r="X115" s="120" t="n">
        <x:f>0</x:f>
        <x:v>0</x:v>
      </x:c>
      <x:c r="Y115" s="87" t="n">
        <x:f>T115*(W115*'01 Base Costs'!$B$7+X115)</x:f>
        <x:v>10472716800</x:v>
      </x:c>
      <x:c r="Z115" s="87" t="n">
        <x:f>T115*'01 Base Costs'!$B$8</x:f>
        <x:v>17563651200</x:v>
      </x:c>
      <x:c r="AA115" s="87" t="n">
        <x:f>Z115*'01 Base Costs'!$B$11</x:f>
        <x:v>878182560</x:v>
      </x:c>
      <x:c r="AB115" s="87" t="n">
        <x:f>Z115-AA115</x:f>
        <x:v>16685468640</x:v>
      </x:c>
      <x:c r="AC115" s="87" t="n">
        <x:f>O115+Y115</x:f>
        <x:v>23243266800</x:v>
      </x:c>
      <x:c r="AD115" s="87" t="n">
        <x:f>AB115-AC115</x:f>
        <x:v>-6557798160</x:v>
      </x:c>
      <x:c r="AE115" s="87" t="n">
        <x:f>AD115/D115</x:f>
        <x:v>-2185932720</x:v>
      </x:c>
      <x:c r="AF115" s="87" t="n">
        <x:f>AD115/P115</x:f>
        <x:v>-1092966360</x:v>
      </x:c>
      <x:c r="AG115" s="87" t="n">
        <x:f>IF(T115=0,0,AC115/T115/(1-'01 Base Costs'!$B$11))</x:f>
        <x:v>1048808154.645874</x:v>
      </x:c>
      <x:c r="AH115" s="88" t="str">
        <x:f>IF(AD115&gt;0,"PROFIT","LOSS")</x:f>
        <x:v>LOSS</x:v>
      </x:c>
      <x:c r="AI115" s="89" t="str">
        <x:v>Base 3M Omega. MCT purchased with PLEX in NES. Extractor 3-for-2 sale.</x:v>
      </x:c>
    </x:row>
    <x:row r="116">
      <x:c r="A116" s="86" t="n">
        <x:v>114</x:v>
      </x:c>
      <x:c r="B116" s="88" t="str">
        <x:v>Base</x:v>
      </x:c>
      <x:c r="C116" s="88" t="str">
        <x:v>3M Omega</x:v>
      </x:c>
      <x:c r="D116" s="88" t="n">
        <x:v>3</x:v>
      </x:c>
      <x:c r="E116" s="88" t="n">
        <x:v>2</x:v>
      </x:c>
      <x:c r="F116" s="88" t="str">
        <x:v>NES base MCT</x:v>
      </x:c>
      <x:c r="G116" s="88" t="str">
        <x:v>NES 2-for-1 extractor sale</x:v>
      </x:c>
      <x:c r="H116" s="87" t="n">
        <x:f>'01 Base Costs'!$B$22</x:f>
        <x:v>1200</x:v>
      </x:c>
      <x:c r="I116" s="87" t="n">
        <x:f>'01 Base Costs'!$B$16</x:f>
        <x:v>485</x:v>
      </x:c>
      <x:c r="J116" s="87" t="n">
        <x:f>0</x:f>
        <x:v>0</x:v>
      </x:c>
      <x:c r="K116" s="87" t="n">
        <x:f>D116*(E116-1)*I116</x:f>
        <x:v>1455</x:v>
      </x:c>
      <x:c r="L116" s="87" t="n">
        <x:f>D116*(E116-1)*J116</x:f>
        <x:v>0</x:v>
      </x:c>
      <x:c r="M116" s="87" t="n">
        <x:f>0</x:f>
        <x:v>0</x:v>
      </x:c>
      <x:c r="N116" s="87" t="n">
        <x:f>H116+K116+M116</x:f>
        <x:v>2655</x:v>
      </x:c>
      <x:c r="O116" s="87" t="n">
        <x:f>N116*'01 Base Costs'!$B$7+L116</x:f>
        <x:v>12770550000</x:v>
      </x:c>
      <x:c r="P116" s="87" t="n">
        <x:f>D116*E116</x:f>
        <x:v>6</x:v>
      </x:c>
      <x:c r="Q116" s="87" t="n">
        <x:f>P116*'01 Base Costs'!$B$12</x:f>
        <x:v>11664000</x:v>
      </x:c>
      <x:c r="R116" s="87" t="n">
        <x:f>0</x:f>
        <x:v>0</x:v>
      </x:c>
      <x:c r="S116" s="87" t="n">
        <x:f>Q116+R116</x:f>
        <x:v>11664000</x:v>
      </x:c>
      <x:c r="T116" s="141" t="n">
        <x:f>S116/'01 Base Costs'!$B$14</x:f>
        <x:v>23.328</x:v>
      </x:c>
      <x:c r="U116" s="87" t="n">
        <x:f>INT(T116)</x:f>
        <x:v>23</x:v>
      </x:c>
      <x:c r="V116" s="87" t="n">
        <x:f>S116-U116*'01 Base Costs'!$B$14</x:f>
        <x:v>164000</x:v>
      </x:c>
      <x:c r="W116" s="120" t="n">
        <x:f>'01 Base Costs'!$B$17/2</x:f>
        <x:v>70</x:v>
      </x:c>
      <x:c r="X116" s="120" t="n">
        <x:f>0</x:f>
        <x:v>0</x:v>
      </x:c>
      <x:c r="Y116" s="87" t="n">
        <x:f>T116*(W116*'01 Base Costs'!$B$7+X116)</x:f>
        <x:v>7854537600</x:v>
      </x:c>
      <x:c r="Z116" s="87" t="n">
        <x:f>T116*'01 Base Costs'!$B$8</x:f>
        <x:v>17563651200</x:v>
      </x:c>
      <x:c r="AA116" s="87" t="n">
        <x:f>Z116*'01 Base Costs'!$B$11</x:f>
        <x:v>878182560</x:v>
      </x:c>
      <x:c r="AB116" s="87" t="n">
        <x:f>Z116-AA116</x:f>
        <x:v>16685468640</x:v>
      </x:c>
      <x:c r="AC116" s="87" t="n">
        <x:f>O116+Y116</x:f>
        <x:v>20625087600</x:v>
      </x:c>
      <x:c r="AD116" s="87" t="n">
        <x:f>AB116-AC116</x:f>
        <x:v>-3939618960</x:v>
      </x:c>
      <x:c r="AE116" s="87" t="n">
        <x:f>AD116/D116</x:f>
        <x:v>-1313206320</x:v>
      </x:c>
      <x:c r="AF116" s="87" t="n">
        <x:f>AD116/P116</x:f>
        <x:v>-656603160</x:v>
      </x:c>
      <x:c r="AG116" s="87" t="n">
        <x:f>IF(T116=0,0,AC116/T116/(1-'01 Base Costs'!$B$11))</x:f>
        <x:v>930667803.768681</x:v>
      </x:c>
      <x:c r="AH116" s="88" t="str">
        <x:f>IF(AD116&gt;0,"PROFIT","LOSS")</x:f>
        <x:v>LOSS</x:v>
      </x:c>
      <x:c r="AI116" s="89" t="str">
        <x:v>Base 3M Omega. MCT purchased with PLEX in NES. Extractor 2-for-1 sale.</x:v>
      </x:c>
    </x:row>
    <x:row r="117">
      <x:c r="A117" s="86" t="n">
        <x:v>115</x:v>
      </x:c>
      <x:c r="B117" s="88" t="str">
        <x:v>Base</x:v>
      </x:c>
      <x:c r="C117" s="88" t="str">
        <x:v>3M Omega</x:v>
      </x:c>
      <x:c r="D117" s="88" t="n">
        <x:v>3</x:v>
      </x:c>
      <x:c r="E117" s="88" t="n">
        <x:v>2</x:v>
      </x:c>
      <x:c r="F117" s="88" t="str">
        <x:v>NES base MCT</x:v>
      </x:c>
      <x:c r="G117" s="88" t="str">
        <x:v>NES 10-pack extractor 20% sale</x:v>
      </x:c>
      <x:c r="H117" s="87" t="n">
        <x:f>'01 Base Costs'!$B$22</x:f>
        <x:v>1200</x:v>
      </x:c>
      <x:c r="I117" s="87" t="n">
        <x:f>'01 Base Costs'!$B$16</x:f>
        <x:v>485</x:v>
      </x:c>
      <x:c r="J117" s="87" t="n">
        <x:f>0</x:f>
        <x:v>0</x:v>
      </x:c>
      <x:c r="K117" s="87" t="n">
        <x:f>D117*(E117-1)*I117</x:f>
        <x:v>1455</x:v>
      </x:c>
      <x:c r="L117" s="87" t="n">
        <x:f>D117*(E117-1)*J117</x:f>
        <x:v>0</x:v>
      </x:c>
      <x:c r="M117" s="87" t="n">
        <x:f>0</x:f>
        <x:v>0</x:v>
      </x:c>
      <x:c r="N117" s="87" t="n">
        <x:f>H117+K117+M117</x:f>
        <x:v>2655</x:v>
      </x:c>
      <x:c r="O117" s="87" t="n">
        <x:f>N117*'01 Base Costs'!$B$7+L117</x:f>
        <x:v>12770550000</x:v>
      </x:c>
      <x:c r="P117" s="87" t="n">
        <x:f>D117*E117</x:f>
        <x:v>6</x:v>
      </x:c>
      <x:c r="Q117" s="87" t="n">
        <x:f>P117*'01 Base Costs'!$B$12</x:f>
        <x:v>11664000</x:v>
      </x:c>
      <x:c r="R117" s="87" t="n">
        <x:f>0</x:f>
        <x:v>0</x:v>
      </x:c>
      <x:c r="S117" s="87" t="n">
        <x:f>Q117+R117</x:f>
        <x:v>11664000</x:v>
      </x:c>
      <x:c r="T117" s="141" t="n">
        <x:f>S117/'01 Base Costs'!$B$14</x:f>
        <x:v>23.328</x:v>
      </x:c>
      <x:c r="U117" s="87" t="n">
        <x:f>INT(T117)</x:f>
        <x:v>23</x:v>
      </x:c>
      <x:c r="V117" s="87" t="n">
        <x:f>S117-U117*'01 Base Costs'!$B$14</x:f>
        <x:v>164000</x:v>
      </x:c>
      <x:c r="W117" s="120" t="n">
        <x:f>'01 Base Costs'!$B$19*0.8/10</x:f>
        <x:v>95.2</x:v>
      </x:c>
      <x:c r="X117" s="120" t="n">
        <x:f>0</x:f>
        <x:v>0</x:v>
      </x:c>
      <x:c r="Y117" s="87" t="n">
        <x:f>T117*(W117*'01 Base Costs'!$B$7+X117)</x:f>
        <x:v>10682171136</x:v>
      </x:c>
      <x:c r="Z117" s="87" t="n">
        <x:f>T117*'01 Base Costs'!$B$8</x:f>
        <x:v>17563651200</x:v>
      </x:c>
      <x:c r="AA117" s="87" t="n">
        <x:f>Z117*'01 Base Costs'!$B$11</x:f>
        <x:v>878182560</x:v>
      </x:c>
      <x:c r="AB117" s="87" t="n">
        <x:f>Z117-AA117</x:f>
        <x:v>16685468640</x:v>
      </x:c>
      <x:c r="AC117" s="87" t="n">
        <x:f>O117+Y117</x:f>
        <x:v>23452721136</x:v>
      </x:c>
      <x:c r="AD117" s="87" t="n">
        <x:f>AB117-AC117</x:f>
        <x:v>-6767252496</x:v>
      </x:c>
      <x:c r="AE117" s="87" t="n">
        <x:f>AD117/D117</x:f>
        <x:v>-2255750832</x:v>
      </x:c>
      <x:c r="AF117" s="87" t="n">
        <x:f>AD117/P117</x:f>
        <x:v>-1127875416</x:v>
      </x:c>
      <x:c r="AG117" s="87" t="n">
        <x:f>IF(T117=0,0,AC117/T117/(1-'01 Base Costs'!$B$11))</x:f>
        <x:v>1058259382.7160494</x:v>
      </x:c>
      <x:c r="AH117" s="88" t="str">
        <x:f>IF(AD117&gt;0,"PROFIT","LOSS")</x:f>
        <x:v>LOSS</x:v>
      </x:c>
      <x:c r="AI117" s="89" t="str">
        <x:v>Base 3M Omega. MCT purchased with PLEX in NES. 10-pack at 20% off.</x:v>
      </x:c>
    </x:row>
    <x:row r="118">
      <x:c r="A118" s="86" t="n">
        <x:v>116</x:v>
      </x:c>
      <x:c r="B118" s="88" t="str">
        <x:v>Base</x:v>
      </x:c>
      <x:c r="C118" s="88" t="str">
        <x:v>3M Omega</x:v>
      </x:c>
      <x:c r="D118" s="88" t="n">
        <x:v>3</x:v>
      </x:c>
      <x:c r="E118" s="88" t="n">
        <x:v>2</x:v>
      </x:c>
      <x:c r="F118" s="88" t="str">
        <x:v>NES base MCT</x:v>
      </x:c>
      <x:c r="G118" s="88" t="str">
        <x:v>NES 50-pack extractor 20% sale</x:v>
      </x:c>
      <x:c r="H118" s="87" t="n">
        <x:f>'01 Base Costs'!$B$22</x:f>
        <x:v>1200</x:v>
      </x:c>
      <x:c r="I118" s="87" t="n">
        <x:f>'01 Base Costs'!$B$16</x:f>
        <x:v>485</x:v>
      </x:c>
      <x:c r="J118" s="87" t="n">
        <x:f>0</x:f>
        <x:v>0</x:v>
      </x:c>
      <x:c r="K118" s="87" t="n">
        <x:f>D118*(E118-1)*I118</x:f>
        <x:v>1455</x:v>
      </x:c>
      <x:c r="L118" s="87" t="n">
        <x:f>D118*(E118-1)*J118</x:f>
        <x:v>0</x:v>
      </x:c>
      <x:c r="M118" s="87" t="n">
        <x:f>0</x:f>
        <x:v>0</x:v>
      </x:c>
      <x:c r="N118" s="87" t="n">
        <x:f>H118+K118+M118</x:f>
        <x:v>2655</x:v>
      </x:c>
      <x:c r="O118" s="87" t="n">
        <x:f>N118*'01 Base Costs'!$B$7+L118</x:f>
        <x:v>12770550000</x:v>
      </x:c>
      <x:c r="P118" s="87" t="n">
        <x:f>D118*E118</x:f>
        <x:v>6</x:v>
      </x:c>
      <x:c r="Q118" s="87" t="n">
        <x:f>P118*'01 Base Costs'!$B$12</x:f>
        <x:v>11664000</x:v>
      </x:c>
      <x:c r="R118" s="87" t="n">
        <x:f>0</x:f>
        <x:v>0</x:v>
      </x:c>
      <x:c r="S118" s="87" t="n">
        <x:f>Q118+R118</x:f>
        <x:v>11664000</x:v>
      </x:c>
      <x:c r="T118" s="141" t="n">
        <x:f>S118/'01 Base Costs'!$B$14</x:f>
        <x:v>23.328</x:v>
      </x:c>
      <x:c r="U118" s="87" t="n">
        <x:f>INT(T118)</x:f>
        <x:v>23</x:v>
      </x:c>
      <x:c r="V118" s="87" t="n">
        <x:f>S118-U118*'01 Base Costs'!$B$14</x:f>
        <x:v>164000</x:v>
      </x:c>
      <x:c r="W118" s="120" t="n">
        <x:f>'01 Base Costs'!$B$20*0.8/50</x:f>
        <x:v>89.6</x:v>
      </x:c>
      <x:c r="X118" s="120" t="n">
        <x:f>0</x:f>
        <x:v>0</x:v>
      </x:c>
      <x:c r="Y118" s="87" t="n">
        <x:f>T118*(W118*'01 Base Costs'!$B$7+X118)</x:f>
        <x:v>10053808128</x:v>
      </x:c>
      <x:c r="Z118" s="87" t="n">
        <x:f>T118*'01 Base Costs'!$B$8</x:f>
        <x:v>17563651200</x:v>
      </x:c>
      <x:c r="AA118" s="87" t="n">
        <x:f>Z118*'01 Base Costs'!$B$11</x:f>
        <x:v>878182560</x:v>
      </x:c>
      <x:c r="AB118" s="87" t="n">
        <x:f>Z118-AA118</x:f>
        <x:v>16685468640</x:v>
      </x:c>
      <x:c r="AC118" s="87" t="n">
        <x:f>O118+Y118</x:f>
        <x:v>22824358128</x:v>
      </x:c>
      <x:c r="AD118" s="87" t="n">
        <x:f>AB118-AC118</x:f>
        <x:v>-6138889488</x:v>
      </x:c>
      <x:c r="AE118" s="87" t="n">
        <x:f>AD118/D118</x:f>
        <x:v>-2046296496</x:v>
      </x:c>
      <x:c r="AF118" s="87" t="n">
        <x:f>AD118/P118</x:f>
        <x:v>-1023148248</x:v>
      </x:c>
      <x:c r="AG118" s="87" t="n">
        <x:f>IF(T118=0,0,AC118/T118/(1-'01 Base Costs'!$B$11))</x:f>
        <x:v>1029905698.5055231</x:v>
      </x:c>
      <x:c r="AH118" s="88" t="str">
        <x:f>IF(AD118&gt;0,"PROFIT","LOSS")</x:f>
        <x:v>LOSS</x:v>
      </x:c>
      <x:c r="AI118" s="89" t="str">
        <x:v>Base 3M Omega. MCT purchased with PLEX in NES. 50-pack at 20% off.</x:v>
      </x:c>
    </x:row>
    <x:row r="119">
      <x:c r="A119" s="86" t="n">
        <x:v>117</x:v>
      </x:c>
      <x:c r="B119" s="88" t="str">
        <x:v>Base</x:v>
      </x:c>
      <x:c r="C119" s="88" t="str">
        <x:v>3M Omega</x:v>
      </x:c>
      <x:c r="D119" s="88" t="n">
        <x:v>3</x:v>
      </x:c>
      <x:c r="E119" s="88" t="n">
        <x:v>2</x:v>
      </x:c>
      <x:c r="F119" s="88" t="str">
        <x:v>NES base MCT</x:v>
      </x:c>
      <x:c r="G119" s="88" t="str">
        <x:v>Market Skill Extractor</x:v>
      </x:c>
      <x:c r="H119" s="87" t="n">
        <x:f>'01 Base Costs'!$B$22</x:f>
        <x:v>1200</x:v>
      </x:c>
      <x:c r="I119" s="87" t="n">
        <x:f>'01 Base Costs'!$B$16</x:f>
        <x:v>485</x:v>
      </x:c>
      <x:c r="J119" s="87" t="n">
        <x:f>0</x:f>
        <x:v>0</x:v>
      </x:c>
      <x:c r="K119" s="87" t="n">
        <x:f>D119*(E119-1)*I119</x:f>
        <x:v>1455</x:v>
      </x:c>
      <x:c r="L119" s="87" t="n">
        <x:f>D119*(E119-1)*J119</x:f>
        <x:v>0</x:v>
      </x:c>
      <x:c r="M119" s="87" t="n">
        <x:f>0</x:f>
        <x:v>0</x:v>
      </x:c>
      <x:c r="N119" s="87" t="n">
        <x:f>H119+K119+M119</x:f>
        <x:v>2655</x:v>
      </x:c>
      <x:c r="O119" s="87" t="n">
        <x:f>N119*'01 Base Costs'!$B$7+L119</x:f>
        <x:v>12770550000</x:v>
      </x:c>
      <x:c r="P119" s="87" t="n">
        <x:f>D119*E119</x:f>
        <x:v>6</x:v>
      </x:c>
      <x:c r="Q119" s="87" t="n">
        <x:f>P119*'01 Base Costs'!$B$12</x:f>
        <x:v>11664000</x:v>
      </x:c>
      <x:c r="R119" s="87" t="n">
        <x:f>0</x:f>
        <x:v>0</x:v>
      </x:c>
      <x:c r="S119" s="87" t="n">
        <x:f>Q119+R119</x:f>
        <x:v>11664000</x:v>
      </x:c>
      <x:c r="T119" s="141" t="n">
        <x:f>S119/'01 Base Costs'!$B$14</x:f>
        <x:v>23.328</x:v>
      </x:c>
      <x:c r="U119" s="87" t="n">
        <x:f>INT(T119)</x:f>
        <x:v>23</x:v>
      </x:c>
      <x:c r="V119" s="87" t="n">
        <x:f>S119-U119*'01 Base Costs'!$B$14</x:f>
        <x:v>164000</x:v>
      </x:c>
      <x:c r="W119" s="120" t="n">
        <x:f>0</x:f>
        <x:v>0</x:v>
      </x:c>
      <x:c r="X119" s="120" t="n">
        <x:f>'01 Base Costs'!$B$9</x:f>
        <x:v>463500000</x:v>
      </x:c>
      <x:c r="Y119" s="87" t="n">
        <x:f>T119*(W119*'01 Base Costs'!$B$7+X119)</x:f>
        <x:v>10812528000</x:v>
      </x:c>
      <x:c r="Z119" s="87" t="n">
        <x:f>T119*'01 Base Costs'!$B$8</x:f>
        <x:v>17563651200</x:v>
      </x:c>
      <x:c r="AA119" s="87" t="n">
        <x:f>Z119*'01 Base Costs'!$B$11</x:f>
        <x:v>878182560</x:v>
      </x:c>
      <x:c r="AB119" s="87" t="n">
        <x:f>Z119-AA119</x:f>
        <x:v>16685468640</x:v>
      </x:c>
      <x:c r="AC119" s="87" t="n">
        <x:f>O119+Y119</x:f>
        <x:v>23583078000</x:v>
      </x:c>
      <x:c r="AD119" s="87" t="n">
        <x:f>AB119-AC119</x:f>
        <x:v>-6897609360</x:v>
      </x:c>
      <x:c r="AE119" s="87" t="n">
        <x:f>AD119/D119</x:f>
        <x:v>-2299203120</x:v>
      </x:c>
      <x:c r="AF119" s="87" t="n">
        <x:f>AD119/P119</x:f>
        <x:v>-1149601560</x:v>
      </x:c>
      <x:c r="AG119" s="87" t="n">
        <x:f>IF(T119=0,0,AC119/T119/(1-'01 Base Costs'!$B$11))</x:f>
        <x:v>1064141487.9792074</x:v>
      </x:c>
      <x:c r="AH119" s="88" t="str">
        <x:f>IF(AD119&gt;0,"PROFIT","LOSS")</x:f>
        <x:v>LOSS</x:v>
      </x:c>
      <x:c r="AI119" s="89" t="str">
        <x:v>Base 3M Omega. MCT purchased with PLEX in NES. Extractor bought on market with ISK.</x:v>
      </x:c>
    </x:row>
    <x:row r="120">
      <x:c r="A120" s="86" t="n">
        <x:v>118</x:v>
      </x:c>
      <x:c r="B120" s="88" t="str">
        <x:v>Base</x:v>
      </x:c>
      <x:c r="C120" s="88" t="str">
        <x:v>3M Omega</x:v>
      </x:c>
      <x:c r="D120" s="88" t="n">
        <x:v>3</x:v>
      </x:c>
      <x:c r="E120" s="88" t="n">
        <x:v>2</x:v>
      </x:c>
      <x:c r="F120" s="88" t="str">
        <x:v>NES MCT 20% sale</x:v>
      </x:c>
      <x:c r="G120" s="88" t="str">
        <x:v>NES single extractor</x:v>
      </x:c>
      <x:c r="H120" s="87" t="n">
        <x:f>'01 Base Costs'!$B$22</x:f>
        <x:v>1200</x:v>
      </x:c>
      <x:c r="I120" s="87" t="n">
        <x:f>'01 Base Costs'!$B$16*0.8</x:f>
        <x:v>388</x:v>
      </x:c>
      <x:c r="J120" s="87" t="n">
        <x:f>0</x:f>
        <x:v>0</x:v>
      </x:c>
      <x:c r="K120" s="87" t="n">
        <x:f>D120*(E120-1)*I120</x:f>
        <x:v>1164</x:v>
      </x:c>
      <x:c r="L120" s="87" t="n">
        <x:f>D120*(E120-1)*J120</x:f>
        <x:v>0</x:v>
      </x:c>
      <x:c r="M120" s="87" t="n">
        <x:f>0</x:f>
        <x:v>0</x:v>
      </x:c>
      <x:c r="N120" s="87" t="n">
        <x:f>H120+K120+M120</x:f>
        <x:v>2364</x:v>
      </x:c>
      <x:c r="O120" s="87" t="n">
        <x:f>N120*'01 Base Costs'!$B$7+L120</x:f>
        <x:v>11370840000</x:v>
      </x:c>
      <x:c r="P120" s="87" t="n">
        <x:f>D120*E120</x:f>
        <x:v>6</x:v>
      </x:c>
      <x:c r="Q120" s="87" t="n">
        <x:f>P120*'01 Base Costs'!$B$12</x:f>
        <x:v>11664000</x:v>
      </x:c>
      <x:c r="R120" s="87" t="n">
        <x:f>0</x:f>
        <x:v>0</x:v>
      </x:c>
      <x:c r="S120" s="87" t="n">
        <x:f>Q120+R120</x:f>
        <x:v>11664000</x:v>
      </x:c>
      <x:c r="T120" s="141" t="n">
        <x:f>S120/'01 Base Costs'!$B$14</x:f>
        <x:v>23.328</x:v>
      </x:c>
      <x:c r="U120" s="87" t="n">
        <x:f>INT(T120)</x:f>
        <x:v>23</x:v>
      </x:c>
      <x:c r="V120" s="87" t="n">
        <x:f>S120-U120*'01 Base Costs'!$B$14</x:f>
        <x:v>164000</x:v>
      </x:c>
      <x:c r="W120" s="120" t="n">
        <x:f>'01 Base Costs'!$B$17</x:f>
        <x:v>140</x:v>
      </x:c>
      <x:c r="X120" s="120" t="n">
        <x:f>0</x:f>
        <x:v>0</x:v>
      </x:c>
      <x:c r="Y120" s="87" t="n">
        <x:f>T120*(W120*'01 Base Costs'!$B$7+X120)</x:f>
        <x:v>15709075200</x:v>
      </x:c>
      <x:c r="Z120" s="87" t="n">
        <x:f>T120*'01 Base Costs'!$B$8</x:f>
        <x:v>17563651200</x:v>
      </x:c>
      <x:c r="AA120" s="87" t="n">
        <x:f>Z120*'01 Base Costs'!$B$11</x:f>
        <x:v>878182560</x:v>
      </x:c>
      <x:c r="AB120" s="87" t="n">
        <x:f>Z120-AA120</x:f>
        <x:v>16685468640</x:v>
      </x:c>
      <x:c r="AC120" s="87" t="n">
        <x:f>O120+Y120</x:f>
        <x:v>27079915200</x:v>
      </x:c>
      <x:c r="AD120" s="87" t="n">
        <x:f>AB120-AC120</x:f>
        <x:v>-10394446560</x:v>
      </x:c>
      <x:c r="AE120" s="87" t="n">
        <x:f>AD120/D120</x:f>
        <x:v>-3464815520</x:v>
      </x:c>
      <x:c r="AF120" s="87" t="n">
        <x:f>AD120/P120</x:f>
        <x:v>-1732407760</x:v>
      </x:c>
      <x:c r="AG120" s="87" t="n">
        <x:f>IF(T120=0,0,AC120/T120/(1-'01 Base Costs'!$B$11))</x:f>
        <x:v>1221929607.9705436</x:v>
      </x:c>
      <x:c r="AH120" s="88" t="str">
        <x:f>IF(AD120&gt;0,"PROFIT","LOSS")</x:f>
        <x:v>LOSS</x:v>
      </x:c>
      <x:c r="AI120" s="89" t="str">
        <x:v>Base 3M Omega. MCT sale 20% off. Base single extractor.</x:v>
      </x:c>
    </x:row>
    <x:row r="121">
      <x:c r="A121" s="86" t="n">
        <x:v>119</x:v>
      </x:c>
      <x:c r="B121" s="88" t="str">
        <x:v>Base</x:v>
      </x:c>
      <x:c r="C121" s="88" t="str">
        <x:v>3M Omega</x:v>
      </x:c>
      <x:c r="D121" s="88" t="n">
        <x:v>3</x:v>
      </x:c>
      <x:c r="E121" s="88" t="n">
        <x:v>2</x:v>
      </x:c>
      <x:c r="F121" s="88" t="str">
        <x:v>NES MCT 20% sale</x:v>
      </x:c>
      <x:c r="G121" s="88" t="str">
        <x:v>NES 5-pack extractor</x:v>
      </x:c>
      <x:c r="H121" s="87" t="n">
        <x:f>'01 Base Costs'!$B$22</x:f>
        <x:v>1200</x:v>
      </x:c>
      <x:c r="I121" s="87" t="n">
        <x:f>'01 Base Costs'!$B$16*0.8</x:f>
        <x:v>388</x:v>
      </x:c>
      <x:c r="J121" s="87" t="n">
        <x:f>0</x:f>
        <x:v>0</x:v>
      </x:c>
      <x:c r="K121" s="87" t="n">
        <x:f>D121*(E121-1)*I121</x:f>
        <x:v>1164</x:v>
      </x:c>
      <x:c r="L121" s="87" t="n">
        <x:f>D121*(E121-1)*J121</x:f>
        <x:v>0</x:v>
      </x:c>
      <x:c r="M121" s="87" t="n">
        <x:f>0</x:f>
        <x:v>0</x:v>
      </x:c>
      <x:c r="N121" s="87" t="n">
        <x:f>H121+K121+M121</x:f>
        <x:v>2364</x:v>
      </x:c>
      <x:c r="O121" s="87" t="n">
        <x:f>N121*'01 Base Costs'!$B$7+L121</x:f>
        <x:v>11370840000</x:v>
      </x:c>
      <x:c r="P121" s="87" t="n">
        <x:f>D121*E121</x:f>
        <x:v>6</x:v>
      </x:c>
      <x:c r="Q121" s="87" t="n">
        <x:f>P121*'01 Base Costs'!$B$12</x:f>
        <x:v>11664000</x:v>
      </x:c>
      <x:c r="R121" s="87" t="n">
        <x:f>0</x:f>
        <x:v>0</x:v>
      </x:c>
      <x:c r="S121" s="87" t="n">
        <x:f>Q121+R121</x:f>
        <x:v>11664000</x:v>
      </x:c>
      <x:c r="T121" s="141" t="n">
        <x:f>S121/'01 Base Costs'!$B$14</x:f>
        <x:v>23.328</x:v>
      </x:c>
      <x:c r="U121" s="87" t="n">
        <x:f>INT(T121)</x:f>
        <x:v>23</x:v>
      </x:c>
      <x:c r="V121" s="87" t="n">
        <x:f>S121-U121*'01 Base Costs'!$B$14</x:f>
        <x:v>164000</x:v>
      </x:c>
      <x:c r="W121" s="120" t="n">
        <x:f>'01 Base Costs'!$B$18/5</x:f>
        <x:v>126</x:v>
      </x:c>
      <x:c r="X121" s="120" t="n">
        <x:f>0</x:f>
        <x:v>0</x:v>
      </x:c>
      <x:c r="Y121" s="87" t="n">
        <x:f>T121*(W121*'01 Base Costs'!$B$7+X121)</x:f>
        <x:v>14138167680</x:v>
      </x:c>
      <x:c r="Z121" s="87" t="n">
        <x:f>T121*'01 Base Costs'!$B$8</x:f>
        <x:v>17563651200</x:v>
      </x:c>
      <x:c r="AA121" s="87" t="n">
        <x:f>Z121*'01 Base Costs'!$B$11</x:f>
        <x:v>878182560</x:v>
      </x:c>
      <x:c r="AB121" s="87" t="n">
        <x:f>Z121-AA121</x:f>
        <x:v>16685468640</x:v>
      </x:c>
      <x:c r="AC121" s="87" t="n">
        <x:f>O121+Y121</x:f>
        <x:v>25509007680</x:v>
      </x:c>
      <x:c r="AD121" s="87" t="n">
        <x:f>AB121-AC121</x:f>
        <x:v>-8823539040</x:v>
      </x:c>
      <x:c r="AE121" s="87" t="n">
        <x:f>AD121/D121</x:f>
        <x:v>-2941179680</x:v>
      </x:c>
      <x:c r="AF121" s="87" t="n">
        <x:f>AD121/P121</x:f>
        <x:v>-1470589840</x:v>
      </x:c>
      <x:c r="AG121" s="87" t="n">
        <x:f>IF(T121=0,0,AC121/T121/(1-'01 Base Costs'!$B$11))</x:f>
        <x:v>1151045397.444228</x:v>
      </x:c>
      <x:c r="AH121" s="88" t="str">
        <x:f>IF(AD121&gt;0,"PROFIT","LOSS")</x:f>
        <x:v>LOSS</x:v>
      </x:c>
      <x:c r="AI121" s="89" t="str">
        <x:v>Base 3M Omega. MCT sale 20% off. Base 5-pack average.</x:v>
      </x:c>
    </x:row>
    <x:row r="122">
      <x:c r="A122" s="86" t="n">
        <x:v>120</x:v>
      </x:c>
      <x:c r="B122" s="88" t="str">
        <x:v>Base</x:v>
      </x:c>
      <x:c r="C122" s="88" t="str">
        <x:v>3M Omega</x:v>
      </x:c>
      <x:c r="D122" s="88" t="n">
        <x:v>3</x:v>
      </x:c>
      <x:c r="E122" s="88" t="n">
        <x:v>2</x:v>
      </x:c>
      <x:c r="F122" s="88" t="str">
        <x:v>NES MCT 20% sale</x:v>
      </x:c>
      <x:c r="G122" s="88" t="str">
        <x:v>NES 10-pack extractor</x:v>
      </x:c>
      <x:c r="H122" s="87" t="n">
        <x:f>'01 Base Costs'!$B$22</x:f>
        <x:v>1200</x:v>
      </x:c>
      <x:c r="I122" s="87" t="n">
        <x:f>'01 Base Costs'!$B$16*0.8</x:f>
        <x:v>388</x:v>
      </x:c>
      <x:c r="J122" s="87" t="n">
        <x:f>0</x:f>
        <x:v>0</x:v>
      </x:c>
      <x:c r="K122" s="87" t="n">
        <x:f>D122*(E122-1)*I122</x:f>
        <x:v>1164</x:v>
      </x:c>
      <x:c r="L122" s="87" t="n">
        <x:f>D122*(E122-1)*J122</x:f>
        <x:v>0</x:v>
      </x:c>
      <x:c r="M122" s="87" t="n">
        <x:f>0</x:f>
        <x:v>0</x:v>
      </x:c>
      <x:c r="N122" s="87" t="n">
        <x:f>H122+K122+M122</x:f>
        <x:v>2364</x:v>
      </x:c>
      <x:c r="O122" s="87" t="n">
        <x:f>N122*'01 Base Costs'!$B$7+L122</x:f>
        <x:v>11370840000</x:v>
      </x:c>
      <x:c r="P122" s="87" t="n">
        <x:f>D122*E122</x:f>
        <x:v>6</x:v>
      </x:c>
      <x:c r="Q122" s="87" t="n">
        <x:f>P122*'01 Base Costs'!$B$12</x:f>
        <x:v>11664000</x:v>
      </x:c>
      <x:c r="R122" s="87" t="n">
        <x:f>0</x:f>
        <x:v>0</x:v>
      </x:c>
      <x:c r="S122" s="87" t="n">
        <x:f>Q122+R122</x:f>
        <x:v>11664000</x:v>
      </x:c>
      <x:c r="T122" s="141" t="n">
        <x:f>S122/'01 Base Costs'!$B$14</x:f>
        <x:v>23.328</x:v>
      </x:c>
      <x:c r="U122" s="87" t="n">
        <x:f>INT(T122)</x:f>
        <x:v>23</x:v>
      </x:c>
      <x:c r="V122" s="87" t="n">
        <x:f>S122-U122*'01 Base Costs'!$B$14</x:f>
        <x:v>164000</x:v>
      </x:c>
      <x:c r="W122" s="120" t="n">
        <x:f>'01 Base Costs'!$B$19/10</x:f>
        <x:v>119</x:v>
      </x:c>
      <x:c r="X122" s="120" t="n">
        <x:f>0</x:f>
        <x:v>0</x:v>
      </x:c>
      <x:c r="Y122" s="87" t="n">
        <x:f>T122*(W122*'01 Base Costs'!$B$7+X122)</x:f>
        <x:v>13352713920</x:v>
      </x:c>
      <x:c r="Z122" s="87" t="n">
        <x:f>T122*'01 Base Costs'!$B$8</x:f>
        <x:v>17563651200</x:v>
      </x:c>
      <x:c r="AA122" s="87" t="n">
        <x:f>Z122*'01 Base Costs'!$B$11</x:f>
        <x:v>878182560</x:v>
      </x:c>
      <x:c r="AB122" s="87" t="n">
        <x:f>Z122-AA122</x:f>
        <x:v>16685468640</x:v>
      </x:c>
      <x:c r="AC122" s="87" t="n">
        <x:f>O122+Y122</x:f>
        <x:v>24723553920</x:v>
      </x:c>
      <x:c r="AD122" s="87" t="n">
        <x:f>AB122-AC122</x:f>
        <x:v>-8038085280</x:v>
      </x:c>
      <x:c r="AE122" s="87" t="n">
        <x:f>AD122/D122</x:f>
        <x:v>-2679361760</x:v>
      </x:c>
      <x:c r="AF122" s="87" t="n">
        <x:f>AD122/P122</x:f>
        <x:v>-1339680880</x:v>
      </x:c>
      <x:c r="AG122" s="87" t="n">
        <x:f>IF(T122=0,0,AC122/T122/(1-'01 Base Costs'!$B$11))</x:f>
        <x:v>1115603292.18107</x:v>
      </x:c>
      <x:c r="AH122" s="88" t="str">
        <x:f>IF(AD122&gt;0,"PROFIT","LOSS")</x:f>
        <x:v>LOSS</x:v>
      </x:c>
      <x:c r="AI122" s="89" t="str">
        <x:v>Base 3M Omega. MCT sale 20% off. Base 10-pack average.</x:v>
      </x:c>
    </x:row>
    <x:row r="123">
      <x:c r="A123" s="86" t="n">
        <x:v>121</x:v>
      </x:c>
      <x:c r="B123" s="88" t="str">
        <x:v>Base</x:v>
      </x:c>
      <x:c r="C123" s="88" t="str">
        <x:v>3M Omega</x:v>
      </x:c>
      <x:c r="D123" s="88" t="n">
        <x:v>3</x:v>
      </x:c>
      <x:c r="E123" s="88" t="n">
        <x:v>2</x:v>
      </x:c>
      <x:c r="F123" s="88" t="str">
        <x:v>NES MCT 20% sale</x:v>
      </x:c>
      <x:c r="G123" s="88" t="str">
        <x:v>NES 50-pack extractor</x:v>
      </x:c>
      <x:c r="H123" s="87" t="n">
        <x:f>'01 Base Costs'!$B$22</x:f>
        <x:v>1200</x:v>
      </x:c>
      <x:c r="I123" s="87" t="n">
        <x:f>'01 Base Costs'!$B$16*0.8</x:f>
        <x:v>388</x:v>
      </x:c>
      <x:c r="J123" s="87" t="n">
        <x:f>0</x:f>
        <x:v>0</x:v>
      </x:c>
      <x:c r="K123" s="87" t="n">
        <x:f>D123*(E123-1)*I123</x:f>
        <x:v>1164</x:v>
      </x:c>
      <x:c r="L123" s="87" t="n">
        <x:f>D123*(E123-1)*J123</x:f>
        <x:v>0</x:v>
      </x:c>
      <x:c r="M123" s="87" t="n">
        <x:f>0</x:f>
        <x:v>0</x:v>
      </x:c>
      <x:c r="N123" s="87" t="n">
        <x:f>H123+K123+M123</x:f>
        <x:v>2364</x:v>
      </x:c>
      <x:c r="O123" s="87" t="n">
        <x:f>N123*'01 Base Costs'!$B$7+L123</x:f>
        <x:v>11370840000</x:v>
      </x:c>
      <x:c r="P123" s="87" t="n">
        <x:f>D123*E123</x:f>
        <x:v>6</x:v>
      </x:c>
      <x:c r="Q123" s="87" t="n">
        <x:f>P123*'01 Base Costs'!$B$12</x:f>
        <x:v>11664000</x:v>
      </x:c>
      <x:c r="R123" s="87" t="n">
        <x:f>0</x:f>
        <x:v>0</x:v>
      </x:c>
      <x:c r="S123" s="87" t="n">
        <x:f>Q123+R123</x:f>
        <x:v>11664000</x:v>
      </x:c>
      <x:c r="T123" s="141" t="n">
        <x:f>S123/'01 Base Costs'!$B$14</x:f>
        <x:v>23.328</x:v>
      </x:c>
      <x:c r="U123" s="87" t="n">
        <x:f>INT(T123)</x:f>
        <x:v>23</x:v>
      </x:c>
      <x:c r="V123" s="87" t="n">
        <x:f>S123-U123*'01 Base Costs'!$B$14</x:f>
        <x:v>164000</x:v>
      </x:c>
      <x:c r="W123" s="120" t="n">
        <x:f>'01 Base Costs'!$B$20/50</x:f>
        <x:v>112</x:v>
      </x:c>
      <x:c r="X123" s="120" t="n">
        <x:f>0</x:f>
        <x:v>0</x:v>
      </x:c>
      <x:c r="Y123" s="87" t="n">
        <x:f>T123*(W123*'01 Base Costs'!$B$7+X123)</x:f>
        <x:v>12567260160</x:v>
      </x:c>
      <x:c r="Z123" s="87" t="n">
        <x:f>T123*'01 Base Costs'!$B$8</x:f>
        <x:v>17563651200</x:v>
      </x:c>
      <x:c r="AA123" s="87" t="n">
        <x:f>Z123*'01 Base Costs'!$B$11</x:f>
        <x:v>878182560</x:v>
      </x:c>
      <x:c r="AB123" s="87" t="n">
        <x:f>Z123-AA123</x:f>
        <x:v>16685468640</x:v>
      </x:c>
      <x:c r="AC123" s="87" t="n">
        <x:f>O123+Y123</x:f>
        <x:v>23938100160</x:v>
      </x:c>
      <x:c r="AD123" s="87" t="n">
        <x:f>AB123-AC123</x:f>
        <x:v>-7252631520</x:v>
      </x:c>
      <x:c r="AE123" s="87" t="n">
        <x:f>AD123/D123</x:f>
        <x:v>-2417543840</x:v>
      </x:c>
      <x:c r="AF123" s="87" t="n">
        <x:f>AD123/P123</x:f>
        <x:v>-1208771920</x:v>
      </x:c>
      <x:c r="AG123" s="87" t="n">
        <x:f>IF(T123=0,0,AC123/T123/(1-'01 Base Costs'!$B$11))</x:f>
        <x:v>1080161186.9179122</x:v>
      </x:c>
      <x:c r="AH123" s="88" t="str">
        <x:f>IF(AD123&gt;0,"PROFIT","LOSS")</x:f>
        <x:v>LOSS</x:v>
      </x:c>
      <x:c r="AI123" s="89" t="str">
        <x:v>Base 3M Omega. MCT sale 20% off. Base 50-pack average.</x:v>
      </x:c>
    </x:row>
    <x:row r="124">
      <x:c r="A124" s="86" t="n">
        <x:v>122</x:v>
      </x:c>
      <x:c r="B124" s="88" t="str">
        <x:v>Base</x:v>
      </x:c>
      <x:c r="C124" s="88" t="str">
        <x:v>3M Omega</x:v>
      </x:c>
      <x:c r="D124" s="88" t="n">
        <x:v>3</x:v>
      </x:c>
      <x:c r="E124" s="88" t="n">
        <x:v>2</x:v>
      </x:c>
      <x:c r="F124" s="88" t="str">
        <x:v>NES MCT 20% sale</x:v>
      </x:c>
      <x:c r="G124" s="88" t="str">
        <x:v>NES 3-for-2 extractor sale</x:v>
      </x:c>
      <x:c r="H124" s="87" t="n">
        <x:f>'01 Base Costs'!$B$22</x:f>
        <x:v>1200</x:v>
      </x:c>
      <x:c r="I124" s="87" t="n">
        <x:f>'01 Base Costs'!$B$16*0.8</x:f>
        <x:v>388</x:v>
      </x:c>
      <x:c r="J124" s="87" t="n">
        <x:f>0</x:f>
        <x:v>0</x:v>
      </x:c>
      <x:c r="K124" s="87" t="n">
        <x:f>D124*(E124-1)*I124</x:f>
        <x:v>1164</x:v>
      </x:c>
      <x:c r="L124" s="87" t="n">
        <x:f>D124*(E124-1)*J124</x:f>
        <x:v>0</x:v>
      </x:c>
      <x:c r="M124" s="87" t="n">
        <x:f>0</x:f>
        <x:v>0</x:v>
      </x:c>
      <x:c r="N124" s="87" t="n">
        <x:f>H124+K124+M124</x:f>
        <x:v>2364</x:v>
      </x:c>
      <x:c r="O124" s="87" t="n">
        <x:f>N124*'01 Base Costs'!$B$7+L124</x:f>
        <x:v>11370840000</x:v>
      </x:c>
      <x:c r="P124" s="87" t="n">
        <x:f>D124*E124</x:f>
        <x:v>6</x:v>
      </x:c>
      <x:c r="Q124" s="87" t="n">
        <x:f>P124*'01 Base Costs'!$B$12</x:f>
        <x:v>11664000</x:v>
      </x:c>
      <x:c r="R124" s="87" t="n">
        <x:f>0</x:f>
        <x:v>0</x:v>
      </x:c>
      <x:c r="S124" s="87" t="n">
        <x:f>Q124+R124</x:f>
        <x:v>11664000</x:v>
      </x:c>
      <x:c r="T124" s="141" t="n">
        <x:f>S124/'01 Base Costs'!$B$14</x:f>
        <x:v>23.328</x:v>
      </x:c>
      <x:c r="U124" s="87" t="n">
        <x:f>INT(T124)</x:f>
        <x:v>23</x:v>
      </x:c>
      <x:c r="V124" s="87" t="n">
        <x:f>S124-U124*'01 Base Costs'!$B$14</x:f>
        <x:v>164000</x:v>
      </x:c>
      <x:c r="W124" s="120" t="n">
        <x:f>'01 Base Costs'!$B$17*2/3</x:f>
        <x:v>93.33333333333333</x:v>
      </x:c>
      <x:c r="X124" s="120" t="n">
        <x:f>0</x:f>
        <x:v>0</x:v>
      </x:c>
      <x:c r="Y124" s="87" t="n">
        <x:f>T124*(W124*'01 Base Costs'!$B$7+X124)</x:f>
        <x:v>10472716800</x:v>
      </x:c>
      <x:c r="Z124" s="87" t="n">
        <x:f>T124*'01 Base Costs'!$B$8</x:f>
        <x:v>17563651200</x:v>
      </x:c>
      <x:c r="AA124" s="87" t="n">
        <x:f>Z124*'01 Base Costs'!$B$11</x:f>
        <x:v>878182560</x:v>
      </x:c>
      <x:c r="AB124" s="87" t="n">
        <x:f>Z124-AA124</x:f>
        <x:v>16685468640</x:v>
      </x:c>
      <x:c r="AC124" s="87" t="n">
        <x:f>O124+Y124</x:f>
        <x:v>21843556800</x:v>
      </x:c>
      <x:c r="AD124" s="87" t="n">
        <x:f>AB124-AC124</x:f>
        <x:v>-5158088160</x:v>
      </x:c>
      <x:c r="AE124" s="87" t="n">
        <x:f>AD124/D124</x:f>
        <x:v>-1719362720</x:v>
      </x:c>
      <x:c r="AF124" s="87" t="n">
        <x:f>AD124/P124</x:f>
        <x:v>-859681360</x:v>
      </x:c>
      <x:c r="AG124" s="87" t="n">
        <x:f>IF(T124=0,0,AC124/T124/(1-'01 Base Costs'!$B$11))</x:f>
        <x:v>985648906.2161578</x:v>
      </x:c>
      <x:c r="AH124" s="88" t="str">
        <x:f>IF(AD124&gt;0,"PROFIT","LOSS")</x:f>
        <x:v>LOSS</x:v>
      </x:c>
      <x:c r="AI124" s="89" t="str">
        <x:v>Base 3M Omega. MCT sale 20% off. Extractor 3-for-2 sale.</x:v>
      </x:c>
    </x:row>
    <x:row r="125">
      <x:c r="A125" s="86" t="n">
        <x:v>123</x:v>
      </x:c>
      <x:c r="B125" s="88" t="str">
        <x:v>Base</x:v>
      </x:c>
      <x:c r="C125" s="88" t="str">
        <x:v>3M Omega</x:v>
      </x:c>
      <x:c r="D125" s="88" t="n">
        <x:v>3</x:v>
      </x:c>
      <x:c r="E125" s="88" t="n">
        <x:v>2</x:v>
      </x:c>
      <x:c r="F125" s="88" t="str">
        <x:v>NES MCT 20% sale</x:v>
      </x:c>
      <x:c r="G125" s="88" t="str">
        <x:v>NES 2-for-1 extractor sale</x:v>
      </x:c>
      <x:c r="H125" s="87" t="n">
        <x:f>'01 Base Costs'!$B$22</x:f>
        <x:v>1200</x:v>
      </x:c>
      <x:c r="I125" s="87" t="n">
        <x:f>'01 Base Costs'!$B$16*0.8</x:f>
        <x:v>388</x:v>
      </x:c>
      <x:c r="J125" s="87" t="n">
        <x:f>0</x:f>
        <x:v>0</x:v>
      </x:c>
      <x:c r="K125" s="87" t="n">
        <x:f>D125*(E125-1)*I125</x:f>
        <x:v>1164</x:v>
      </x:c>
      <x:c r="L125" s="87" t="n">
        <x:f>D125*(E125-1)*J125</x:f>
        <x:v>0</x:v>
      </x:c>
      <x:c r="M125" s="87" t="n">
        <x:f>0</x:f>
        <x:v>0</x:v>
      </x:c>
      <x:c r="N125" s="87" t="n">
        <x:f>H125+K125+M125</x:f>
        <x:v>2364</x:v>
      </x:c>
      <x:c r="O125" s="87" t="n">
        <x:f>N125*'01 Base Costs'!$B$7+L125</x:f>
        <x:v>11370840000</x:v>
      </x:c>
      <x:c r="P125" s="87" t="n">
        <x:f>D125*E125</x:f>
        <x:v>6</x:v>
      </x:c>
      <x:c r="Q125" s="87" t="n">
        <x:f>P125*'01 Base Costs'!$B$12</x:f>
        <x:v>11664000</x:v>
      </x:c>
      <x:c r="R125" s="87" t="n">
        <x:f>0</x:f>
        <x:v>0</x:v>
      </x:c>
      <x:c r="S125" s="87" t="n">
        <x:f>Q125+R125</x:f>
        <x:v>11664000</x:v>
      </x:c>
      <x:c r="T125" s="141" t="n">
        <x:f>S125/'01 Base Costs'!$B$14</x:f>
        <x:v>23.328</x:v>
      </x:c>
      <x:c r="U125" s="87" t="n">
        <x:f>INT(T125)</x:f>
        <x:v>23</x:v>
      </x:c>
      <x:c r="V125" s="87" t="n">
        <x:f>S125-U125*'01 Base Costs'!$B$14</x:f>
        <x:v>164000</x:v>
      </x:c>
      <x:c r="W125" s="120" t="n">
        <x:f>'01 Base Costs'!$B$17/2</x:f>
        <x:v>70</x:v>
      </x:c>
      <x:c r="X125" s="120" t="n">
        <x:f>0</x:f>
        <x:v>0</x:v>
      </x:c>
      <x:c r="Y125" s="87" t="n">
        <x:f>T125*(W125*'01 Base Costs'!$B$7+X125)</x:f>
        <x:v>7854537600</x:v>
      </x:c>
      <x:c r="Z125" s="87" t="n">
        <x:f>T125*'01 Base Costs'!$B$8</x:f>
        <x:v>17563651200</x:v>
      </x:c>
      <x:c r="AA125" s="87" t="n">
        <x:f>Z125*'01 Base Costs'!$B$11</x:f>
        <x:v>878182560</x:v>
      </x:c>
      <x:c r="AB125" s="87" t="n">
        <x:f>Z125-AA125</x:f>
        <x:v>16685468640</x:v>
      </x:c>
      <x:c r="AC125" s="87" t="n">
        <x:f>O125+Y125</x:f>
        <x:v>19225377600</x:v>
      </x:c>
      <x:c r="AD125" s="87" t="n">
        <x:f>AB125-AC125</x:f>
        <x:v>-2539908960</x:v>
      </x:c>
      <x:c r="AE125" s="87" t="n">
        <x:f>AD125/D125</x:f>
        <x:v>-846636320</x:v>
      </x:c>
      <x:c r="AF125" s="87" t="n">
        <x:f>AD125/P125</x:f>
        <x:v>-423318160</x:v>
      </x:c>
      <x:c r="AG125" s="87" t="n">
        <x:f>IF(T125=0,0,AC125/T125/(1-'01 Base Costs'!$B$11))</x:f>
        <x:v>867508555.3389647</x:v>
      </x:c>
      <x:c r="AH125" s="88" t="str">
        <x:f>IF(AD125&gt;0,"PROFIT","LOSS")</x:f>
        <x:v>LOSS</x:v>
      </x:c>
      <x:c r="AI125" s="89" t="str">
        <x:v>Base 3M Omega. MCT sale 20% off. Extractor 2-for-1 sale.</x:v>
      </x:c>
    </x:row>
    <x:row r="126">
      <x:c r="A126" s="86" t="n">
        <x:v>124</x:v>
      </x:c>
      <x:c r="B126" s="88" t="str">
        <x:v>Base</x:v>
      </x:c>
      <x:c r="C126" s="88" t="str">
        <x:v>3M Omega</x:v>
      </x:c>
      <x:c r="D126" s="88" t="n">
        <x:v>3</x:v>
      </x:c>
      <x:c r="E126" s="88" t="n">
        <x:v>2</x:v>
      </x:c>
      <x:c r="F126" s="88" t="str">
        <x:v>NES MCT 20% sale</x:v>
      </x:c>
      <x:c r="G126" s="88" t="str">
        <x:v>NES 10-pack extractor 20% sale</x:v>
      </x:c>
      <x:c r="H126" s="87" t="n">
        <x:f>'01 Base Costs'!$B$22</x:f>
        <x:v>1200</x:v>
      </x:c>
      <x:c r="I126" s="87" t="n">
        <x:f>'01 Base Costs'!$B$16*0.8</x:f>
        <x:v>388</x:v>
      </x:c>
      <x:c r="J126" s="87" t="n">
        <x:f>0</x:f>
        <x:v>0</x:v>
      </x:c>
      <x:c r="K126" s="87" t="n">
        <x:f>D126*(E126-1)*I126</x:f>
        <x:v>1164</x:v>
      </x:c>
      <x:c r="L126" s="87" t="n">
        <x:f>D126*(E126-1)*J126</x:f>
        <x:v>0</x:v>
      </x:c>
      <x:c r="M126" s="87" t="n">
        <x:f>0</x:f>
        <x:v>0</x:v>
      </x:c>
      <x:c r="N126" s="87" t="n">
        <x:f>H126+K126+M126</x:f>
        <x:v>2364</x:v>
      </x:c>
      <x:c r="O126" s="87" t="n">
        <x:f>N126*'01 Base Costs'!$B$7+L126</x:f>
        <x:v>11370840000</x:v>
      </x:c>
      <x:c r="P126" s="87" t="n">
        <x:f>D126*E126</x:f>
        <x:v>6</x:v>
      </x:c>
      <x:c r="Q126" s="87" t="n">
        <x:f>P126*'01 Base Costs'!$B$12</x:f>
        <x:v>11664000</x:v>
      </x:c>
      <x:c r="R126" s="87" t="n">
        <x:f>0</x:f>
        <x:v>0</x:v>
      </x:c>
      <x:c r="S126" s="87" t="n">
        <x:f>Q126+R126</x:f>
        <x:v>11664000</x:v>
      </x:c>
      <x:c r="T126" s="141" t="n">
        <x:f>S126/'01 Base Costs'!$B$14</x:f>
        <x:v>23.328</x:v>
      </x:c>
      <x:c r="U126" s="87" t="n">
        <x:f>INT(T126)</x:f>
        <x:v>23</x:v>
      </x:c>
      <x:c r="V126" s="87" t="n">
        <x:f>S126-U126*'01 Base Costs'!$B$14</x:f>
        <x:v>164000</x:v>
      </x:c>
      <x:c r="W126" s="120" t="n">
        <x:f>'01 Base Costs'!$B$19*0.8/10</x:f>
        <x:v>95.2</x:v>
      </x:c>
      <x:c r="X126" s="120" t="n">
        <x:f>0</x:f>
        <x:v>0</x:v>
      </x:c>
      <x:c r="Y126" s="87" t="n">
        <x:f>T126*(W126*'01 Base Costs'!$B$7+X126)</x:f>
        <x:v>10682171136</x:v>
      </x:c>
      <x:c r="Z126" s="87" t="n">
        <x:f>T126*'01 Base Costs'!$B$8</x:f>
        <x:v>17563651200</x:v>
      </x:c>
      <x:c r="AA126" s="87" t="n">
        <x:f>Z126*'01 Base Costs'!$B$11</x:f>
        <x:v>878182560</x:v>
      </x:c>
      <x:c r="AB126" s="87" t="n">
        <x:f>Z126-AA126</x:f>
        <x:v>16685468640</x:v>
      </x:c>
      <x:c r="AC126" s="87" t="n">
        <x:f>O126+Y126</x:f>
        <x:v>22053011136</x:v>
      </x:c>
      <x:c r="AD126" s="87" t="n">
        <x:f>AB126-AC126</x:f>
        <x:v>-5367542496</x:v>
      </x:c>
      <x:c r="AE126" s="87" t="n">
        <x:f>AD126/D126</x:f>
        <x:v>-1789180832</x:v>
      </x:c>
      <x:c r="AF126" s="87" t="n">
        <x:f>AD126/P126</x:f>
        <x:v>-894590416</x:v>
      </x:c>
      <x:c r="AG126" s="87" t="n">
        <x:f>IF(T126=0,0,AC126/T126/(1-'01 Base Costs'!$B$11))</x:f>
        <x:v>995100134.2863332</x:v>
      </x:c>
      <x:c r="AH126" s="88" t="str">
        <x:f>IF(AD126&gt;0,"PROFIT","LOSS")</x:f>
        <x:v>LOSS</x:v>
      </x:c>
      <x:c r="AI126" s="89" t="str">
        <x:v>Base 3M Omega. MCT sale 20% off. 10-pack at 20% off.</x:v>
      </x:c>
    </x:row>
    <x:row r="127">
      <x:c r="A127" s="86" t="n">
        <x:v>125</x:v>
      </x:c>
      <x:c r="B127" s="88" t="str">
        <x:v>Base</x:v>
      </x:c>
      <x:c r="C127" s="88" t="str">
        <x:v>3M Omega</x:v>
      </x:c>
      <x:c r="D127" s="88" t="n">
        <x:v>3</x:v>
      </x:c>
      <x:c r="E127" s="88" t="n">
        <x:v>2</x:v>
      </x:c>
      <x:c r="F127" s="88" t="str">
        <x:v>NES MCT 20% sale</x:v>
      </x:c>
      <x:c r="G127" s="88" t="str">
        <x:v>NES 50-pack extractor 20% sale</x:v>
      </x:c>
      <x:c r="H127" s="87" t="n">
        <x:f>'01 Base Costs'!$B$22</x:f>
        <x:v>1200</x:v>
      </x:c>
      <x:c r="I127" s="87" t="n">
        <x:f>'01 Base Costs'!$B$16*0.8</x:f>
        <x:v>388</x:v>
      </x:c>
      <x:c r="J127" s="87" t="n">
        <x:f>0</x:f>
        <x:v>0</x:v>
      </x:c>
      <x:c r="K127" s="87" t="n">
        <x:f>D127*(E127-1)*I127</x:f>
        <x:v>1164</x:v>
      </x:c>
      <x:c r="L127" s="87" t="n">
        <x:f>D127*(E127-1)*J127</x:f>
        <x:v>0</x:v>
      </x:c>
      <x:c r="M127" s="87" t="n">
        <x:f>0</x:f>
        <x:v>0</x:v>
      </x:c>
      <x:c r="N127" s="87" t="n">
        <x:f>H127+K127+M127</x:f>
        <x:v>2364</x:v>
      </x:c>
      <x:c r="O127" s="87" t="n">
        <x:f>N127*'01 Base Costs'!$B$7+L127</x:f>
        <x:v>11370840000</x:v>
      </x:c>
      <x:c r="P127" s="87" t="n">
        <x:f>D127*E127</x:f>
        <x:v>6</x:v>
      </x:c>
      <x:c r="Q127" s="87" t="n">
        <x:f>P127*'01 Base Costs'!$B$12</x:f>
        <x:v>11664000</x:v>
      </x:c>
      <x:c r="R127" s="87" t="n">
        <x:f>0</x:f>
        <x:v>0</x:v>
      </x:c>
      <x:c r="S127" s="87" t="n">
        <x:f>Q127+R127</x:f>
        <x:v>11664000</x:v>
      </x:c>
      <x:c r="T127" s="141" t="n">
        <x:f>S127/'01 Base Costs'!$B$14</x:f>
        <x:v>23.328</x:v>
      </x:c>
      <x:c r="U127" s="87" t="n">
        <x:f>INT(T127)</x:f>
        <x:v>23</x:v>
      </x:c>
      <x:c r="V127" s="87" t="n">
        <x:f>S127-U127*'01 Base Costs'!$B$14</x:f>
        <x:v>164000</x:v>
      </x:c>
      <x:c r="W127" s="120" t="n">
        <x:f>'01 Base Costs'!$B$20*0.8/50</x:f>
        <x:v>89.6</x:v>
      </x:c>
      <x:c r="X127" s="120" t="n">
        <x:f>0</x:f>
        <x:v>0</x:v>
      </x:c>
      <x:c r="Y127" s="87" t="n">
        <x:f>T127*(W127*'01 Base Costs'!$B$7+X127)</x:f>
        <x:v>10053808128</x:v>
      </x:c>
      <x:c r="Z127" s="87" t="n">
        <x:f>T127*'01 Base Costs'!$B$8</x:f>
        <x:v>17563651200</x:v>
      </x:c>
      <x:c r="AA127" s="87" t="n">
        <x:f>Z127*'01 Base Costs'!$B$11</x:f>
        <x:v>878182560</x:v>
      </x:c>
      <x:c r="AB127" s="87" t="n">
        <x:f>Z127-AA127</x:f>
        <x:v>16685468640</x:v>
      </x:c>
      <x:c r="AC127" s="87" t="n">
        <x:f>O127+Y127</x:f>
        <x:v>21424648128</x:v>
      </x:c>
      <x:c r="AD127" s="87" t="n">
        <x:f>AB127-AC127</x:f>
        <x:v>-4739179488</x:v>
      </x:c>
      <x:c r="AE127" s="87" t="n">
        <x:f>AD127/D127</x:f>
        <x:v>-1579726496</x:v>
      </x:c>
      <x:c r="AF127" s="87" t="n">
        <x:f>AD127/P127</x:f>
        <x:v>-789863248</x:v>
      </x:c>
      <x:c r="AG127" s="87" t="n">
        <x:f>IF(T127=0,0,AC127/T127/(1-'01 Base Costs'!$B$11))</x:f>
        <x:v>966746450.0758069</x:v>
      </x:c>
      <x:c r="AH127" s="88" t="str">
        <x:f>IF(AD127&gt;0,"PROFIT","LOSS")</x:f>
        <x:v>LOSS</x:v>
      </x:c>
      <x:c r="AI127" s="89" t="str">
        <x:v>Base 3M Omega. MCT sale 20% off. 50-pack at 20% off.</x:v>
      </x:c>
    </x:row>
    <x:row r="128">
      <x:c r="A128" s="86" t="n">
        <x:v>126</x:v>
      </x:c>
      <x:c r="B128" s="88" t="str">
        <x:v>Base</x:v>
      </x:c>
      <x:c r="C128" s="88" t="str">
        <x:v>3M Omega</x:v>
      </x:c>
      <x:c r="D128" s="88" t="n">
        <x:v>3</x:v>
      </x:c>
      <x:c r="E128" s="88" t="n">
        <x:v>2</x:v>
      </x:c>
      <x:c r="F128" s="88" t="str">
        <x:v>NES MCT 20% sale</x:v>
      </x:c>
      <x:c r="G128" s="88" t="str">
        <x:v>Market Skill Extractor</x:v>
      </x:c>
      <x:c r="H128" s="87" t="n">
        <x:f>'01 Base Costs'!$B$22</x:f>
        <x:v>1200</x:v>
      </x:c>
      <x:c r="I128" s="87" t="n">
        <x:f>'01 Base Costs'!$B$16*0.8</x:f>
        <x:v>388</x:v>
      </x:c>
      <x:c r="J128" s="87" t="n">
        <x:f>0</x:f>
        <x:v>0</x:v>
      </x:c>
      <x:c r="K128" s="87" t="n">
        <x:f>D128*(E128-1)*I128</x:f>
        <x:v>1164</x:v>
      </x:c>
      <x:c r="L128" s="87" t="n">
        <x:f>D128*(E128-1)*J128</x:f>
        <x:v>0</x:v>
      </x:c>
      <x:c r="M128" s="87" t="n">
        <x:f>0</x:f>
        <x:v>0</x:v>
      </x:c>
      <x:c r="N128" s="87" t="n">
        <x:f>H128+K128+M128</x:f>
        <x:v>2364</x:v>
      </x:c>
      <x:c r="O128" s="87" t="n">
        <x:f>N128*'01 Base Costs'!$B$7+L128</x:f>
        <x:v>11370840000</x:v>
      </x:c>
      <x:c r="P128" s="87" t="n">
        <x:f>D128*E128</x:f>
        <x:v>6</x:v>
      </x:c>
      <x:c r="Q128" s="87" t="n">
        <x:f>P128*'01 Base Costs'!$B$12</x:f>
        <x:v>11664000</x:v>
      </x:c>
      <x:c r="R128" s="87" t="n">
        <x:f>0</x:f>
        <x:v>0</x:v>
      </x:c>
      <x:c r="S128" s="87" t="n">
        <x:f>Q128+R128</x:f>
        <x:v>11664000</x:v>
      </x:c>
      <x:c r="T128" s="141" t="n">
        <x:f>S128/'01 Base Costs'!$B$14</x:f>
        <x:v>23.328</x:v>
      </x:c>
      <x:c r="U128" s="87" t="n">
        <x:f>INT(T128)</x:f>
        <x:v>23</x:v>
      </x:c>
      <x:c r="V128" s="87" t="n">
        <x:f>S128-U128*'01 Base Costs'!$B$14</x:f>
        <x:v>164000</x:v>
      </x:c>
      <x:c r="W128" s="120" t="n">
        <x:f>0</x:f>
        <x:v>0</x:v>
      </x:c>
      <x:c r="X128" s="120" t="n">
        <x:f>'01 Base Costs'!$B$9</x:f>
        <x:v>463500000</x:v>
      </x:c>
      <x:c r="Y128" s="87" t="n">
        <x:f>T128*(W128*'01 Base Costs'!$B$7+X128)</x:f>
        <x:v>10812528000</x:v>
      </x:c>
      <x:c r="Z128" s="87" t="n">
        <x:f>T128*'01 Base Costs'!$B$8</x:f>
        <x:v>17563651200</x:v>
      </x:c>
      <x:c r="AA128" s="87" t="n">
        <x:f>Z128*'01 Base Costs'!$B$11</x:f>
        <x:v>878182560</x:v>
      </x:c>
      <x:c r="AB128" s="87" t="n">
        <x:f>Z128-AA128</x:f>
        <x:v>16685468640</x:v>
      </x:c>
      <x:c r="AC128" s="87" t="n">
        <x:f>O128+Y128</x:f>
        <x:v>22183368000</x:v>
      </x:c>
      <x:c r="AD128" s="87" t="n">
        <x:f>AB128-AC128</x:f>
        <x:v>-5497899360</x:v>
      </x:c>
      <x:c r="AE128" s="87" t="n">
        <x:f>AD128/D128</x:f>
        <x:v>-1832633120</x:v>
      </x:c>
      <x:c r="AF128" s="87" t="n">
        <x:f>AD128/P128</x:f>
        <x:v>-916316560</x:v>
      </x:c>
      <x:c r="AG128" s="87" t="n">
        <x:f>IF(T128=0,0,AC128/T128/(1-'01 Base Costs'!$B$11))</x:f>
        <x:v>1000982239.549491</x:v>
      </x:c>
      <x:c r="AH128" s="88" t="str">
        <x:f>IF(AD128&gt;0,"PROFIT","LOSS")</x:f>
        <x:v>LOSS</x:v>
      </x:c>
      <x:c r="AI128" s="89" t="str">
        <x:v>Base 3M Omega. MCT sale 20% off. Extractor bought on market with ISK.</x:v>
      </x:c>
    </x:row>
    <x:row r="129">
      <x:c r="A129" s="86" t="n">
        <x:v>127</x:v>
      </x:c>
      <x:c r="B129" s="88" t="str">
        <x:v>Base</x:v>
      </x:c>
      <x:c r="C129" s="88" t="str">
        <x:v>3M Omega</x:v>
      </x:c>
      <x:c r="D129" s="88" t="n">
        <x:v>3</x:v>
      </x:c>
      <x:c r="E129" s="88" t="n">
        <x:v>2</x:v>
      </x:c>
      <x:c r="F129" s="88" t="str">
        <x:v>NES MCT 30% sale</x:v>
      </x:c>
      <x:c r="G129" s="88" t="str">
        <x:v>NES single extractor</x:v>
      </x:c>
      <x:c r="H129" s="87" t="n">
        <x:f>'01 Base Costs'!$B$22</x:f>
        <x:v>1200</x:v>
      </x:c>
      <x:c r="I129" s="87" t="n">
        <x:f>'01 Base Costs'!$B$16*0.7</x:f>
        <x:v>339.5</x:v>
      </x:c>
      <x:c r="J129" s="87" t="n">
        <x:f>0</x:f>
        <x:v>0</x:v>
      </x:c>
      <x:c r="K129" s="87" t="n">
        <x:f>D129*(E129-1)*I129</x:f>
        <x:v>1018.5</x:v>
      </x:c>
      <x:c r="L129" s="87" t="n">
        <x:f>D129*(E129-1)*J129</x:f>
        <x:v>0</x:v>
      </x:c>
      <x:c r="M129" s="87" t="n">
        <x:f>0</x:f>
        <x:v>0</x:v>
      </x:c>
      <x:c r="N129" s="87" t="n">
        <x:f>H129+K129+M129</x:f>
        <x:v>2218.5</x:v>
      </x:c>
      <x:c r="O129" s="87" t="n">
        <x:f>N129*'01 Base Costs'!$B$7+L129</x:f>
        <x:v>10670985000</x:v>
      </x:c>
      <x:c r="P129" s="87" t="n">
        <x:f>D129*E129</x:f>
        <x:v>6</x:v>
      </x:c>
      <x:c r="Q129" s="87" t="n">
        <x:f>P129*'01 Base Costs'!$B$12</x:f>
        <x:v>11664000</x:v>
      </x:c>
      <x:c r="R129" s="87" t="n">
        <x:f>0</x:f>
        <x:v>0</x:v>
      </x:c>
      <x:c r="S129" s="87" t="n">
        <x:f>Q129+R129</x:f>
        <x:v>11664000</x:v>
      </x:c>
      <x:c r="T129" s="141" t="n">
        <x:f>S129/'01 Base Costs'!$B$14</x:f>
        <x:v>23.328</x:v>
      </x:c>
      <x:c r="U129" s="87" t="n">
        <x:f>INT(T129)</x:f>
        <x:v>23</x:v>
      </x:c>
      <x:c r="V129" s="87" t="n">
        <x:f>S129-U129*'01 Base Costs'!$B$14</x:f>
        <x:v>164000</x:v>
      </x:c>
      <x:c r="W129" s="120" t="n">
        <x:f>'01 Base Costs'!$B$17</x:f>
        <x:v>140</x:v>
      </x:c>
      <x:c r="X129" s="120" t="n">
        <x:f>0</x:f>
        <x:v>0</x:v>
      </x:c>
      <x:c r="Y129" s="87" t="n">
        <x:f>T129*(W129*'01 Base Costs'!$B$7+X129)</x:f>
        <x:v>15709075200</x:v>
      </x:c>
      <x:c r="Z129" s="87" t="n">
        <x:f>T129*'01 Base Costs'!$B$8</x:f>
        <x:v>17563651200</x:v>
      </x:c>
      <x:c r="AA129" s="87" t="n">
        <x:f>Z129*'01 Base Costs'!$B$11</x:f>
        <x:v>878182560</x:v>
      </x:c>
      <x:c r="AB129" s="87" t="n">
        <x:f>Z129-AA129</x:f>
        <x:v>16685468640</x:v>
      </x:c>
      <x:c r="AC129" s="87" t="n">
        <x:f>O129+Y129</x:f>
        <x:v>26380060200</x:v>
      </x:c>
      <x:c r="AD129" s="87" t="n">
        <x:f>AB129-AC129</x:f>
        <x:v>-9694591560</x:v>
      </x:c>
      <x:c r="AE129" s="87" t="n">
        <x:f>AD129/D129</x:f>
        <x:v>-3231530520</x:v>
      </x:c>
      <x:c r="AF129" s="87" t="n">
        <x:f>AD129/P129</x:f>
        <x:v>-1615765260</x:v>
      </x:c>
      <x:c r="AG129" s="87" t="n">
        <x:f>IF(T129=0,0,AC129/T129/(1-'01 Base Costs'!$B$11))</x:f>
        <x:v>1190349983.7556858</x:v>
      </x:c>
      <x:c r="AH129" s="88" t="str">
        <x:f>IF(AD129&gt;0,"PROFIT","LOSS")</x:f>
        <x:v>LOSS</x:v>
      </x:c>
      <x:c r="AI129" s="89" t="str">
        <x:v>Base 3M Omega. MCT sale 30% off. Base single extractor.</x:v>
      </x:c>
    </x:row>
    <x:row r="130">
      <x:c r="A130" s="86" t="n">
        <x:v>128</x:v>
      </x:c>
      <x:c r="B130" s="88" t="str">
        <x:v>Base</x:v>
      </x:c>
      <x:c r="C130" s="88" t="str">
        <x:v>3M Omega</x:v>
      </x:c>
      <x:c r="D130" s="88" t="n">
        <x:v>3</x:v>
      </x:c>
      <x:c r="E130" s="88" t="n">
        <x:v>2</x:v>
      </x:c>
      <x:c r="F130" s="88" t="str">
        <x:v>NES MCT 30% sale</x:v>
      </x:c>
      <x:c r="G130" s="88" t="str">
        <x:v>NES 5-pack extractor</x:v>
      </x:c>
      <x:c r="H130" s="87" t="n">
        <x:f>'01 Base Costs'!$B$22</x:f>
        <x:v>1200</x:v>
      </x:c>
      <x:c r="I130" s="87" t="n">
        <x:f>'01 Base Costs'!$B$16*0.7</x:f>
        <x:v>339.5</x:v>
      </x:c>
      <x:c r="J130" s="87" t="n">
        <x:f>0</x:f>
        <x:v>0</x:v>
      </x:c>
      <x:c r="K130" s="87" t="n">
        <x:f>D130*(E130-1)*I130</x:f>
        <x:v>1018.5</x:v>
      </x:c>
      <x:c r="L130" s="87" t="n">
        <x:f>D130*(E130-1)*J130</x:f>
        <x:v>0</x:v>
      </x:c>
      <x:c r="M130" s="87" t="n">
        <x:f>0</x:f>
        <x:v>0</x:v>
      </x:c>
      <x:c r="N130" s="87" t="n">
        <x:f>H130+K130+M130</x:f>
        <x:v>2218.5</x:v>
      </x:c>
      <x:c r="O130" s="87" t="n">
        <x:f>N130*'01 Base Costs'!$B$7+L130</x:f>
        <x:v>10670985000</x:v>
      </x:c>
      <x:c r="P130" s="87" t="n">
        <x:f>D130*E130</x:f>
        <x:v>6</x:v>
      </x:c>
      <x:c r="Q130" s="87" t="n">
        <x:f>P130*'01 Base Costs'!$B$12</x:f>
        <x:v>11664000</x:v>
      </x:c>
      <x:c r="R130" s="87" t="n">
        <x:f>0</x:f>
        <x:v>0</x:v>
      </x:c>
      <x:c r="S130" s="87" t="n">
        <x:f>Q130+R130</x:f>
        <x:v>11664000</x:v>
      </x:c>
      <x:c r="T130" s="141" t="n">
        <x:f>S130/'01 Base Costs'!$B$14</x:f>
        <x:v>23.328</x:v>
      </x:c>
      <x:c r="U130" s="87" t="n">
        <x:f>INT(T130)</x:f>
        <x:v>23</x:v>
      </x:c>
      <x:c r="V130" s="87" t="n">
        <x:f>S130-U130*'01 Base Costs'!$B$14</x:f>
        <x:v>164000</x:v>
      </x:c>
      <x:c r="W130" s="120" t="n">
        <x:f>'01 Base Costs'!$B$18/5</x:f>
        <x:v>126</x:v>
      </x:c>
      <x:c r="X130" s="120" t="n">
        <x:f>0</x:f>
        <x:v>0</x:v>
      </x:c>
      <x:c r="Y130" s="87" t="n">
        <x:f>T130*(W130*'01 Base Costs'!$B$7+X130)</x:f>
        <x:v>14138167680</x:v>
      </x:c>
      <x:c r="Z130" s="87" t="n">
        <x:f>T130*'01 Base Costs'!$B$8</x:f>
        <x:v>17563651200</x:v>
      </x:c>
      <x:c r="AA130" s="87" t="n">
        <x:f>Z130*'01 Base Costs'!$B$11</x:f>
        <x:v>878182560</x:v>
      </x:c>
      <x:c r="AB130" s="87" t="n">
        <x:f>Z130-AA130</x:f>
        <x:v>16685468640</x:v>
      </x:c>
      <x:c r="AC130" s="87" t="n">
        <x:f>O130+Y130</x:f>
        <x:v>24809152680</x:v>
      </x:c>
      <x:c r="AD130" s="87" t="n">
        <x:f>AB130-AC130</x:f>
        <x:v>-8123684040</x:v>
      </x:c>
      <x:c r="AE130" s="87" t="n">
        <x:f>AD130/D130</x:f>
        <x:v>-2707894680</x:v>
      </x:c>
      <x:c r="AF130" s="87" t="n">
        <x:f>AD130/P130</x:f>
        <x:v>-1353947340</x:v>
      </x:c>
      <x:c r="AG130" s="87" t="n">
        <x:f>IF(T130=0,0,AC130/T130/(1-'01 Base Costs'!$B$11))</x:f>
        <x:v>1119465773.2293699</x:v>
      </x:c>
      <x:c r="AH130" s="88" t="str">
        <x:f>IF(AD130&gt;0,"PROFIT","LOSS")</x:f>
        <x:v>LOSS</x:v>
      </x:c>
      <x:c r="AI130" s="89" t="str">
        <x:v>Base 3M Omega. MCT sale 30% off. Base 5-pack average.</x:v>
      </x:c>
    </x:row>
    <x:row r="131">
      <x:c r="A131" s="86" t="n">
        <x:v>129</x:v>
      </x:c>
      <x:c r="B131" s="88" t="str">
        <x:v>Base</x:v>
      </x:c>
      <x:c r="C131" s="88" t="str">
        <x:v>3M Omega</x:v>
      </x:c>
      <x:c r="D131" s="88" t="n">
        <x:v>3</x:v>
      </x:c>
      <x:c r="E131" s="88" t="n">
        <x:v>2</x:v>
      </x:c>
      <x:c r="F131" s="88" t="str">
        <x:v>NES MCT 30% sale</x:v>
      </x:c>
      <x:c r="G131" s="88" t="str">
        <x:v>NES 10-pack extractor</x:v>
      </x:c>
      <x:c r="H131" s="87" t="n">
        <x:f>'01 Base Costs'!$B$22</x:f>
        <x:v>1200</x:v>
      </x:c>
      <x:c r="I131" s="87" t="n">
        <x:f>'01 Base Costs'!$B$16*0.7</x:f>
        <x:v>339.5</x:v>
      </x:c>
      <x:c r="J131" s="87" t="n">
        <x:f>0</x:f>
        <x:v>0</x:v>
      </x:c>
      <x:c r="K131" s="87" t="n">
        <x:f>D131*(E131-1)*I131</x:f>
        <x:v>1018.5</x:v>
      </x:c>
      <x:c r="L131" s="87" t="n">
        <x:f>D131*(E131-1)*J131</x:f>
        <x:v>0</x:v>
      </x:c>
      <x:c r="M131" s="87" t="n">
        <x:f>0</x:f>
        <x:v>0</x:v>
      </x:c>
      <x:c r="N131" s="87" t="n">
        <x:f>H131+K131+M131</x:f>
        <x:v>2218.5</x:v>
      </x:c>
      <x:c r="O131" s="87" t="n">
        <x:f>N131*'01 Base Costs'!$B$7+L131</x:f>
        <x:v>10670985000</x:v>
      </x:c>
      <x:c r="P131" s="87" t="n">
        <x:f>D131*E131</x:f>
        <x:v>6</x:v>
      </x:c>
      <x:c r="Q131" s="87" t="n">
        <x:f>P131*'01 Base Costs'!$B$12</x:f>
        <x:v>11664000</x:v>
      </x:c>
      <x:c r="R131" s="87" t="n">
        <x:f>0</x:f>
        <x:v>0</x:v>
      </x:c>
      <x:c r="S131" s="87" t="n">
        <x:f>Q131+R131</x:f>
        <x:v>11664000</x:v>
      </x:c>
      <x:c r="T131" s="141" t="n">
        <x:f>S131/'01 Base Costs'!$B$14</x:f>
        <x:v>23.328</x:v>
      </x:c>
      <x:c r="U131" s="87" t="n">
        <x:f>INT(T131)</x:f>
        <x:v>23</x:v>
      </x:c>
      <x:c r="V131" s="87" t="n">
        <x:f>S131-U131*'01 Base Costs'!$B$14</x:f>
        <x:v>164000</x:v>
      </x:c>
      <x:c r="W131" s="120" t="n">
        <x:f>'01 Base Costs'!$B$19/10</x:f>
        <x:v>119</x:v>
      </x:c>
      <x:c r="X131" s="120" t="n">
        <x:f>0</x:f>
        <x:v>0</x:v>
      </x:c>
      <x:c r="Y131" s="87" t="n">
        <x:f>T131*(W131*'01 Base Costs'!$B$7+X131)</x:f>
        <x:v>13352713920</x:v>
      </x:c>
      <x:c r="Z131" s="87" t="n">
        <x:f>T131*'01 Base Costs'!$B$8</x:f>
        <x:v>17563651200</x:v>
      </x:c>
      <x:c r="AA131" s="87" t="n">
        <x:f>Z131*'01 Base Costs'!$B$11</x:f>
        <x:v>878182560</x:v>
      </x:c>
      <x:c r="AB131" s="87" t="n">
        <x:f>Z131-AA131</x:f>
        <x:v>16685468640</x:v>
      </x:c>
      <x:c r="AC131" s="87" t="n">
        <x:f>O131+Y131</x:f>
        <x:v>24023698920</x:v>
      </x:c>
      <x:c r="AD131" s="87" t="n">
        <x:f>AB131-AC131</x:f>
        <x:v>-7338230280</x:v>
      </x:c>
      <x:c r="AE131" s="87" t="n">
        <x:f>AD131/D131</x:f>
        <x:v>-2446076760</x:v>
      </x:c>
      <x:c r="AF131" s="87" t="n">
        <x:f>AD131/P131</x:f>
        <x:v>-1223038380</x:v>
      </x:c>
      <x:c r="AG131" s="87" t="n">
        <x:f>IF(T131=0,0,AC131/T131/(1-'01 Base Costs'!$B$11))</x:f>
        <x:v>1084023667.9662118</x:v>
      </x:c>
      <x:c r="AH131" s="88" t="str">
        <x:f>IF(AD131&gt;0,"PROFIT","LOSS")</x:f>
        <x:v>LOSS</x:v>
      </x:c>
      <x:c r="AI131" s="89" t="str">
        <x:v>Base 3M Omega. MCT sale 30% off. Base 10-pack average.</x:v>
      </x:c>
    </x:row>
    <x:row r="132">
      <x:c r="A132" s="86" t="n">
        <x:v>130</x:v>
      </x:c>
      <x:c r="B132" s="88" t="str">
        <x:v>Base</x:v>
      </x:c>
      <x:c r="C132" s="88" t="str">
        <x:v>3M Omega</x:v>
      </x:c>
      <x:c r="D132" s="88" t="n">
        <x:v>3</x:v>
      </x:c>
      <x:c r="E132" s="88" t="n">
        <x:v>2</x:v>
      </x:c>
      <x:c r="F132" s="88" t="str">
        <x:v>NES MCT 30% sale</x:v>
      </x:c>
      <x:c r="G132" s="88" t="str">
        <x:v>NES 50-pack extractor</x:v>
      </x:c>
      <x:c r="H132" s="87" t="n">
        <x:f>'01 Base Costs'!$B$22</x:f>
        <x:v>1200</x:v>
      </x:c>
      <x:c r="I132" s="87" t="n">
        <x:f>'01 Base Costs'!$B$16*0.7</x:f>
        <x:v>339.5</x:v>
      </x:c>
      <x:c r="J132" s="87" t="n">
        <x:f>0</x:f>
        <x:v>0</x:v>
      </x:c>
      <x:c r="K132" s="87" t="n">
        <x:f>D132*(E132-1)*I132</x:f>
        <x:v>1018.5</x:v>
      </x:c>
      <x:c r="L132" s="87" t="n">
        <x:f>D132*(E132-1)*J132</x:f>
        <x:v>0</x:v>
      </x:c>
      <x:c r="M132" s="87" t="n">
        <x:f>0</x:f>
        <x:v>0</x:v>
      </x:c>
      <x:c r="N132" s="87" t="n">
        <x:f>H132+K132+M132</x:f>
        <x:v>2218.5</x:v>
      </x:c>
      <x:c r="O132" s="87" t="n">
        <x:f>N132*'01 Base Costs'!$B$7+L132</x:f>
        <x:v>10670985000</x:v>
      </x:c>
      <x:c r="P132" s="87" t="n">
        <x:f>D132*E132</x:f>
        <x:v>6</x:v>
      </x:c>
      <x:c r="Q132" s="87" t="n">
        <x:f>P132*'01 Base Costs'!$B$12</x:f>
        <x:v>11664000</x:v>
      </x:c>
      <x:c r="R132" s="87" t="n">
        <x:f>0</x:f>
        <x:v>0</x:v>
      </x:c>
      <x:c r="S132" s="87" t="n">
        <x:f>Q132+R132</x:f>
        <x:v>11664000</x:v>
      </x:c>
      <x:c r="T132" s="141" t="n">
        <x:f>S132/'01 Base Costs'!$B$14</x:f>
        <x:v>23.328</x:v>
      </x:c>
      <x:c r="U132" s="87" t="n">
        <x:f>INT(T132)</x:f>
        <x:v>23</x:v>
      </x:c>
      <x:c r="V132" s="87" t="n">
        <x:f>S132-U132*'01 Base Costs'!$B$14</x:f>
        <x:v>164000</x:v>
      </x:c>
      <x:c r="W132" s="120" t="n">
        <x:f>'01 Base Costs'!$B$20/50</x:f>
        <x:v>112</x:v>
      </x:c>
      <x:c r="X132" s="120" t="n">
        <x:f>0</x:f>
        <x:v>0</x:v>
      </x:c>
      <x:c r="Y132" s="87" t="n">
        <x:f>T132*(W132*'01 Base Costs'!$B$7+X132)</x:f>
        <x:v>12567260160</x:v>
      </x:c>
      <x:c r="Z132" s="87" t="n">
        <x:f>T132*'01 Base Costs'!$B$8</x:f>
        <x:v>17563651200</x:v>
      </x:c>
      <x:c r="AA132" s="87" t="n">
        <x:f>Z132*'01 Base Costs'!$B$11</x:f>
        <x:v>878182560</x:v>
      </x:c>
      <x:c r="AB132" s="87" t="n">
        <x:f>Z132-AA132</x:f>
        <x:v>16685468640</x:v>
      </x:c>
      <x:c r="AC132" s="87" t="n">
        <x:f>O132+Y132</x:f>
        <x:v>23238245160</x:v>
      </x:c>
      <x:c r="AD132" s="87" t="n">
        <x:f>AB132-AC132</x:f>
        <x:v>-6552776520</x:v>
      </x:c>
      <x:c r="AE132" s="87" t="n">
        <x:f>AD132/D132</x:f>
        <x:v>-2184258840</x:v>
      </x:c>
      <x:c r="AF132" s="87" t="n">
        <x:f>AD132/P132</x:f>
        <x:v>-1092129420</x:v>
      </x:c>
      <x:c r="AG132" s="87" t="n">
        <x:f>IF(T132=0,0,AC132/T132/(1-'01 Base Costs'!$B$11))</x:f>
        <x:v>1048581562.703054</x:v>
      </x:c>
      <x:c r="AH132" s="88" t="str">
        <x:f>IF(AD132&gt;0,"PROFIT","LOSS")</x:f>
        <x:v>LOSS</x:v>
      </x:c>
      <x:c r="AI132" s="89" t="str">
        <x:v>Base 3M Omega. MCT sale 30% off. Base 50-pack average.</x:v>
      </x:c>
    </x:row>
    <x:row r="133">
      <x:c r="A133" s="86" t="n">
        <x:v>131</x:v>
      </x:c>
      <x:c r="B133" s="88" t="str">
        <x:v>Base</x:v>
      </x:c>
      <x:c r="C133" s="88" t="str">
        <x:v>3M Omega</x:v>
      </x:c>
      <x:c r="D133" s="88" t="n">
        <x:v>3</x:v>
      </x:c>
      <x:c r="E133" s="88" t="n">
        <x:v>2</x:v>
      </x:c>
      <x:c r="F133" s="88" t="str">
        <x:v>NES MCT 30% sale</x:v>
      </x:c>
      <x:c r="G133" s="88" t="str">
        <x:v>NES 3-for-2 extractor sale</x:v>
      </x:c>
      <x:c r="H133" s="87" t="n">
        <x:f>'01 Base Costs'!$B$22</x:f>
        <x:v>1200</x:v>
      </x:c>
      <x:c r="I133" s="87" t="n">
        <x:f>'01 Base Costs'!$B$16*0.7</x:f>
        <x:v>339.5</x:v>
      </x:c>
      <x:c r="J133" s="87" t="n">
        <x:f>0</x:f>
        <x:v>0</x:v>
      </x:c>
      <x:c r="K133" s="87" t="n">
        <x:f>D133*(E133-1)*I133</x:f>
        <x:v>1018.5</x:v>
      </x:c>
      <x:c r="L133" s="87" t="n">
        <x:f>D133*(E133-1)*J133</x:f>
        <x:v>0</x:v>
      </x:c>
      <x:c r="M133" s="87" t="n">
        <x:f>0</x:f>
        <x:v>0</x:v>
      </x:c>
      <x:c r="N133" s="87" t="n">
        <x:f>H133+K133+M133</x:f>
        <x:v>2218.5</x:v>
      </x:c>
      <x:c r="O133" s="87" t="n">
        <x:f>N133*'01 Base Costs'!$B$7+L133</x:f>
        <x:v>10670985000</x:v>
      </x:c>
      <x:c r="P133" s="87" t="n">
        <x:f>D133*E133</x:f>
        <x:v>6</x:v>
      </x:c>
      <x:c r="Q133" s="87" t="n">
        <x:f>P133*'01 Base Costs'!$B$12</x:f>
        <x:v>11664000</x:v>
      </x:c>
      <x:c r="R133" s="87" t="n">
        <x:f>0</x:f>
        <x:v>0</x:v>
      </x:c>
      <x:c r="S133" s="87" t="n">
        <x:f>Q133+R133</x:f>
        <x:v>11664000</x:v>
      </x:c>
      <x:c r="T133" s="141" t="n">
        <x:f>S133/'01 Base Costs'!$B$14</x:f>
        <x:v>23.328</x:v>
      </x:c>
      <x:c r="U133" s="87" t="n">
        <x:f>INT(T133)</x:f>
        <x:v>23</x:v>
      </x:c>
      <x:c r="V133" s="87" t="n">
        <x:f>S133-U133*'01 Base Costs'!$B$14</x:f>
        <x:v>164000</x:v>
      </x:c>
      <x:c r="W133" s="120" t="n">
        <x:f>'01 Base Costs'!$B$17*2/3</x:f>
        <x:v>93.33333333333333</x:v>
      </x:c>
      <x:c r="X133" s="120" t="n">
        <x:f>0</x:f>
        <x:v>0</x:v>
      </x:c>
      <x:c r="Y133" s="87" t="n">
        <x:f>T133*(W133*'01 Base Costs'!$B$7+X133)</x:f>
        <x:v>10472716800</x:v>
      </x:c>
      <x:c r="Z133" s="87" t="n">
        <x:f>T133*'01 Base Costs'!$B$8</x:f>
        <x:v>17563651200</x:v>
      </x:c>
      <x:c r="AA133" s="87" t="n">
        <x:f>Z133*'01 Base Costs'!$B$11</x:f>
        <x:v>878182560</x:v>
      </x:c>
      <x:c r="AB133" s="87" t="n">
        <x:f>Z133-AA133</x:f>
        <x:v>16685468640</x:v>
      </x:c>
      <x:c r="AC133" s="87" t="n">
        <x:f>O133+Y133</x:f>
        <x:v>21143701800</x:v>
      </x:c>
      <x:c r="AD133" s="87" t="n">
        <x:f>AB133-AC133</x:f>
        <x:v>-4458233160</x:v>
      </x:c>
      <x:c r="AE133" s="87" t="n">
        <x:f>AD133/D133</x:f>
        <x:v>-1486077720</x:v>
      </x:c>
      <x:c r="AF133" s="87" t="n">
        <x:f>AD133/P133</x:f>
        <x:v>-743038860</x:v>
      </x:c>
      <x:c r="AG133" s="87" t="n">
        <x:f>IF(T133=0,0,AC133/T133/(1-'01 Base Costs'!$B$11))</x:f>
        <x:v>954069282.0012996</x:v>
      </x:c>
      <x:c r="AH133" s="88" t="str">
        <x:f>IF(AD133&gt;0,"PROFIT","LOSS")</x:f>
        <x:v>LOSS</x:v>
      </x:c>
      <x:c r="AI133" s="89" t="str">
        <x:v>Base 3M Omega. MCT sale 30% off. Extractor 3-for-2 sale.</x:v>
      </x:c>
    </x:row>
    <x:row r="134">
      <x:c r="A134" s="86" t="n">
        <x:v>132</x:v>
      </x:c>
      <x:c r="B134" s="88" t="str">
        <x:v>Base</x:v>
      </x:c>
      <x:c r="C134" s="88" t="str">
        <x:v>3M Omega</x:v>
      </x:c>
      <x:c r="D134" s="88" t="n">
        <x:v>3</x:v>
      </x:c>
      <x:c r="E134" s="88" t="n">
        <x:v>2</x:v>
      </x:c>
      <x:c r="F134" s="88" t="str">
        <x:v>NES MCT 30% sale</x:v>
      </x:c>
      <x:c r="G134" s="88" t="str">
        <x:v>NES 2-for-1 extractor sale</x:v>
      </x:c>
      <x:c r="H134" s="87" t="n">
        <x:f>'01 Base Costs'!$B$22</x:f>
        <x:v>1200</x:v>
      </x:c>
      <x:c r="I134" s="87" t="n">
        <x:f>'01 Base Costs'!$B$16*0.7</x:f>
        <x:v>339.5</x:v>
      </x:c>
      <x:c r="J134" s="87" t="n">
        <x:f>0</x:f>
        <x:v>0</x:v>
      </x:c>
      <x:c r="K134" s="87" t="n">
        <x:f>D134*(E134-1)*I134</x:f>
        <x:v>1018.5</x:v>
      </x:c>
      <x:c r="L134" s="87" t="n">
        <x:f>D134*(E134-1)*J134</x:f>
        <x:v>0</x:v>
      </x:c>
      <x:c r="M134" s="87" t="n">
        <x:f>0</x:f>
        <x:v>0</x:v>
      </x:c>
      <x:c r="N134" s="87" t="n">
        <x:f>H134+K134+M134</x:f>
        <x:v>2218.5</x:v>
      </x:c>
      <x:c r="O134" s="87" t="n">
        <x:f>N134*'01 Base Costs'!$B$7+L134</x:f>
        <x:v>10670985000</x:v>
      </x:c>
      <x:c r="P134" s="87" t="n">
        <x:f>D134*E134</x:f>
        <x:v>6</x:v>
      </x:c>
      <x:c r="Q134" s="87" t="n">
        <x:f>P134*'01 Base Costs'!$B$12</x:f>
        <x:v>11664000</x:v>
      </x:c>
      <x:c r="R134" s="87" t="n">
        <x:f>0</x:f>
        <x:v>0</x:v>
      </x:c>
      <x:c r="S134" s="87" t="n">
        <x:f>Q134+R134</x:f>
        <x:v>11664000</x:v>
      </x:c>
      <x:c r="T134" s="141" t="n">
        <x:f>S134/'01 Base Costs'!$B$14</x:f>
        <x:v>23.328</x:v>
      </x:c>
      <x:c r="U134" s="87" t="n">
        <x:f>INT(T134)</x:f>
        <x:v>23</x:v>
      </x:c>
      <x:c r="V134" s="87" t="n">
        <x:f>S134-U134*'01 Base Costs'!$B$14</x:f>
        <x:v>164000</x:v>
      </x:c>
      <x:c r="W134" s="120" t="n">
        <x:f>'01 Base Costs'!$B$17/2</x:f>
        <x:v>70</x:v>
      </x:c>
      <x:c r="X134" s="120" t="n">
        <x:f>0</x:f>
        <x:v>0</x:v>
      </x:c>
      <x:c r="Y134" s="87" t="n">
        <x:f>T134*(W134*'01 Base Costs'!$B$7+X134)</x:f>
        <x:v>7854537600</x:v>
      </x:c>
      <x:c r="Z134" s="87" t="n">
        <x:f>T134*'01 Base Costs'!$B$8</x:f>
        <x:v>17563651200</x:v>
      </x:c>
      <x:c r="AA134" s="87" t="n">
        <x:f>Z134*'01 Base Costs'!$B$11</x:f>
        <x:v>878182560</x:v>
      </x:c>
      <x:c r="AB134" s="87" t="n">
        <x:f>Z134-AA134</x:f>
        <x:v>16685468640</x:v>
      </x:c>
      <x:c r="AC134" s="87" t="n">
        <x:f>O134+Y134</x:f>
        <x:v>18525522600</x:v>
      </x:c>
      <x:c r="AD134" s="87" t="n">
        <x:f>AB134-AC134</x:f>
        <x:v>-1840053960</x:v>
      </x:c>
      <x:c r="AE134" s="87" t="n">
        <x:f>AD134/D134</x:f>
        <x:v>-613351320</x:v>
      </x:c>
      <x:c r="AF134" s="87" t="n">
        <x:f>AD134/P134</x:f>
        <x:v>-306675660</x:v>
      </x:c>
      <x:c r="AG134" s="87" t="n">
        <x:f>IF(T134=0,0,AC134/T134/(1-'01 Base Costs'!$B$11))</x:f>
        <x:v>835928931.1241066</x:v>
      </x:c>
      <x:c r="AH134" s="88" t="str">
        <x:f>IF(AD134&gt;0,"PROFIT","LOSS")</x:f>
        <x:v>LOSS</x:v>
      </x:c>
      <x:c r="AI134" s="89" t="str">
        <x:v>Base 3M Omega. MCT sale 30% off. Extractor 2-for-1 sale.</x:v>
      </x:c>
    </x:row>
    <x:row r="135">
      <x:c r="A135" s="86" t="n">
        <x:v>133</x:v>
      </x:c>
      <x:c r="B135" s="88" t="str">
        <x:v>Base</x:v>
      </x:c>
      <x:c r="C135" s="88" t="str">
        <x:v>3M Omega</x:v>
      </x:c>
      <x:c r="D135" s="88" t="n">
        <x:v>3</x:v>
      </x:c>
      <x:c r="E135" s="88" t="n">
        <x:v>2</x:v>
      </x:c>
      <x:c r="F135" s="88" t="str">
        <x:v>NES MCT 30% sale</x:v>
      </x:c>
      <x:c r="G135" s="88" t="str">
        <x:v>NES 10-pack extractor 20% sale</x:v>
      </x:c>
      <x:c r="H135" s="87" t="n">
        <x:f>'01 Base Costs'!$B$22</x:f>
        <x:v>1200</x:v>
      </x:c>
      <x:c r="I135" s="87" t="n">
        <x:f>'01 Base Costs'!$B$16*0.7</x:f>
        <x:v>339.5</x:v>
      </x:c>
      <x:c r="J135" s="87" t="n">
        <x:f>0</x:f>
        <x:v>0</x:v>
      </x:c>
      <x:c r="K135" s="87" t="n">
        <x:f>D135*(E135-1)*I135</x:f>
        <x:v>1018.5</x:v>
      </x:c>
      <x:c r="L135" s="87" t="n">
        <x:f>D135*(E135-1)*J135</x:f>
        <x:v>0</x:v>
      </x:c>
      <x:c r="M135" s="87" t="n">
        <x:f>0</x:f>
        <x:v>0</x:v>
      </x:c>
      <x:c r="N135" s="87" t="n">
        <x:f>H135+K135+M135</x:f>
        <x:v>2218.5</x:v>
      </x:c>
      <x:c r="O135" s="87" t="n">
        <x:f>N135*'01 Base Costs'!$B$7+L135</x:f>
        <x:v>10670985000</x:v>
      </x:c>
      <x:c r="P135" s="87" t="n">
        <x:f>D135*E135</x:f>
        <x:v>6</x:v>
      </x:c>
      <x:c r="Q135" s="87" t="n">
        <x:f>P135*'01 Base Costs'!$B$12</x:f>
        <x:v>11664000</x:v>
      </x:c>
      <x:c r="R135" s="87" t="n">
        <x:f>0</x:f>
        <x:v>0</x:v>
      </x:c>
      <x:c r="S135" s="87" t="n">
        <x:f>Q135+R135</x:f>
        <x:v>11664000</x:v>
      </x:c>
      <x:c r="T135" s="141" t="n">
        <x:f>S135/'01 Base Costs'!$B$14</x:f>
        <x:v>23.328</x:v>
      </x:c>
      <x:c r="U135" s="87" t="n">
        <x:f>INT(T135)</x:f>
        <x:v>23</x:v>
      </x:c>
      <x:c r="V135" s="87" t="n">
        <x:f>S135-U135*'01 Base Costs'!$B$14</x:f>
        <x:v>164000</x:v>
      </x:c>
      <x:c r="W135" s="120" t="n">
        <x:f>'01 Base Costs'!$B$19*0.8/10</x:f>
        <x:v>95.2</x:v>
      </x:c>
      <x:c r="X135" s="120" t="n">
        <x:f>0</x:f>
        <x:v>0</x:v>
      </x:c>
      <x:c r="Y135" s="87" t="n">
        <x:f>T135*(W135*'01 Base Costs'!$B$7+X135)</x:f>
        <x:v>10682171136</x:v>
      </x:c>
      <x:c r="Z135" s="87" t="n">
        <x:f>T135*'01 Base Costs'!$B$8</x:f>
        <x:v>17563651200</x:v>
      </x:c>
      <x:c r="AA135" s="87" t="n">
        <x:f>Z135*'01 Base Costs'!$B$11</x:f>
        <x:v>878182560</x:v>
      </x:c>
      <x:c r="AB135" s="87" t="n">
        <x:f>Z135-AA135</x:f>
        <x:v>16685468640</x:v>
      </x:c>
      <x:c r="AC135" s="87" t="n">
        <x:f>O135+Y135</x:f>
        <x:v>21353156136</x:v>
      </x:c>
      <x:c r="AD135" s="87" t="n">
        <x:f>AB135-AC135</x:f>
        <x:v>-4667687496</x:v>
      </x:c>
      <x:c r="AE135" s="87" t="n">
        <x:f>AD135/D135</x:f>
        <x:v>-1555895832</x:v>
      </x:c>
      <x:c r="AF135" s="87" t="n">
        <x:f>AD135/P135</x:f>
        <x:v>-777947916</x:v>
      </x:c>
      <x:c r="AG135" s="87" t="n">
        <x:f>IF(T135=0,0,AC135/T135/(1-'01 Base Costs'!$B$11))</x:f>
        <x:v>963520510.071475</x:v>
      </x:c>
      <x:c r="AH135" s="88" t="str">
        <x:f>IF(AD135&gt;0,"PROFIT","LOSS")</x:f>
        <x:v>LOSS</x:v>
      </x:c>
      <x:c r="AI135" s="89" t="str">
        <x:v>Base 3M Omega. MCT sale 30% off. 10-pack at 20% off.</x:v>
      </x:c>
    </x:row>
    <x:row r="136">
      <x:c r="A136" s="86" t="n">
        <x:v>134</x:v>
      </x:c>
      <x:c r="B136" s="88" t="str">
        <x:v>Base</x:v>
      </x:c>
      <x:c r="C136" s="88" t="str">
        <x:v>3M Omega</x:v>
      </x:c>
      <x:c r="D136" s="88" t="n">
        <x:v>3</x:v>
      </x:c>
      <x:c r="E136" s="88" t="n">
        <x:v>2</x:v>
      </x:c>
      <x:c r="F136" s="88" t="str">
        <x:v>NES MCT 30% sale</x:v>
      </x:c>
      <x:c r="G136" s="88" t="str">
        <x:v>NES 50-pack extractor 20% sale</x:v>
      </x:c>
      <x:c r="H136" s="87" t="n">
        <x:f>'01 Base Costs'!$B$22</x:f>
        <x:v>1200</x:v>
      </x:c>
      <x:c r="I136" s="87" t="n">
        <x:f>'01 Base Costs'!$B$16*0.7</x:f>
        <x:v>339.5</x:v>
      </x:c>
      <x:c r="J136" s="87" t="n">
        <x:f>0</x:f>
        <x:v>0</x:v>
      </x:c>
      <x:c r="K136" s="87" t="n">
        <x:f>D136*(E136-1)*I136</x:f>
        <x:v>1018.5</x:v>
      </x:c>
      <x:c r="L136" s="87" t="n">
        <x:f>D136*(E136-1)*J136</x:f>
        <x:v>0</x:v>
      </x:c>
      <x:c r="M136" s="87" t="n">
        <x:f>0</x:f>
        <x:v>0</x:v>
      </x:c>
      <x:c r="N136" s="87" t="n">
        <x:f>H136+K136+M136</x:f>
        <x:v>2218.5</x:v>
      </x:c>
      <x:c r="O136" s="87" t="n">
        <x:f>N136*'01 Base Costs'!$B$7+L136</x:f>
        <x:v>10670985000</x:v>
      </x:c>
      <x:c r="P136" s="87" t="n">
        <x:f>D136*E136</x:f>
        <x:v>6</x:v>
      </x:c>
      <x:c r="Q136" s="87" t="n">
        <x:f>P136*'01 Base Costs'!$B$12</x:f>
        <x:v>11664000</x:v>
      </x:c>
      <x:c r="R136" s="87" t="n">
        <x:f>0</x:f>
        <x:v>0</x:v>
      </x:c>
      <x:c r="S136" s="87" t="n">
        <x:f>Q136+R136</x:f>
        <x:v>11664000</x:v>
      </x:c>
      <x:c r="T136" s="141" t="n">
        <x:f>S136/'01 Base Costs'!$B$14</x:f>
        <x:v>23.328</x:v>
      </x:c>
      <x:c r="U136" s="87" t="n">
        <x:f>INT(T136)</x:f>
        <x:v>23</x:v>
      </x:c>
      <x:c r="V136" s="87" t="n">
        <x:f>S136-U136*'01 Base Costs'!$B$14</x:f>
        <x:v>164000</x:v>
      </x:c>
      <x:c r="W136" s="120" t="n">
        <x:f>'01 Base Costs'!$B$20*0.8/50</x:f>
        <x:v>89.6</x:v>
      </x:c>
      <x:c r="X136" s="120" t="n">
        <x:f>0</x:f>
        <x:v>0</x:v>
      </x:c>
      <x:c r="Y136" s="87" t="n">
        <x:f>T136*(W136*'01 Base Costs'!$B$7+X136)</x:f>
        <x:v>10053808128</x:v>
      </x:c>
      <x:c r="Z136" s="87" t="n">
        <x:f>T136*'01 Base Costs'!$B$8</x:f>
        <x:v>17563651200</x:v>
      </x:c>
      <x:c r="AA136" s="87" t="n">
        <x:f>Z136*'01 Base Costs'!$B$11</x:f>
        <x:v>878182560</x:v>
      </x:c>
      <x:c r="AB136" s="87" t="n">
        <x:f>Z136-AA136</x:f>
        <x:v>16685468640</x:v>
      </x:c>
      <x:c r="AC136" s="87" t="n">
        <x:f>O136+Y136</x:f>
        <x:v>20724793128</x:v>
      </x:c>
      <x:c r="AD136" s="87" t="n">
        <x:f>AB136-AC136</x:f>
        <x:v>-4039324488</x:v>
      </x:c>
      <x:c r="AE136" s="87" t="n">
        <x:f>AD136/D136</x:f>
        <x:v>-1346441496</x:v>
      </x:c>
      <x:c r="AF136" s="87" t="n">
        <x:f>AD136/P136</x:f>
        <x:v>-673220748</x:v>
      </x:c>
      <x:c r="AG136" s="87" t="n">
        <x:f>IF(T136=0,0,AC136/T136/(1-'01 Base Costs'!$B$11))</x:f>
        <x:v>935166825.8609487</x:v>
      </x:c>
      <x:c r="AH136" s="88" t="str">
        <x:f>IF(AD136&gt;0,"PROFIT","LOSS")</x:f>
        <x:v>LOSS</x:v>
      </x:c>
      <x:c r="AI136" s="89" t="str">
        <x:v>Base 3M Omega. MCT sale 30% off. 50-pack at 20% off.</x:v>
      </x:c>
    </x:row>
    <x:row r="137">
      <x:c r="A137" s="86" t="n">
        <x:v>135</x:v>
      </x:c>
      <x:c r="B137" s="88" t="str">
        <x:v>Base</x:v>
      </x:c>
      <x:c r="C137" s="88" t="str">
        <x:v>3M Omega</x:v>
      </x:c>
      <x:c r="D137" s="88" t="n">
        <x:v>3</x:v>
      </x:c>
      <x:c r="E137" s="88" t="n">
        <x:v>2</x:v>
      </x:c>
      <x:c r="F137" s="88" t="str">
        <x:v>NES MCT 30% sale</x:v>
      </x:c>
      <x:c r="G137" s="88" t="str">
        <x:v>Market Skill Extractor</x:v>
      </x:c>
      <x:c r="H137" s="87" t="n">
        <x:f>'01 Base Costs'!$B$22</x:f>
        <x:v>1200</x:v>
      </x:c>
      <x:c r="I137" s="87" t="n">
        <x:f>'01 Base Costs'!$B$16*0.7</x:f>
        <x:v>339.5</x:v>
      </x:c>
      <x:c r="J137" s="87" t="n">
        <x:f>0</x:f>
        <x:v>0</x:v>
      </x:c>
      <x:c r="K137" s="87" t="n">
        <x:f>D137*(E137-1)*I137</x:f>
        <x:v>1018.5</x:v>
      </x:c>
      <x:c r="L137" s="87" t="n">
        <x:f>D137*(E137-1)*J137</x:f>
        <x:v>0</x:v>
      </x:c>
      <x:c r="M137" s="87" t="n">
        <x:f>0</x:f>
        <x:v>0</x:v>
      </x:c>
      <x:c r="N137" s="87" t="n">
        <x:f>H137+K137+M137</x:f>
        <x:v>2218.5</x:v>
      </x:c>
      <x:c r="O137" s="87" t="n">
        <x:f>N137*'01 Base Costs'!$B$7+L137</x:f>
        <x:v>10670985000</x:v>
      </x:c>
      <x:c r="P137" s="87" t="n">
        <x:f>D137*E137</x:f>
        <x:v>6</x:v>
      </x:c>
      <x:c r="Q137" s="87" t="n">
        <x:f>P137*'01 Base Costs'!$B$12</x:f>
        <x:v>11664000</x:v>
      </x:c>
      <x:c r="R137" s="87" t="n">
        <x:f>0</x:f>
        <x:v>0</x:v>
      </x:c>
      <x:c r="S137" s="87" t="n">
        <x:f>Q137+R137</x:f>
        <x:v>11664000</x:v>
      </x:c>
      <x:c r="T137" s="141" t="n">
        <x:f>S137/'01 Base Costs'!$B$14</x:f>
        <x:v>23.328</x:v>
      </x:c>
      <x:c r="U137" s="87" t="n">
        <x:f>INT(T137)</x:f>
        <x:v>23</x:v>
      </x:c>
      <x:c r="V137" s="87" t="n">
        <x:f>S137-U137*'01 Base Costs'!$B$14</x:f>
        <x:v>164000</x:v>
      </x:c>
      <x:c r="W137" s="120" t="n">
        <x:f>0</x:f>
        <x:v>0</x:v>
      </x:c>
      <x:c r="X137" s="120" t="n">
        <x:f>'01 Base Costs'!$B$9</x:f>
        <x:v>463500000</x:v>
      </x:c>
      <x:c r="Y137" s="87" t="n">
        <x:f>T137*(W137*'01 Base Costs'!$B$7+X137)</x:f>
        <x:v>10812528000</x:v>
      </x:c>
      <x:c r="Z137" s="87" t="n">
        <x:f>T137*'01 Base Costs'!$B$8</x:f>
        <x:v>17563651200</x:v>
      </x:c>
      <x:c r="AA137" s="87" t="n">
        <x:f>Z137*'01 Base Costs'!$B$11</x:f>
        <x:v>878182560</x:v>
      </x:c>
      <x:c r="AB137" s="87" t="n">
        <x:f>Z137-AA137</x:f>
        <x:v>16685468640</x:v>
      </x:c>
      <x:c r="AC137" s="87" t="n">
        <x:f>O137+Y137</x:f>
        <x:v>21483513000</x:v>
      </x:c>
      <x:c r="AD137" s="87" t="n">
        <x:f>AB137-AC137</x:f>
        <x:v>-4798044360</x:v>
      </x:c>
      <x:c r="AE137" s="87" t="n">
        <x:f>AD137/D137</x:f>
        <x:v>-1599348120</x:v>
      </x:c>
      <x:c r="AF137" s="87" t="n">
        <x:f>AD137/P137</x:f>
        <x:v>-799674060</x:v>
      </x:c>
      <x:c r="AG137" s="87" t="n">
        <x:f>IF(T137=0,0,AC137/T137/(1-'01 Base Costs'!$B$11))</x:f>
        <x:v>969402615.334633</x:v>
      </x:c>
      <x:c r="AH137" s="88" t="str">
        <x:f>IF(AD137&gt;0,"PROFIT","LOSS")</x:f>
        <x:v>LOSS</x:v>
      </x:c>
      <x:c r="AI137" s="89" t="str">
        <x:v>Base 3M Omega. MCT sale 30% off. Extractor bought on market with ISK.</x:v>
      </x:c>
    </x:row>
    <x:row r="138">
      <x:c r="A138" s="86" t="n">
        <x:v>136</x:v>
      </x:c>
      <x:c r="B138" s="88" t="str">
        <x:v>Base</x:v>
      </x:c>
      <x:c r="C138" s="88" t="str">
        <x:v>3M Omega</x:v>
      </x:c>
      <x:c r="D138" s="88" t="n">
        <x:v>3</x:v>
      </x:c>
      <x:c r="E138" s="88" t="n">
        <x:v>2</x:v>
      </x:c>
      <x:c r="F138" s="88" t="str">
        <x:v>NES MCT 40% sale</x:v>
      </x:c>
      <x:c r="G138" s="88" t="str">
        <x:v>NES single extractor</x:v>
      </x:c>
      <x:c r="H138" s="87" t="n">
        <x:f>'01 Base Costs'!$B$22</x:f>
        <x:v>1200</x:v>
      </x:c>
      <x:c r="I138" s="87" t="n">
        <x:f>'01 Base Costs'!$B$16*0.6</x:f>
        <x:v>291</x:v>
      </x:c>
      <x:c r="J138" s="87" t="n">
        <x:f>0</x:f>
        <x:v>0</x:v>
      </x:c>
      <x:c r="K138" s="87" t="n">
        <x:f>D138*(E138-1)*I138</x:f>
        <x:v>873</x:v>
      </x:c>
      <x:c r="L138" s="87" t="n">
        <x:f>D138*(E138-1)*J138</x:f>
        <x:v>0</x:v>
      </x:c>
      <x:c r="M138" s="87" t="n">
        <x:f>0</x:f>
        <x:v>0</x:v>
      </x:c>
      <x:c r="N138" s="87" t="n">
        <x:f>H138+K138+M138</x:f>
        <x:v>2073</x:v>
      </x:c>
      <x:c r="O138" s="87" t="n">
        <x:f>N138*'01 Base Costs'!$B$7+L138</x:f>
        <x:v>9971130000</x:v>
      </x:c>
      <x:c r="P138" s="87" t="n">
        <x:f>D138*E138</x:f>
        <x:v>6</x:v>
      </x:c>
      <x:c r="Q138" s="87" t="n">
        <x:f>P138*'01 Base Costs'!$B$12</x:f>
        <x:v>11664000</x:v>
      </x:c>
      <x:c r="R138" s="87" t="n">
        <x:f>0</x:f>
        <x:v>0</x:v>
      </x:c>
      <x:c r="S138" s="87" t="n">
        <x:f>Q138+R138</x:f>
        <x:v>11664000</x:v>
      </x:c>
      <x:c r="T138" s="141" t="n">
        <x:f>S138/'01 Base Costs'!$B$14</x:f>
        <x:v>23.328</x:v>
      </x:c>
      <x:c r="U138" s="87" t="n">
        <x:f>INT(T138)</x:f>
        <x:v>23</x:v>
      </x:c>
      <x:c r="V138" s="87" t="n">
        <x:f>S138-U138*'01 Base Costs'!$B$14</x:f>
        <x:v>164000</x:v>
      </x:c>
      <x:c r="W138" s="120" t="n">
        <x:f>'01 Base Costs'!$B$17</x:f>
        <x:v>140</x:v>
      </x:c>
      <x:c r="X138" s="120" t="n">
        <x:f>0</x:f>
        <x:v>0</x:v>
      </x:c>
      <x:c r="Y138" s="87" t="n">
        <x:f>T138*(W138*'01 Base Costs'!$B$7+X138)</x:f>
        <x:v>15709075200</x:v>
      </x:c>
      <x:c r="Z138" s="87" t="n">
        <x:f>T138*'01 Base Costs'!$B$8</x:f>
        <x:v>17563651200</x:v>
      </x:c>
      <x:c r="AA138" s="87" t="n">
        <x:f>Z138*'01 Base Costs'!$B$11</x:f>
        <x:v>878182560</x:v>
      </x:c>
      <x:c r="AB138" s="87" t="n">
        <x:f>Z138-AA138</x:f>
        <x:v>16685468640</x:v>
      </x:c>
      <x:c r="AC138" s="87" t="n">
        <x:f>O138+Y138</x:f>
        <x:v>25680205200</x:v>
      </x:c>
      <x:c r="AD138" s="87" t="n">
        <x:f>AB138-AC138</x:f>
        <x:v>-8994736560</x:v>
      </x:c>
      <x:c r="AE138" s="87" t="n">
        <x:f>AD138/D138</x:f>
        <x:v>-2998245520</x:v>
      </x:c>
      <x:c r="AF138" s="87" t="n">
        <x:f>AD138/P138</x:f>
        <x:v>-1499122760</x:v>
      </x:c>
      <x:c r="AG138" s="87" t="n">
        <x:f>IF(T138=0,0,AC138/T138/(1-'01 Base Costs'!$B$11))</x:f>
        <x:v>1158770359.5408275</x:v>
      </x:c>
      <x:c r="AH138" s="88" t="str">
        <x:f>IF(AD138&gt;0,"PROFIT","LOSS")</x:f>
        <x:v>LOSS</x:v>
      </x:c>
      <x:c r="AI138" s="89" t="str">
        <x:v>Base 3M Omega. MCT sale 40% off. Base single extractor.</x:v>
      </x:c>
    </x:row>
    <x:row r="139">
      <x:c r="A139" s="86" t="n">
        <x:v>137</x:v>
      </x:c>
      <x:c r="B139" s="88" t="str">
        <x:v>Base</x:v>
      </x:c>
      <x:c r="C139" s="88" t="str">
        <x:v>3M Omega</x:v>
      </x:c>
      <x:c r="D139" s="88" t="n">
        <x:v>3</x:v>
      </x:c>
      <x:c r="E139" s="88" t="n">
        <x:v>2</x:v>
      </x:c>
      <x:c r="F139" s="88" t="str">
        <x:v>NES MCT 40% sale</x:v>
      </x:c>
      <x:c r="G139" s="88" t="str">
        <x:v>NES 5-pack extractor</x:v>
      </x:c>
      <x:c r="H139" s="87" t="n">
        <x:f>'01 Base Costs'!$B$22</x:f>
        <x:v>1200</x:v>
      </x:c>
      <x:c r="I139" s="87" t="n">
        <x:f>'01 Base Costs'!$B$16*0.6</x:f>
        <x:v>291</x:v>
      </x:c>
      <x:c r="J139" s="87" t="n">
        <x:f>0</x:f>
        <x:v>0</x:v>
      </x:c>
      <x:c r="K139" s="87" t="n">
        <x:f>D139*(E139-1)*I139</x:f>
        <x:v>873</x:v>
      </x:c>
      <x:c r="L139" s="87" t="n">
        <x:f>D139*(E139-1)*J139</x:f>
        <x:v>0</x:v>
      </x:c>
      <x:c r="M139" s="87" t="n">
        <x:f>0</x:f>
        <x:v>0</x:v>
      </x:c>
      <x:c r="N139" s="87" t="n">
        <x:f>H139+K139+M139</x:f>
        <x:v>2073</x:v>
      </x:c>
      <x:c r="O139" s="87" t="n">
        <x:f>N139*'01 Base Costs'!$B$7+L139</x:f>
        <x:v>9971130000</x:v>
      </x:c>
      <x:c r="P139" s="87" t="n">
        <x:f>D139*E139</x:f>
        <x:v>6</x:v>
      </x:c>
      <x:c r="Q139" s="87" t="n">
        <x:f>P139*'01 Base Costs'!$B$12</x:f>
        <x:v>11664000</x:v>
      </x:c>
      <x:c r="R139" s="87" t="n">
        <x:f>0</x:f>
        <x:v>0</x:v>
      </x:c>
      <x:c r="S139" s="87" t="n">
        <x:f>Q139+R139</x:f>
        <x:v>11664000</x:v>
      </x:c>
      <x:c r="T139" s="141" t="n">
        <x:f>S139/'01 Base Costs'!$B$14</x:f>
        <x:v>23.328</x:v>
      </x:c>
      <x:c r="U139" s="87" t="n">
        <x:f>INT(T139)</x:f>
        <x:v>23</x:v>
      </x:c>
      <x:c r="V139" s="87" t="n">
        <x:f>S139-U139*'01 Base Costs'!$B$14</x:f>
        <x:v>164000</x:v>
      </x:c>
      <x:c r="W139" s="120" t="n">
        <x:f>'01 Base Costs'!$B$18/5</x:f>
        <x:v>126</x:v>
      </x:c>
      <x:c r="X139" s="120" t="n">
        <x:f>0</x:f>
        <x:v>0</x:v>
      </x:c>
      <x:c r="Y139" s="87" t="n">
        <x:f>T139*(W139*'01 Base Costs'!$B$7+X139)</x:f>
        <x:v>14138167680</x:v>
      </x:c>
      <x:c r="Z139" s="87" t="n">
        <x:f>T139*'01 Base Costs'!$B$8</x:f>
        <x:v>17563651200</x:v>
      </x:c>
      <x:c r="AA139" s="87" t="n">
        <x:f>Z139*'01 Base Costs'!$B$11</x:f>
        <x:v>878182560</x:v>
      </x:c>
      <x:c r="AB139" s="87" t="n">
        <x:f>Z139-AA139</x:f>
        <x:v>16685468640</x:v>
      </x:c>
      <x:c r="AC139" s="87" t="n">
        <x:f>O139+Y139</x:f>
        <x:v>24109297680</x:v>
      </x:c>
      <x:c r="AD139" s="87" t="n">
        <x:f>AB139-AC139</x:f>
        <x:v>-7423829040</x:v>
      </x:c>
      <x:c r="AE139" s="87" t="n">
        <x:f>AD139/D139</x:f>
        <x:v>-2474609680</x:v>
      </x:c>
      <x:c r="AF139" s="87" t="n">
        <x:f>AD139/P139</x:f>
        <x:v>-1237304840</x:v>
      </x:c>
      <x:c r="AG139" s="87" t="n">
        <x:f>IF(T139=0,0,AC139/T139/(1-'01 Base Costs'!$B$11))</x:f>
        <x:v>1087886149.0145116</x:v>
      </x:c>
      <x:c r="AH139" s="88" t="str">
        <x:f>IF(AD139&gt;0,"PROFIT","LOSS")</x:f>
        <x:v>LOSS</x:v>
      </x:c>
      <x:c r="AI139" s="89" t="str">
        <x:v>Base 3M Omega. MCT sale 40% off. Base 5-pack average.</x:v>
      </x:c>
    </x:row>
    <x:row r="140">
      <x:c r="A140" s="86" t="n">
        <x:v>138</x:v>
      </x:c>
      <x:c r="B140" s="88" t="str">
        <x:v>Base</x:v>
      </x:c>
      <x:c r="C140" s="88" t="str">
        <x:v>3M Omega</x:v>
      </x:c>
      <x:c r="D140" s="88" t="n">
        <x:v>3</x:v>
      </x:c>
      <x:c r="E140" s="88" t="n">
        <x:v>2</x:v>
      </x:c>
      <x:c r="F140" s="88" t="str">
        <x:v>NES MCT 40% sale</x:v>
      </x:c>
      <x:c r="G140" s="88" t="str">
        <x:v>NES 10-pack extractor</x:v>
      </x:c>
      <x:c r="H140" s="87" t="n">
        <x:f>'01 Base Costs'!$B$22</x:f>
        <x:v>1200</x:v>
      </x:c>
      <x:c r="I140" s="87" t="n">
        <x:f>'01 Base Costs'!$B$16*0.6</x:f>
        <x:v>291</x:v>
      </x:c>
      <x:c r="J140" s="87" t="n">
        <x:f>0</x:f>
        <x:v>0</x:v>
      </x:c>
      <x:c r="K140" s="87" t="n">
        <x:f>D140*(E140-1)*I140</x:f>
        <x:v>873</x:v>
      </x:c>
      <x:c r="L140" s="87" t="n">
        <x:f>D140*(E140-1)*J140</x:f>
        <x:v>0</x:v>
      </x:c>
      <x:c r="M140" s="87" t="n">
        <x:f>0</x:f>
        <x:v>0</x:v>
      </x:c>
      <x:c r="N140" s="87" t="n">
        <x:f>H140+K140+M140</x:f>
        <x:v>2073</x:v>
      </x:c>
      <x:c r="O140" s="87" t="n">
        <x:f>N140*'01 Base Costs'!$B$7+L140</x:f>
        <x:v>9971130000</x:v>
      </x:c>
      <x:c r="P140" s="87" t="n">
        <x:f>D140*E140</x:f>
        <x:v>6</x:v>
      </x:c>
      <x:c r="Q140" s="87" t="n">
        <x:f>P140*'01 Base Costs'!$B$12</x:f>
        <x:v>11664000</x:v>
      </x:c>
      <x:c r="R140" s="87" t="n">
        <x:f>0</x:f>
        <x:v>0</x:v>
      </x:c>
      <x:c r="S140" s="87" t="n">
        <x:f>Q140+R140</x:f>
        <x:v>11664000</x:v>
      </x:c>
      <x:c r="T140" s="141" t="n">
        <x:f>S140/'01 Base Costs'!$B$14</x:f>
        <x:v>23.328</x:v>
      </x:c>
      <x:c r="U140" s="87" t="n">
        <x:f>INT(T140)</x:f>
        <x:v>23</x:v>
      </x:c>
      <x:c r="V140" s="87" t="n">
        <x:f>S140-U140*'01 Base Costs'!$B$14</x:f>
        <x:v>164000</x:v>
      </x:c>
      <x:c r="W140" s="120" t="n">
        <x:f>'01 Base Costs'!$B$19/10</x:f>
        <x:v>119</x:v>
      </x:c>
      <x:c r="X140" s="120" t="n">
        <x:f>0</x:f>
        <x:v>0</x:v>
      </x:c>
      <x:c r="Y140" s="87" t="n">
        <x:f>T140*(W140*'01 Base Costs'!$B$7+X140)</x:f>
        <x:v>13352713920</x:v>
      </x:c>
      <x:c r="Z140" s="87" t="n">
        <x:f>T140*'01 Base Costs'!$B$8</x:f>
        <x:v>17563651200</x:v>
      </x:c>
      <x:c r="AA140" s="87" t="n">
        <x:f>Z140*'01 Base Costs'!$B$11</x:f>
        <x:v>878182560</x:v>
      </x:c>
      <x:c r="AB140" s="87" t="n">
        <x:f>Z140-AA140</x:f>
        <x:v>16685468640</x:v>
      </x:c>
      <x:c r="AC140" s="87" t="n">
        <x:f>O140+Y140</x:f>
        <x:v>23323843920</x:v>
      </x:c>
      <x:c r="AD140" s="87" t="n">
        <x:f>AB140-AC140</x:f>
        <x:v>-6638375280</x:v>
      </x:c>
      <x:c r="AE140" s="87" t="n">
        <x:f>AD140/D140</x:f>
        <x:v>-2212791760</x:v>
      </x:c>
      <x:c r="AF140" s="87" t="n">
        <x:f>AD140/P140</x:f>
        <x:v>-1106395880</x:v>
      </x:c>
      <x:c r="AG140" s="87" t="n">
        <x:f>IF(T140=0,0,AC140/T140/(1-'01 Base Costs'!$B$11))</x:f>
        <x:v>1052444043.7513537</x:v>
      </x:c>
      <x:c r="AH140" s="88" t="str">
        <x:f>IF(AD140&gt;0,"PROFIT","LOSS")</x:f>
        <x:v>LOSS</x:v>
      </x:c>
      <x:c r="AI140" s="89" t="str">
        <x:v>Base 3M Omega. MCT sale 40% off. Base 10-pack average.</x:v>
      </x:c>
    </x:row>
    <x:row r="141">
      <x:c r="A141" s="86" t="n">
        <x:v>139</x:v>
      </x:c>
      <x:c r="B141" s="88" t="str">
        <x:v>Base</x:v>
      </x:c>
      <x:c r="C141" s="88" t="str">
        <x:v>3M Omega</x:v>
      </x:c>
      <x:c r="D141" s="88" t="n">
        <x:v>3</x:v>
      </x:c>
      <x:c r="E141" s="88" t="n">
        <x:v>2</x:v>
      </x:c>
      <x:c r="F141" s="88" t="str">
        <x:v>NES MCT 40% sale</x:v>
      </x:c>
      <x:c r="G141" s="88" t="str">
        <x:v>NES 50-pack extractor</x:v>
      </x:c>
      <x:c r="H141" s="87" t="n">
        <x:f>'01 Base Costs'!$B$22</x:f>
        <x:v>1200</x:v>
      </x:c>
      <x:c r="I141" s="87" t="n">
        <x:f>'01 Base Costs'!$B$16*0.6</x:f>
        <x:v>291</x:v>
      </x:c>
      <x:c r="J141" s="87" t="n">
        <x:f>0</x:f>
        <x:v>0</x:v>
      </x:c>
      <x:c r="K141" s="87" t="n">
        <x:f>D141*(E141-1)*I141</x:f>
        <x:v>873</x:v>
      </x:c>
      <x:c r="L141" s="87" t="n">
        <x:f>D141*(E141-1)*J141</x:f>
        <x:v>0</x:v>
      </x:c>
      <x:c r="M141" s="87" t="n">
        <x:f>0</x:f>
        <x:v>0</x:v>
      </x:c>
      <x:c r="N141" s="87" t="n">
        <x:f>H141+K141+M141</x:f>
        <x:v>2073</x:v>
      </x:c>
      <x:c r="O141" s="87" t="n">
        <x:f>N141*'01 Base Costs'!$B$7+L141</x:f>
        <x:v>9971130000</x:v>
      </x:c>
      <x:c r="P141" s="87" t="n">
        <x:f>D141*E141</x:f>
        <x:v>6</x:v>
      </x:c>
      <x:c r="Q141" s="87" t="n">
        <x:f>P141*'01 Base Costs'!$B$12</x:f>
        <x:v>11664000</x:v>
      </x:c>
      <x:c r="R141" s="87" t="n">
        <x:f>0</x:f>
        <x:v>0</x:v>
      </x:c>
      <x:c r="S141" s="87" t="n">
        <x:f>Q141+R141</x:f>
        <x:v>11664000</x:v>
      </x:c>
      <x:c r="T141" s="141" t="n">
        <x:f>S141/'01 Base Costs'!$B$14</x:f>
        <x:v>23.328</x:v>
      </x:c>
      <x:c r="U141" s="87" t="n">
        <x:f>INT(T141)</x:f>
        <x:v>23</x:v>
      </x:c>
      <x:c r="V141" s="87" t="n">
        <x:f>S141-U141*'01 Base Costs'!$B$14</x:f>
        <x:v>164000</x:v>
      </x:c>
      <x:c r="W141" s="120" t="n">
        <x:f>'01 Base Costs'!$B$20/50</x:f>
        <x:v>112</x:v>
      </x:c>
      <x:c r="X141" s="120" t="n">
        <x:f>0</x:f>
        <x:v>0</x:v>
      </x:c>
      <x:c r="Y141" s="87" t="n">
        <x:f>T141*(W141*'01 Base Costs'!$B$7+X141)</x:f>
        <x:v>12567260160</x:v>
      </x:c>
      <x:c r="Z141" s="87" t="n">
        <x:f>T141*'01 Base Costs'!$B$8</x:f>
        <x:v>17563651200</x:v>
      </x:c>
      <x:c r="AA141" s="87" t="n">
        <x:f>Z141*'01 Base Costs'!$B$11</x:f>
        <x:v>878182560</x:v>
      </x:c>
      <x:c r="AB141" s="87" t="n">
        <x:f>Z141-AA141</x:f>
        <x:v>16685468640</x:v>
      </x:c>
      <x:c r="AC141" s="87" t="n">
        <x:f>O141+Y141</x:f>
        <x:v>22538390160</x:v>
      </x:c>
      <x:c r="AD141" s="87" t="n">
        <x:f>AB141-AC141</x:f>
        <x:v>-5852921520</x:v>
      </x:c>
      <x:c r="AE141" s="87" t="n">
        <x:f>AD141/D141</x:f>
        <x:v>-1950973840</x:v>
      </x:c>
      <x:c r="AF141" s="87" t="n">
        <x:f>AD141/P141</x:f>
        <x:v>-975486920</x:v>
      </x:c>
      <x:c r="AG141" s="87" t="n">
        <x:f>IF(T141=0,0,AC141/T141/(1-'01 Base Costs'!$B$11))</x:f>
        <x:v>1017001938.4881959</x:v>
      </x:c>
      <x:c r="AH141" s="88" t="str">
        <x:f>IF(AD141&gt;0,"PROFIT","LOSS")</x:f>
        <x:v>LOSS</x:v>
      </x:c>
      <x:c r="AI141" s="89" t="str">
        <x:v>Base 3M Omega. MCT sale 40% off. Base 50-pack average.</x:v>
      </x:c>
    </x:row>
    <x:row r="142">
      <x:c r="A142" s="86" t="n">
        <x:v>140</x:v>
      </x:c>
      <x:c r="B142" s="88" t="str">
        <x:v>Base</x:v>
      </x:c>
      <x:c r="C142" s="88" t="str">
        <x:v>3M Omega</x:v>
      </x:c>
      <x:c r="D142" s="88" t="n">
        <x:v>3</x:v>
      </x:c>
      <x:c r="E142" s="88" t="n">
        <x:v>2</x:v>
      </x:c>
      <x:c r="F142" s="88" t="str">
        <x:v>NES MCT 40% sale</x:v>
      </x:c>
      <x:c r="G142" s="88" t="str">
        <x:v>NES 3-for-2 extractor sale</x:v>
      </x:c>
      <x:c r="H142" s="87" t="n">
        <x:f>'01 Base Costs'!$B$22</x:f>
        <x:v>1200</x:v>
      </x:c>
      <x:c r="I142" s="87" t="n">
        <x:f>'01 Base Costs'!$B$16*0.6</x:f>
        <x:v>291</x:v>
      </x:c>
      <x:c r="J142" s="87" t="n">
        <x:f>0</x:f>
        <x:v>0</x:v>
      </x:c>
      <x:c r="K142" s="87" t="n">
        <x:f>D142*(E142-1)*I142</x:f>
        <x:v>873</x:v>
      </x:c>
      <x:c r="L142" s="87" t="n">
        <x:f>D142*(E142-1)*J142</x:f>
        <x:v>0</x:v>
      </x:c>
      <x:c r="M142" s="87" t="n">
        <x:f>0</x:f>
        <x:v>0</x:v>
      </x:c>
      <x:c r="N142" s="87" t="n">
        <x:f>H142+K142+M142</x:f>
        <x:v>2073</x:v>
      </x:c>
      <x:c r="O142" s="87" t="n">
        <x:f>N142*'01 Base Costs'!$B$7+L142</x:f>
        <x:v>9971130000</x:v>
      </x:c>
      <x:c r="P142" s="87" t="n">
        <x:f>D142*E142</x:f>
        <x:v>6</x:v>
      </x:c>
      <x:c r="Q142" s="87" t="n">
        <x:f>P142*'01 Base Costs'!$B$12</x:f>
        <x:v>11664000</x:v>
      </x:c>
      <x:c r="R142" s="87" t="n">
        <x:f>0</x:f>
        <x:v>0</x:v>
      </x:c>
      <x:c r="S142" s="87" t="n">
        <x:f>Q142+R142</x:f>
        <x:v>11664000</x:v>
      </x:c>
      <x:c r="T142" s="141" t="n">
        <x:f>S142/'01 Base Costs'!$B$14</x:f>
        <x:v>23.328</x:v>
      </x:c>
      <x:c r="U142" s="87" t="n">
        <x:f>INT(T142)</x:f>
        <x:v>23</x:v>
      </x:c>
      <x:c r="V142" s="87" t="n">
        <x:f>S142-U142*'01 Base Costs'!$B$14</x:f>
        <x:v>164000</x:v>
      </x:c>
      <x:c r="W142" s="120" t="n">
        <x:f>'01 Base Costs'!$B$17*2/3</x:f>
        <x:v>93.33333333333333</x:v>
      </x:c>
      <x:c r="X142" s="120" t="n">
        <x:f>0</x:f>
        <x:v>0</x:v>
      </x:c>
      <x:c r="Y142" s="87" t="n">
        <x:f>T142*(W142*'01 Base Costs'!$B$7+X142)</x:f>
        <x:v>10472716800</x:v>
      </x:c>
      <x:c r="Z142" s="87" t="n">
        <x:f>T142*'01 Base Costs'!$B$8</x:f>
        <x:v>17563651200</x:v>
      </x:c>
      <x:c r="AA142" s="87" t="n">
        <x:f>Z142*'01 Base Costs'!$B$11</x:f>
        <x:v>878182560</x:v>
      </x:c>
      <x:c r="AB142" s="87" t="n">
        <x:f>Z142-AA142</x:f>
        <x:v>16685468640</x:v>
      </x:c>
      <x:c r="AC142" s="87" t="n">
        <x:f>O142+Y142</x:f>
        <x:v>20443846800</x:v>
      </x:c>
      <x:c r="AD142" s="87" t="n">
        <x:f>AB142-AC142</x:f>
        <x:v>-3758378160</x:v>
      </x:c>
      <x:c r="AE142" s="87" t="n">
        <x:f>AD142/D142</x:f>
        <x:v>-1252792720</x:v>
      </x:c>
      <x:c r="AF142" s="87" t="n">
        <x:f>AD142/P142</x:f>
        <x:v>-626396360</x:v>
      </x:c>
      <x:c r="AG142" s="87" t="n">
        <x:f>IF(T142=0,0,AC142/T142/(1-'01 Base Costs'!$B$11))</x:f>
        <x:v>922489657.7864416</x:v>
      </x:c>
      <x:c r="AH142" s="88" t="str">
        <x:f>IF(AD142&gt;0,"PROFIT","LOSS")</x:f>
        <x:v>LOSS</x:v>
      </x:c>
      <x:c r="AI142" s="89" t="str">
        <x:v>Base 3M Omega. MCT sale 40% off. Extractor 3-for-2 sale.</x:v>
      </x:c>
    </x:row>
    <x:row r="143">
      <x:c r="A143" s="86" t="n">
        <x:v>141</x:v>
      </x:c>
      <x:c r="B143" s="88" t="str">
        <x:v>Base</x:v>
      </x:c>
      <x:c r="C143" s="88" t="str">
        <x:v>3M Omega</x:v>
      </x:c>
      <x:c r="D143" s="88" t="n">
        <x:v>3</x:v>
      </x:c>
      <x:c r="E143" s="88" t="n">
        <x:v>2</x:v>
      </x:c>
      <x:c r="F143" s="88" t="str">
        <x:v>NES MCT 40% sale</x:v>
      </x:c>
      <x:c r="G143" s="88" t="str">
        <x:v>NES 2-for-1 extractor sale</x:v>
      </x:c>
      <x:c r="H143" s="87" t="n">
        <x:f>'01 Base Costs'!$B$22</x:f>
        <x:v>1200</x:v>
      </x:c>
      <x:c r="I143" s="87" t="n">
        <x:f>'01 Base Costs'!$B$16*0.6</x:f>
        <x:v>291</x:v>
      </x:c>
      <x:c r="J143" s="87" t="n">
        <x:f>0</x:f>
        <x:v>0</x:v>
      </x:c>
      <x:c r="K143" s="87" t="n">
        <x:f>D143*(E143-1)*I143</x:f>
        <x:v>873</x:v>
      </x:c>
      <x:c r="L143" s="87" t="n">
        <x:f>D143*(E143-1)*J143</x:f>
        <x:v>0</x:v>
      </x:c>
      <x:c r="M143" s="87" t="n">
        <x:f>0</x:f>
        <x:v>0</x:v>
      </x:c>
      <x:c r="N143" s="87" t="n">
        <x:f>H143+K143+M143</x:f>
        <x:v>2073</x:v>
      </x:c>
      <x:c r="O143" s="87" t="n">
        <x:f>N143*'01 Base Costs'!$B$7+L143</x:f>
        <x:v>9971130000</x:v>
      </x:c>
      <x:c r="P143" s="87" t="n">
        <x:f>D143*E143</x:f>
        <x:v>6</x:v>
      </x:c>
      <x:c r="Q143" s="87" t="n">
        <x:f>P143*'01 Base Costs'!$B$12</x:f>
        <x:v>11664000</x:v>
      </x:c>
      <x:c r="R143" s="87" t="n">
        <x:f>0</x:f>
        <x:v>0</x:v>
      </x:c>
      <x:c r="S143" s="87" t="n">
        <x:f>Q143+R143</x:f>
        <x:v>11664000</x:v>
      </x:c>
      <x:c r="T143" s="141" t="n">
        <x:f>S143/'01 Base Costs'!$B$14</x:f>
        <x:v>23.328</x:v>
      </x:c>
      <x:c r="U143" s="87" t="n">
        <x:f>INT(T143)</x:f>
        <x:v>23</x:v>
      </x:c>
      <x:c r="V143" s="87" t="n">
        <x:f>S143-U143*'01 Base Costs'!$B$14</x:f>
        <x:v>164000</x:v>
      </x:c>
      <x:c r="W143" s="120" t="n">
        <x:f>'01 Base Costs'!$B$17/2</x:f>
        <x:v>70</x:v>
      </x:c>
      <x:c r="X143" s="120" t="n">
        <x:f>0</x:f>
        <x:v>0</x:v>
      </x:c>
      <x:c r="Y143" s="87" t="n">
        <x:f>T143*(W143*'01 Base Costs'!$B$7+X143)</x:f>
        <x:v>7854537600</x:v>
      </x:c>
      <x:c r="Z143" s="87" t="n">
        <x:f>T143*'01 Base Costs'!$B$8</x:f>
        <x:v>17563651200</x:v>
      </x:c>
      <x:c r="AA143" s="87" t="n">
        <x:f>Z143*'01 Base Costs'!$B$11</x:f>
        <x:v>878182560</x:v>
      </x:c>
      <x:c r="AB143" s="87" t="n">
        <x:f>Z143-AA143</x:f>
        <x:v>16685468640</x:v>
      </x:c>
      <x:c r="AC143" s="87" t="n">
        <x:f>O143+Y143</x:f>
        <x:v>17825667600</x:v>
      </x:c>
      <x:c r="AD143" s="87" t="n">
        <x:f>AB143-AC143</x:f>
        <x:v>-1140198960</x:v>
      </x:c>
      <x:c r="AE143" s="87" t="n">
        <x:f>AD143/D143</x:f>
        <x:v>-380066320</x:v>
      </x:c>
      <x:c r="AF143" s="87" t="n">
        <x:f>AD143/P143</x:f>
        <x:v>-190033160</x:v>
      </x:c>
      <x:c r="AG143" s="87" t="n">
        <x:f>IF(T143=0,0,AC143/T143/(1-'01 Base Costs'!$B$11))</x:f>
        <x:v>804349306.9092485</x:v>
      </x:c>
      <x:c r="AH143" s="88" t="str">
        <x:f>IF(AD143&gt;0,"PROFIT","LOSS")</x:f>
        <x:v>LOSS</x:v>
      </x:c>
      <x:c r="AI143" s="89" t="str">
        <x:v>Base 3M Omega. MCT sale 40% off. Extractor 2-for-1 sale.</x:v>
      </x:c>
    </x:row>
    <x:row r="144">
      <x:c r="A144" s="86" t="n">
        <x:v>142</x:v>
      </x:c>
      <x:c r="B144" s="88" t="str">
        <x:v>Base</x:v>
      </x:c>
      <x:c r="C144" s="88" t="str">
        <x:v>3M Omega</x:v>
      </x:c>
      <x:c r="D144" s="88" t="n">
        <x:v>3</x:v>
      </x:c>
      <x:c r="E144" s="88" t="n">
        <x:v>2</x:v>
      </x:c>
      <x:c r="F144" s="88" t="str">
        <x:v>NES MCT 40% sale</x:v>
      </x:c>
      <x:c r="G144" s="88" t="str">
        <x:v>NES 10-pack extractor 20% sale</x:v>
      </x:c>
      <x:c r="H144" s="87" t="n">
        <x:f>'01 Base Costs'!$B$22</x:f>
        <x:v>1200</x:v>
      </x:c>
      <x:c r="I144" s="87" t="n">
        <x:f>'01 Base Costs'!$B$16*0.6</x:f>
        <x:v>291</x:v>
      </x:c>
      <x:c r="J144" s="87" t="n">
        <x:f>0</x:f>
        <x:v>0</x:v>
      </x:c>
      <x:c r="K144" s="87" t="n">
        <x:f>D144*(E144-1)*I144</x:f>
        <x:v>873</x:v>
      </x:c>
      <x:c r="L144" s="87" t="n">
        <x:f>D144*(E144-1)*J144</x:f>
        <x:v>0</x:v>
      </x:c>
      <x:c r="M144" s="87" t="n">
        <x:f>0</x:f>
        <x:v>0</x:v>
      </x:c>
      <x:c r="N144" s="87" t="n">
        <x:f>H144+K144+M144</x:f>
        <x:v>2073</x:v>
      </x:c>
      <x:c r="O144" s="87" t="n">
        <x:f>N144*'01 Base Costs'!$B$7+L144</x:f>
        <x:v>9971130000</x:v>
      </x:c>
      <x:c r="P144" s="87" t="n">
        <x:f>D144*E144</x:f>
        <x:v>6</x:v>
      </x:c>
      <x:c r="Q144" s="87" t="n">
        <x:f>P144*'01 Base Costs'!$B$12</x:f>
        <x:v>11664000</x:v>
      </x:c>
      <x:c r="R144" s="87" t="n">
        <x:f>0</x:f>
        <x:v>0</x:v>
      </x:c>
      <x:c r="S144" s="87" t="n">
        <x:f>Q144+R144</x:f>
        <x:v>11664000</x:v>
      </x:c>
      <x:c r="T144" s="141" t="n">
        <x:f>S144/'01 Base Costs'!$B$14</x:f>
        <x:v>23.328</x:v>
      </x:c>
      <x:c r="U144" s="87" t="n">
        <x:f>INT(T144)</x:f>
        <x:v>23</x:v>
      </x:c>
      <x:c r="V144" s="87" t="n">
        <x:f>S144-U144*'01 Base Costs'!$B$14</x:f>
        <x:v>164000</x:v>
      </x:c>
      <x:c r="W144" s="120" t="n">
        <x:f>'01 Base Costs'!$B$19*0.8/10</x:f>
        <x:v>95.2</x:v>
      </x:c>
      <x:c r="X144" s="120" t="n">
        <x:f>0</x:f>
        <x:v>0</x:v>
      </x:c>
      <x:c r="Y144" s="87" t="n">
        <x:f>T144*(W144*'01 Base Costs'!$B$7+X144)</x:f>
        <x:v>10682171136</x:v>
      </x:c>
      <x:c r="Z144" s="87" t="n">
        <x:f>T144*'01 Base Costs'!$B$8</x:f>
        <x:v>17563651200</x:v>
      </x:c>
      <x:c r="AA144" s="87" t="n">
        <x:f>Z144*'01 Base Costs'!$B$11</x:f>
        <x:v>878182560</x:v>
      </x:c>
      <x:c r="AB144" s="87" t="n">
        <x:f>Z144-AA144</x:f>
        <x:v>16685468640</x:v>
      </x:c>
      <x:c r="AC144" s="87" t="n">
        <x:f>O144+Y144</x:f>
        <x:v>20653301136</x:v>
      </x:c>
      <x:c r="AD144" s="87" t="n">
        <x:f>AB144-AC144</x:f>
        <x:v>-3967832496</x:v>
      </x:c>
      <x:c r="AE144" s="87" t="n">
        <x:f>AD144/D144</x:f>
        <x:v>-1322610832</x:v>
      </x:c>
      <x:c r="AF144" s="87" t="n">
        <x:f>AD144/P144</x:f>
        <x:v>-661305416</x:v>
      </x:c>
      <x:c r="AG144" s="87" t="n">
        <x:f>IF(T144=0,0,AC144/T144/(1-'01 Base Costs'!$B$11))</x:f>
        <x:v>931940885.856617</x:v>
      </x:c>
      <x:c r="AH144" s="88" t="str">
        <x:f>IF(AD144&gt;0,"PROFIT","LOSS")</x:f>
        <x:v>LOSS</x:v>
      </x:c>
      <x:c r="AI144" s="89" t="str">
        <x:v>Base 3M Omega. MCT sale 40% off. 10-pack at 20% off.</x:v>
      </x:c>
    </x:row>
    <x:row r="145">
      <x:c r="A145" s="86" t="n">
        <x:v>143</x:v>
      </x:c>
      <x:c r="B145" s="88" t="str">
        <x:v>Base</x:v>
      </x:c>
      <x:c r="C145" s="88" t="str">
        <x:v>3M Omega</x:v>
      </x:c>
      <x:c r="D145" s="88" t="n">
        <x:v>3</x:v>
      </x:c>
      <x:c r="E145" s="88" t="n">
        <x:v>2</x:v>
      </x:c>
      <x:c r="F145" s="88" t="str">
        <x:v>NES MCT 40% sale</x:v>
      </x:c>
      <x:c r="G145" s="88" t="str">
        <x:v>NES 50-pack extractor 20% sale</x:v>
      </x:c>
      <x:c r="H145" s="87" t="n">
        <x:f>'01 Base Costs'!$B$22</x:f>
        <x:v>1200</x:v>
      </x:c>
      <x:c r="I145" s="87" t="n">
        <x:f>'01 Base Costs'!$B$16*0.6</x:f>
        <x:v>291</x:v>
      </x:c>
      <x:c r="J145" s="87" t="n">
        <x:f>0</x:f>
        <x:v>0</x:v>
      </x:c>
      <x:c r="K145" s="87" t="n">
        <x:f>D145*(E145-1)*I145</x:f>
        <x:v>873</x:v>
      </x:c>
      <x:c r="L145" s="87" t="n">
        <x:f>D145*(E145-1)*J145</x:f>
        <x:v>0</x:v>
      </x:c>
      <x:c r="M145" s="87" t="n">
        <x:f>0</x:f>
        <x:v>0</x:v>
      </x:c>
      <x:c r="N145" s="87" t="n">
        <x:f>H145+K145+M145</x:f>
        <x:v>2073</x:v>
      </x:c>
      <x:c r="O145" s="87" t="n">
        <x:f>N145*'01 Base Costs'!$B$7+L145</x:f>
        <x:v>9971130000</x:v>
      </x:c>
      <x:c r="P145" s="87" t="n">
        <x:f>D145*E145</x:f>
        <x:v>6</x:v>
      </x:c>
      <x:c r="Q145" s="87" t="n">
        <x:f>P145*'01 Base Costs'!$B$12</x:f>
        <x:v>11664000</x:v>
      </x:c>
      <x:c r="R145" s="87" t="n">
        <x:f>0</x:f>
        <x:v>0</x:v>
      </x:c>
      <x:c r="S145" s="87" t="n">
        <x:f>Q145+R145</x:f>
        <x:v>11664000</x:v>
      </x:c>
      <x:c r="T145" s="141" t="n">
        <x:f>S145/'01 Base Costs'!$B$14</x:f>
        <x:v>23.328</x:v>
      </x:c>
      <x:c r="U145" s="87" t="n">
        <x:f>INT(T145)</x:f>
        <x:v>23</x:v>
      </x:c>
      <x:c r="V145" s="87" t="n">
        <x:f>S145-U145*'01 Base Costs'!$B$14</x:f>
        <x:v>164000</x:v>
      </x:c>
      <x:c r="W145" s="120" t="n">
        <x:f>'01 Base Costs'!$B$20*0.8/50</x:f>
        <x:v>89.6</x:v>
      </x:c>
      <x:c r="X145" s="120" t="n">
        <x:f>0</x:f>
        <x:v>0</x:v>
      </x:c>
      <x:c r="Y145" s="87" t="n">
        <x:f>T145*(W145*'01 Base Costs'!$B$7+X145)</x:f>
        <x:v>10053808128</x:v>
      </x:c>
      <x:c r="Z145" s="87" t="n">
        <x:f>T145*'01 Base Costs'!$B$8</x:f>
        <x:v>17563651200</x:v>
      </x:c>
      <x:c r="AA145" s="87" t="n">
        <x:f>Z145*'01 Base Costs'!$B$11</x:f>
        <x:v>878182560</x:v>
      </x:c>
      <x:c r="AB145" s="87" t="n">
        <x:f>Z145-AA145</x:f>
        <x:v>16685468640</x:v>
      </x:c>
      <x:c r="AC145" s="87" t="n">
        <x:f>O145+Y145</x:f>
        <x:v>20024938128</x:v>
      </x:c>
      <x:c r="AD145" s="87" t="n">
        <x:f>AB145-AC145</x:f>
        <x:v>-3339469488</x:v>
      </x:c>
      <x:c r="AE145" s="87" t="n">
        <x:f>AD145/D145</x:f>
        <x:v>-1113156496</x:v>
      </x:c>
      <x:c r="AF145" s="87" t="n">
        <x:f>AD145/P145</x:f>
        <x:v>-556578248</x:v>
      </x:c>
      <x:c r="AG145" s="87" t="n">
        <x:f>IF(T145=0,0,AC145/T145/(1-'01 Base Costs'!$B$11))</x:f>
        <x:v>903587201.6460906</x:v>
      </x:c>
      <x:c r="AH145" s="88" t="str">
        <x:f>IF(AD145&gt;0,"PROFIT","LOSS")</x:f>
        <x:v>LOSS</x:v>
      </x:c>
      <x:c r="AI145" s="89" t="str">
        <x:v>Base 3M Omega. MCT sale 40% off. 50-pack at 20% off.</x:v>
      </x:c>
    </x:row>
    <x:row r="146">
      <x:c r="A146" s="86" t="n">
        <x:v>144</x:v>
      </x:c>
      <x:c r="B146" s="88" t="str">
        <x:v>Base</x:v>
      </x:c>
      <x:c r="C146" s="88" t="str">
        <x:v>3M Omega</x:v>
      </x:c>
      <x:c r="D146" s="88" t="n">
        <x:v>3</x:v>
      </x:c>
      <x:c r="E146" s="88" t="n">
        <x:v>2</x:v>
      </x:c>
      <x:c r="F146" s="88" t="str">
        <x:v>NES MCT 40% sale</x:v>
      </x:c>
      <x:c r="G146" s="88" t="str">
        <x:v>Market Skill Extractor</x:v>
      </x:c>
      <x:c r="H146" s="87" t="n">
        <x:f>'01 Base Costs'!$B$22</x:f>
        <x:v>1200</x:v>
      </x:c>
      <x:c r="I146" s="87" t="n">
        <x:f>'01 Base Costs'!$B$16*0.6</x:f>
        <x:v>291</x:v>
      </x:c>
      <x:c r="J146" s="87" t="n">
        <x:f>0</x:f>
        <x:v>0</x:v>
      </x:c>
      <x:c r="K146" s="87" t="n">
        <x:f>D146*(E146-1)*I146</x:f>
        <x:v>873</x:v>
      </x:c>
      <x:c r="L146" s="87" t="n">
        <x:f>D146*(E146-1)*J146</x:f>
        <x:v>0</x:v>
      </x:c>
      <x:c r="M146" s="87" t="n">
        <x:f>0</x:f>
        <x:v>0</x:v>
      </x:c>
      <x:c r="N146" s="87" t="n">
        <x:f>H146+K146+M146</x:f>
        <x:v>2073</x:v>
      </x:c>
      <x:c r="O146" s="87" t="n">
        <x:f>N146*'01 Base Costs'!$B$7+L146</x:f>
        <x:v>9971130000</x:v>
      </x:c>
      <x:c r="P146" s="87" t="n">
        <x:f>D146*E146</x:f>
        <x:v>6</x:v>
      </x:c>
      <x:c r="Q146" s="87" t="n">
        <x:f>P146*'01 Base Costs'!$B$12</x:f>
        <x:v>11664000</x:v>
      </x:c>
      <x:c r="R146" s="87" t="n">
        <x:f>0</x:f>
        <x:v>0</x:v>
      </x:c>
      <x:c r="S146" s="87" t="n">
        <x:f>Q146+R146</x:f>
        <x:v>11664000</x:v>
      </x:c>
      <x:c r="T146" s="141" t="n">
        <x:f>S146/'01 Base Costs'!$B$14</x:f>
        <x:v>23.328</x:v>
      </x:c>
      <x:c r="U146" s="87" t="n">
        <x:f>INT(T146)</x:f>
        <x:v>23</x:v>
      </x:c>
      <x:c r="V146" s="87" t="n">
        <x:f>S146-U146*'01 Base Costs'!$B$14</x:f>
        <x:v>164000</x:v>
      </x:c>
      <x:c r="W146" s="120" t="n">
        <x:f>0</x:f>
        <x:v>0</x:v>
      </x:c>
      <x:c r="X146" s="120" t="n">
        <x:f>'01 Base Costs'!$B$9</x:f>
        <x:v>463500000</x:v>
      </x:c>
      <x:c r="Y146" s="87" t="n">
        <x:f>T146*(W146*'01 Base Costs'!$B$7+X146)</x:f>
        <x:v>10812528000</x:v>
      </x:c>
      <x:c r="Z146" s="87" t="n">
        <x:f>T146*'01 Base Costs'!$B$8</x:f>
        <x:v>17563651200</x:v>
      </x:c>
      <x:c r="AA146" s="87" t="n">
        <x:f>Z146*'01 Base Costs'!$B$11</x:f>
        <x:v>878182560</x:v>
      </x:c>
      <x:c r="AB146" s="87" t="n">
        <x:f>Z146-AA146</x:f>
        <x:v>16685468640</x:v>
      </x:c>
      <x:c r="AC146" s="87" t="n">
        <x:f>O146+Y146</x:f>
        <x:v>20783658000</x:v>
      </x:c>
      <x:c r="AD146" s="87" t="n">
        <x:f>AB146-AC146</x:f>
        <x:v>-4098189360</x:v>
      </x:c>
      <x:c r="AE146" s="87" t="n">
        <x:f>AD146/D146</x:f>
        <x:v>-1366063120</x:v>
      </x:c>
      <x:c r="AF146" s="87" t="n">
        <x:f>AD146/P146</x:f>
        <x:v>-683031560</x:v>
      </x:c>
      <x:c r="AG146" s="87" t="n">
        <x:f>IF(T146=0,0,AC146/T146/(1-'01 Base Costs'!$B$11))</x:f>
        <x:v>937822991.1197748</x:v>
      </x:c>
      <x:c r="AH146" s="88" t="str">
        <x:f>IF(AD146&gt;0,"PROFIT","LOSS")</x:f>
        <x:v>LOSS</x:v>
      </x:c>
      <x:c r="AI146" s="89" t="str">
        <x:v>Base 3M Omega. MCT sale 40% off. Extractor bought on market with ISK.</x:v>
      </x:c>
    </x:row>
    <x:row r="147">
      <x:c r="A147" s="86" t="n">
        <x:v>145</x:v>
      </x:c>
      <x:c r="B147" s="88" t="str">
        <x:v>Base</x:v>
      </x:c>
      <x:c r="C147" s="88" t="str">
        <x:v>3M Omega</x:v>
      </x:c>
      <x:c r="D147" s="88" t="n">
        <x:v>3</x:v>
      </x:c>
      <x:c r="E147" s="88" t="n">
        <x:v>2</x:v>
      </x:c>
      <x:c r="F147" s="88" t="str">
        <x:v>Market MCT certificate</x:v>
      </x:c>
      <x:c r="G147" s="88" t="str">
        <x:v>NES single extractor</x:v>
      </x:c>
      <x:c r="H147" s="87" t="n">
        <x:f>'01 Base Costs'!$B$22</x:f>
        <x:v>1200</x:v>
      </x:c>
      <x:c r="I147" s="87" t="n">
        <x:f>0</x:f>
        <x:v>0</x:v>
      </x:c>
      <x:c r="J147" s="87" t="n">
        <x:f>'01 Base Costs'!$B$10</x:f>
        <x:v>2332850000</x:v>
      </x:c>
      <x:c r="K147" s="87" t="n">
        <x:f>D147*(E147-1)*I147</x:f>
        <x:v>0</x:v>
      </x:c>
      <x:c r="L147" s="87" t="n">
        <x:f>D147*(E147-1)*J147</x:f>
        <x:v>6998550000</x:v>
      </x:c>
      <x:c r="M147" s="87" t="n">
        <x:f>0</x:f>
        <x:v>0</x:v>
      </x:c>
      <x:c r="N147" s="87" t="n">
        <x:f>H147+K147+M147</x:f>
        <x:v>1200</x:v>
      </x:c>
      <x:c r="O147" s="87" t="n">
        <x:f>N147*'01 Base Costs'!$B$7+L147</x:f>
        <x:v>12770550000</x:v>
      </x:c>
      <x:c r="P147" s="87" t="n">
        <x:f>D147*E147</x:f>
        <x:v>6</x:v>
      </x:c>
      <x:c r="Q147" s="87" t="n">
        <x:f>P147*'01 Base Costs'!$B$12</x:f>
        <x:v>11664000</x:v>
      </x:c>
      <x:c r="R147" s="87" t="n">
        <x:f>0</x:f>
        <x:v>0</x:v>
      </x:c>
      <x:c r="S147" s="87" t="n">
        <x:f>Q147+R147</x:f>
        <x:v>11664000</x:v>
      </x:c>
      <x:c r="T147" s="141" t="n">
        <x:f>S147/'01 Base Costs'!$B$14</x:f>
        <x:v>23.328</x:v>
      </x:c>
      <x:c r="U147" s="87" t="n">
        <x:f>INT(T147)</x:f>
        <x:v>23</x:v>
      </x:c>
      <x:c r="V147" s="87" t="n">
        <x:f>S147-U147*'01 Base Costs'!$B$14</x:f>
        <x:v>164000</x:v>
      </x:c>
      <x:c r="W147" s="120" t="n">
        <x:f>'01 Base Costs'!$B$17</x:f>
        <x:v>140</x:v>
      </x:c>
      <x:c r="X147" s="120" t="n">
        <x:f>0</x:f>
        <x:v>0</x:v>
      </x:c>
      <x:c r="Y147" s="87" t="n">
        <x:f>T147*(W147*'01 Base Costs'!$B$7+X147)</x:f>
        <x:v>15709075200</x:v>
      </x:c>
      <x:c r="Z147" s="87" t="n">
        <x:f>T147*'01 Base Costs'!$B$8</x:f>
        <x:v>17563651200</x:v>
      </x:c>
      <x:c r="AA147" s="87" t="n">
        <x:f>Z147*'01 Base Costs'!$B$11</x:f>
        <x:v>878182560</x:v>
      </x:c>
      <x:c r="AB147" s="87" t="n">
        <x:f>Z147-AA147</x:f>
        <x:v>16685468640</x:v>
      </x:c>
      <x:c r="AC147" s="87" t="n">
        <x:f>O147+Y147</x:f>
        <x:v>28479625200</x:v>
      </x:c>
      <x:c r="AD147" s="87" t="n">
        <x:f>AB147-AC147</x:f>
        <x:v>-11794156560</x:v>
      </x:c>
      <x:c r="AE147" s="87" t="n">
        <x:f>AD147/D147</x:f>
        <x:v>-3931385520</x:v>
      </x:c>
      <x:c r="AF147" s="87" t="n">
        <x:f>AD147/P147</x:f>
        <x:v>-1965692760</x:v>
      </x:c>
      <x:c r="AG147" s="87" t="n">
        <x:f>IF(T147=0,0,AC147/T147/(1-'01 Base Costs'!$B$11))</x:f>
        <x:v>1285088856.40026</x:v>
      </x:c>
      <x:c r="AH147" s="88" t="str">
        <x:f>IF(AD147&gt;0,"PROFIT","LOSS")</x:f>
        <x:v>LOSS</x:v>
      </x:c>
      <x:c r="AI147" s="89" t="str">
        <x:v>Base 3M Omega. MCT certificate bought with ISK market price. Base single extractor.</x:v>
      </x:c>
    </x:row>
    <x:row r="148">
      <x:c r="A148" s="86" t="n">
        <x:v>146</x:v>
      </x:c>
      <x:c r="B148" s="88" t="str">
        <x:v>Base</x:v>
      </x:c>
      <x:c r="C148" s="88" t="str">
        <x:v>3M Omega</x:v>
      </x:c>
      <x:c r="D148" s="88" t="n">
        <x:v>3</x:v>
      </x:c>
      <x:c r="E148" s="88" t="n">
        <x:v>2</x:v>
      </x:c>
      <x:c r="F148" s="88" t="str">
        <x:v>Market MCT certificate</x:v>
      </x:c>
      <x:c r="G148" s="88" t="str">
        <x:v>NES 5-pack extractor</x:v>
      </x:c>
      <x:c r="H148" s="87" t="n">
        <x:f>'01 Base Costs'!$B$22</x:f>
        <x:v>1200</x:v>
      </x:c>
      <x:c r="I148" s="87" t="n">
        <x:f>0</x:f>
        <x:v>0</x:v>
      </x:c>
      <x:c r="J148" s="87" t="n">
        <x:f>'01 Base Costs'!$B$10</x:f>
        <x:v>2332850000</x:v>
      </x:c>
      <x:c r="K148" s="87" t="n">
        <x:f>D148*(E148-1)*I148</x:f>
        <x:v>0</x:v>
      </x:c>
      <x:c r="L148" s="87" t="n">
        <x:f>D148*(E148-1)*J148</x:f>
        <x:v>6998550000</x:v>
      </x:c>
      <x:c r="M148" s="87" t="n">
        <x:f>0</x:f>
        <x:v>0</x:v>
      </x:c>
      <x:c r="N148" s="87" t="n">
        <x:f>H148+K148+M148</x:f>
        <x:v>1200</x:v>
      </x:c>
      <x:c r="O148" s="87" t="n">
        <x:f>N148*'01 Base Costs'!$B$7+L148</x:f>
        <x:v>12770550000</x:v>
      </x:c>
      <x:c r="P148" s="87" t="n">
        <x:f>D148*E148</x:f>
        <x:v>6</x:v>
      </x:c>
      <x:c r="Q148" s="87" t="n">
        <x:f>P148*'01 Base Costs'!$B$12</x:f>
        <x:v>11664000</x:v>
      </x:c>
      <x:c r="R148" s="87" t="n">
        <x:f>0</x:f>
        <x:v>0</x:v>
      </x:c>
      <x:c r="S148" s="87" t="n">
        <x:f>Q148+R148</x:f>
        <x:v>11664000</x:v>
      </x:c>
      <x:c r="T148" s="141" t="n">
        <x:f>S148/'01 Base Costs'!$B$14</x:f>
        <x:v>23.328</x:v>
      </x:c>
      <x:c r="U148" s="87" t="n">
        <x:f>INT(T148)</x:f>
        <x:v>23</x:v>
      </x:c>
      <x:c r="V148" s="87" t="n">
        <x:f>S148-U148*'01 Base Costs'!$B$14</x:f>
        <x:v>164000</x:v>
      </x:c>
      <x:c r="W148" s="120" t="n">
        <x:f>'01 Base Costs'!$B$18/5</x:f>
        <x:v>126</x:v>
      </x:c>
      <x:c r="X148" s="120" t="n">
        <x:f>0</x:f>
        <x:v>0</x:v>
      </x:c>
      <x:c r="Y148" s="87" t="n">
        <x:f>T148*(W148*'01 Base Costs'!$B$7+X148)</x:f>
        <x:v>14138167680</x:v>
      </x:c>
      <x:c r="Z148" s="87" t="n">
        <x:f>T148*'01 Base Costs'!$B$8</x:f>
        <x:v>17563651200</x:v>
      </x:c>
      <x:c r="AA148" s="87" t="n">
        <x:f>Z148*'01 Base Costs'!$B$11</x:f>
        <x:v>878182560</x:v>
      </x:c>
      <x:c r="AB148" s="87" t="n">
        <x:f>Z148-AA148</x:f>
        <x:v>16685468640</x:v>
      </x:c>
      <x:c r="AC148" s="87" t="n">
        <x:f>O148+Y148</x:f>
        <x:v>26908717680</x:v>
      </x:c>
      <x:c r="AD148" s="87" t="n">
        <x:f>AB148-AC148</x:f>
        <x:v>-10223249040</x:v>
      </x:c>
      <x:c r="AE148" s="87" t="n">
        <x:f>AD148/D148</x:f>
        <x:v>-3407749680</x:v>
      </x:c>
      <x:c r="AF148" s="87" t="n">
        <x:f>AD148/P148</x:f>
        <x:v>-1703874840</x:v>
      </x:c>
      <x:c r="AG148" s="87" t="n">
        <x:f>IF(T148=0,0,AC148/T148/(1-'01 Base Costs'!$B$11))</x:f>
        <x:v>1214204645.8739443</x:v>
      </x:c>
      <x:c r="AH148" s="88" t="str">
        <x:f>IF(AD148&gt;0,"PROFIT","LOSS")</x:f>
        <x:v>LOSS</x:v>
      </x:c>
      <x:c r="AI148" s="89" t="str">
        <x:v>Base 3M Omega. MCT certificate bought with ISK market price. Base 5-pack average.</x:v>
      </x:c>
    </x:row>
    <x:row r="149">
      <x:c r="A149" s="86" t="n">
        <x:v>147</x:v>
      </x:c>
      <x:c r="B149" s="88" t="str">
        <x:v>Base</x:v>
      </x:c>
      <x:c r="C149" s="88" t="str">
        <x:v>3M Omega</x:v>
      </x:c>
      <x:c r="D149" s="88" t="n">
        <x:v>3</x:v>
      </x:c>
      <x:c r="E149" s="88" t="n">
        <x:v>2</x:v>
      </x:c>
      <x:c r="F149" s="88" t="str">
        <x:v>Market MCT certificate</x:v>
      </x:c>
      <x:c r="G149" s="88" t="str">
        <x:v>NES 10-pack extractor</x:v>
      </x:c>
      <x:c r="H149" s="87" t="n">
        <x:f>'01 Base Costs'!$B$22</x:f>
        <x:v>1200</x:v>
      </x:c>
      <x:c r="I149" s="87" t="n">
        <x:f>0</x:f>
        <x:v>0</x:v>
      </x:c>
      <x:c r="J149" s="87" t="n">
        <x:f>'01 Base Costs'!$B$10</x:f>
        <x:v>2332850000</x:v>
      </x:c>
      <x:c r="K149" s="87" t="n">
        <x:f>D149*(E149-1)*I149</x:f>
        <x:v>0</x:v>
      </x:c>
      <x:c r="L149" s="87" t="n">
        <x:f>D149*(E149-1)*J149</x:f>
        <x:v>6998550000</x:v>
      </x:c>
      <x:c r="M149" s="87" t="n">
        <x:f>0</x:f>
        <x:v>0</x:v>
      </x:c>
      <x:c r="N149" s="87" t="n">
        <x:f>H149+K149+M149</x:f>
        <x:v>1200</x:v>
      </x:c>
      <x:c r="O149" s="87" t="n">
        <x:f>N149*'01 Base Costs'!$B$7+L149</x:f>
        <x:v>12770550000</x:v>
      </x:c>
      <x:c r="P149" s="87" t="n">
        <x:f>D149*E149</x:f>
        <x:v>6</x:v>
      </x:c>
      <x:c r="Q149" s="87" t="n">
        <x:f>P149*'01 Base Costs'!$B$12</x:f>
        <x:v>11664000</x:v>
      </x:c>
      <x:c r="R149" s="87" t="n">
        <x:f>0</x:f>
        <x:v>0</x:v>
      </x:c>
      <x:c r="S149" s="87" t="n">
        <x:f>Q149+R149</x:f>
        <x:v>11664000</x:v>
      </x:c>
      <x:c r="T149" s="141" t="n">
        <x:f>S149/'01 Base Costs'!$B$14</x:f>
        <x:v>23.328</x:v>
      </x:c>
      <x:c r="U149" s="87" t="n">
        <x:f>INT(T149)</x:f>
        <x:v>23</x:v>
      </x:c>
      <x:c r="V149" s="87" t="n">
        <x:f>S149-U149*'01 Base Costs'!$B$14</x:f>
        <x:v>164000</x:v>
      </x:c>
      <x:c r="W149" s="120" t="n">
        <x:f>'01 Base Costs'!$B$19/10</x:f>
        <x:v>119</x:v>
      </x:c>
      <x:c r="X149" s="120" t="n">
        <x:f>0</x:f>
        <x:v>0</x:v>
      </x:c>
      <x:c r="Y149" s="87" t="n">
        <x:f>T149*(W149*'01 Base Costs'!$B$7+X149)</x:f>
        <x:v>13352713920</x:v>
      </x:c>
      <x:c r="Z149" s="87" t="n">
        <x:f>T149*'01 Base Costs'!$B$8</x:f>
        <x:v>17563651200</x:v>
      </x:c>
      <x:c r="AA149" s="87" t="n">
        <x:f>Z149*'01 Base Costs'!$B$11</x:f>
        <x:v>878182560</x:v>
      </x:c>
      <x:c r="AB149" s="87" t="n">
        <x:f>Z149-AA149</x:f>
        <x:v>16685468640</x:v>
      </x:c>
      <x:c r="AC149" s="87" t="n">
        <x:f>O149+Y149</x:f>
        <x:v>26123263920</x:v>
      </x:c>
      <x:c r="AD149" s="87" t="n">
        <x:f>AB149-AC149</x:f>
        <x:v>-9437795280</x:v>
      </x:c>
      <x:c r="AE149" s="87" t="n">
        <x:f>AD149/D149</x:f>
        <x:v>-3145931760</x:v>
      </x:c>
      <x:c r="AF149" s="87" t="n">
        <x:f>AD149/P149</x:f>
        <x:v>-1572965880</x:v>
      </x:c>
      <x:c r="AG149" s="87" t="n">
        <x:f>IF(T149=0,0,AC149/T149/(1-'01 Base Costs'!$B$11))</x:f>
        <x:v>1178762540.6107862</x:v>
      </x:c>
      <x:c r="AH149" s="88" t="str">
        <x:f>IF(AD149&gt;0,"PROFIT","LOSS")</x:f>
        <x:v>LOSS</x:v>
      </x:c>
      <x:c r="AI149" s="89" t="str">
        <x:v>Base 3M Omega. MCT certificate bought with ISK market price. Base 10-pack average.</x:v>
      </x:c>
    </x:row>
    <x:row r="150">
      <x:c r="A150" s="86" t="n">
        <x:v>148</x:v>
      </x:c>
      <x:c r="B150" s="88" t="str">
        <x:v>Base</x:v>
      </x:c>
      <x:c r="C150" s="88" t="str">
        <x:v>3M Omega</x:v>
      </x:c>
      <x:c r="D150" s="88" t="n">
        <x:v>3</x:v>
      </x:c>
      <x:c r="E150" s="88" t="n">
        <x:v>2</x:v>
      </x:c>
      <x:c r="F150" s="88" t="str">
        <x:v>Market MCT certificate</x:v>
      </x:c>
      <x:c r="G150" s="88" t="str">
        <x:v>NES 50-pack extractor</x:v>
      </x:c>
      <x:c r="H150" s="87" t="n">
        <x:f>'01 Base Costs'!$B$22</x:f>
        <x:v>1200</x:v>
      </x:c>
      <x:c r="I150" s="87" t="n">
        <x:f>0</x:f>
        <x:v>0</x:v>
      </x:c>
      <x:c r="J150" s="87" t="n">
        <x:f>'01 Base Costs'!$B$10</x:f>
        <x:v>2332850000</x:v>
      </x:c>
      <x:c r="K150" s="87" t="n">
        <x:f>D150*(E150-1)*I150</x:f>
        <x:v>0</x:v>
      </x:c>
      <x:c r="L150" s="87" t="n">
        <x:f>D150*(E150-1)*J150</x:f>
        <x:v>6998550000</x:v>
      </x:c>
      <x:c r="M150" s="87" t="n">
        <x:f>0</x:f>
        <x:v>0</x:v>
      </x:c>
      <x:c r="N150" s="87" t="n">
        <x:f>H150+K150+M150</x:f>
        <x:v>1200</x:v>
      </x:c>
      <x:c r="O150" s="87" t="n">
        <x:f>N150*'01 Base Costs'!$B$7+L150</x:f>
        <x:v>12770550000</x:v>
      </x:c>
      <x:c r="P150" s="87" t="n">
        <x:f>D150*E150</x:f>
        <x:v>6</x:v>
      </x:c>
      <x:c r="Q150" s="87" t="n">
        <x:f>P150*'01 Base Costs'!$B$12</x:f>
        <x:v>11664000</x:v>
      </x:c>
      <x:c r="R150" s="87" t="n">
        <x:f>0</x:f>
        <x:v>0</x:v>
      </x:c>
      <x:c r="S150" s="87" t="n">
        <x:f>Q150+R150</x:f>
        <x:v>11664000</x:v>
      </x:c>
      <x:c r="T150" s="141" t="n">
        <x:f>S150/'01 Base Costs'!$B$14</x:f>
        <x:v>23.328</x:v>
      </x:c>
      <x:c r="U150" s="87" t="n">
        <x:f>INT(T150)</x:f>
        <x:v>23</x:v>
      </x:c>
      <x:c r="V150" s="87" t="n">
        <x:f>S150-U150*'01 Base Costs'!$B$14</x:f>
        <x:v>164000</x:v>
      </x:c>
      <x:c r="W150" s="120" t="n">
        <x:f>'01 Base Costs'!$B$20/50</x:f>
        <x:v>112</x:v>
      </x:c>
      <x:c r="X150" s="120" t="n">
        <x:f>0</x:f>
        <x:v>0</x:v>
      </x:c>
      <x:c r="Y150" s="87" t="n">
        <x:f>T150*(W150*'01 Base Costs'!$B$7+X150)</x:f>
        <x:v>12567260160</x:v>
      </x:c>
      <x:c r="Z150" s="87" t="n">
        <x:f>T150*'01 Base Costs'!$B$8</x:f>
        <x:v>17563651200</x:v>
      </x:c>
      <x:c r="AA150" s="87" t="n">
        <x:f>Z150*'01 Base Costs'!$B$11</x:f>
        <x:v>878182560</x:v>
      </x:c>
      <x:c r="AB150" s="87" t="n">
        <x:f>Z150-AA150</x:f>
        <x:v>16685468640</x:v>
      </x:c>
      <x:c r="AC150" s="87" t="n">
        <x:f>O150+Y150</x:f>
        <x:v>25337810160</x:v>
      </x:c>
      <x:c r="AD150" s="87" t="n">
        <x:f>AB150-AC150</x:f>
        <x:v>-8652341520</x:v>
      </x:c>
      <x:c r="AE150" s="87" t="n">
        <x:f>AD150/D150</x:f>
        <x:v>-2884113840</x:v>
      </x:c>
      <x:c r="AF150" s="87" t="n">
        <x:f>AD150/P150</x:f>
        <x:v>-1442056920</x:v>
      </x:c>
      <x:c r="AG150" s="87" t="n">
        <x:f>IF(T150=0,0,AC150/T150/(1-'01 Base Costs'!$B$11))</x:f>
        <x:v>1143320435.3476284</x:v>
      </x:c>
      <x:c r="AH150" s="88" t="str">
        <x:f>IF(AD150&gt;0,"PROFIT","LOSS")</x:f>
        <x:v>LOSS</x:v>
      </x:c>
      <x:c r="AI150" s="89" t="str">
        <x:v>Base 3M Omega. MCT certificate bought with ISK market price. Base 50-pack average.</x:v>
      </x:c>
    </x:row>
    <x:row r="151">
      <x:c r="A151" s="86" t="n">
        <x:v>149</x:v>
      </x:c>
      <x:c r="B151" s="88" t="str">
        <x:v>Base</x:v>
      </x:c>
      <x:c r="C151" s="88" t="str">
        <x:v>3M Omega</x:v>
      </x:c>
      <x:c r="D151" s="88" t="n">
        <x:v>3</x:v>
      </x:c>
      <x:c r="E151" s="88" t="n">
        <x:v>2</x:v>
      </x:c>
      <x:c r="F151" s="88" t="str">
        <x:v>Market MCT certificate</x:v>
      </x:c>
      <x:c r="G151" s="88" t="str">
        <x:v>NES 3-for-2 extractor sale</x:v>
      </x:c>
      <x:c r="H151" s="87" t="n">
        <x:f>'01 Base Costs'!$B$22</x:f>
        <x:v>1200</x:v>
      </x:c>
      <x:c r="I151" s="87" t="n">
        <x:f>0</x:f>
        <x:v>0</x:v>
      </x:c>
      <x:c r="J151" s="87" t="n">
        <x:f>'01 Base Costs'!$B$10</x:f>
        <x:v>2332850000</x:v>
      </x:c>
      <x:c r="K151" s="87" t="n">
        <x:f>D151*(E151-1)*I151</x:f>
        <x:v>0</x:v>
      </x:c>
      <x:c r="L151" s="87" t="n">
        <x:f>D151*(E151-1)*J151</x:f>
        <x:v>6998550000</x:v>
      </x:c>
      <x:c r="M151" s="87" t="n">
        <x:f>0</x:f>
        <x:v>0</x:v>
      </x:c>
      <x:c r="N151" s="87" t="n">
        <x:f>H151+K151+M151</x:f>
        <x:v>1200</x:v>
      </x:c>
      <x:c r="O151" s="87" t="n">
        <x:f>N151*'01 Base Costs'!$B$7+L151</x:f>
        <x:v>12770550000</x:v>
      </x:c>
      <x:c r="P151" s="87" t="n">
        <x:f>D151*E151</x:f>
        <x:v>6</x:v>
      </x:c>
      <x:c r="Q151" s="87" t="n">
        <x:f>P151*'01 Base Costs'!$B$12</x:f>
        <x:v>11664000</x:v>
      </x:c>
      <x:c r="R151" s="87" t="n">
        <x:f>0</x:f>
        <x:v>0</x:v>
      </x:c>
      <x:c r="S151" s="87" t="n">
        <x:f>Q151+R151</x:f>
        <x:v>11664000</x:v>
      </x:c>
      <x:c r="T151" s="141" t="n">
        <x:f>S151/'01 Base Costs'!$B$14</x:f>
        <x:v>23.328</x:v>
      </x:c>
      <x:c r="U151" s="87" t="n">
        <x:f>INT(T151)</x:f>
        <x:v>23</x:v>
      </x:c>
      <x:c r="V151" s="87" t="n">
        <x:f>S151-U151*'01 Base Costs'!$B$14</x:f>
        <x:v>164000</x:v>
      </x:c>
      <x:c r="W151" s="120" t="n">
        <x:f>'01 Base Costs'!$B$17*2/3</x:f>
        <x:v>93.33333333333333</x:v>
      </x:c>
      <x:c r="X151" s="120" t="n">
        <x:f>0</x:f>
        <x:v>0</x:v>
      </x:c>
      <x:c r="Y151" s="87" t="n">
        <x:f>T151*(W151*'01 Base Costs'!$B$7+X151)</x:f>
        <x:v>10472716800</x:v>
      </x:c>
      <x:c r="Z151" s="87" t="n">
        <x:f>T151*'01 Base Costs'!$B$8</x:f>
        <x:v>17563651200</x:v>
      </x:c>
      <x:c r="AA151" s="87" t="n">
        <x:f>Z151*'01 Base Costs'!$B$11</x:f>
        <x:v>878182560</x:v>
      </x:c>
      <x:c r="AB151" s="87" t="n">
        <x:f>Z151-AA151</x:f>
        <x:v>16685468640</x:v>
      </x:c>
      <x:c r="AC151" s="87" t="n">
        <x:f>O151+Y151</x:f>
        <x:v>23243266800</x:v>
      </x:c>
      <x:c r="AD151" s="87" t="n">
        <x:f>AB151-AC151</x:f>
        <x:v>-6557798160</x:v>
      </x:c>
      <x:c r="AE151" s="87" t="n">
        <x:f>AD151/D151</x:f>
        <x:v>-2185932720</x:v>
      </x:c>
      <x:c r="AF151" s="87" t="n">
        <x:f>AD151/P151</x:f>
        <x:v>-1092966360</x:v>
      </x:c>
      <x:c r="AG151" s="87" t="n">
        <x:f>IF(T151=0,0,AC151/T151/(1-'01 Base Costs'!$B$11))</x:f>
        <x:v>1048808154.645874</x:v>
      </x:c>
      <x:c r="AH151" s="88" t="str">
        <x:f>IF(AD151&gt;0,"PROFIT","LOSS")</x:f>
        <x:v>LOSS</x:v>
      </x:c>
      <x:c r="AI151" s="89" t="str">
        <x:v>Base 3M Omega. MCT certificate bought with ISK market price. Extractor 3-for-2 sale.</x:v>
      </x:c>
    </x:row>
    <x:row r="152">
      <x:c r="A152" s="86" t="n">
        <x:v>150</x:v>
      </x:c>
      <x:c r="B152" s="88" t="str">
        <x:v>Base</x:v>
      </x:c>
      <x:c r="C152" s="88" t="str">
        <x:v>3M Omega</x:v>
      </x:c>
      <x:c r="D152" s="88" t="n">
        <x:v>3</x:v>
      </x:c>
      <x:c r="E152" s="88" t="n">
        <x:v>2</x:v>
      </x:c>
      <x:c r="F152" s="88" t="str">
        <x:v>Market MCT certificate</x:v>
      </x:c>
      <x:c r="G152" s="88" t="str">
        <x:v>NES 2-for-1 extractor sale</x:v>
      </x:c>
      <x:c r="H152" s="87" t="n">
        <x:f>'01 Base Costs'!$B$22</x:f>
        <x:v>1200</x:v>
      </x:c>
      <x:c r="I152" s="87" t="n">
        <x:f>0</x:f>
        <x:v>0</x:v>
      </x:c>
      <x:c r="J152" s="87" t="n">
        <x:f>'01 Base Costs'!$B$10</x:f>
        <x:v>2332850000</x:v>
      </x:c>
      <x:c r="K152" s="87" t="n">
        <x:f>D152*(E152-1)*I152</x:f>
        <x:v>0</x:v>
      </x:c>
      <x:c r="L152" s="87" t="n">
        <x:f>D152*(E152-1)*J152</x:f>
        <x:v>6998550000</x:v>
      </x:c>
      <x:c r="M152" s="87" t="n">
        <x:f>0</x:f>
        <x:v>0</x:v>
      </x:c>
      <x:c r="N152" s="87" t="n">
        <x:f>H152+K152+M152</x:f>
        <x:v>1200</x:v>
      </x:c>
      <x:c r="O152" s="87" t="n">
        <x:f>N152*'01 Base Costs'!$B$7+L152</x:f>
        <x:v>12770550000</x:v>
      </x:c>
      <x:c r="P152" s="87" t="n">
        <x:f>D152*E152</x:f>
        <x:v>6</x:v>
      </x:c>
      <x:c r="Q152" s="87" t="n">
        <x:f>P152*'01 Base Costs'!$B$12</x:f>
        <x:v>11664000</x:v>
      </x:c>
      <x:c r="R152" s="87" t="n">
        <x:f>0</x:f>
        <x:v>0</x:v>
      </x:c>
      <x:c r="S152" s="87" t="n">
        <x:f>Q152+R152</x:f>
        <x:v>11664000</x:v>
      </x:c>
      <x:c r="T152" s="141" t="n">
        <x:f>S152/'01 Base Costs'!$B$14</x:f>
        <x:v>23.328</x:v>
      </x:c>
      <x:c r="U152" s="87" t="n">
        <x:f>INT(T152)</x:f>
        <x:v>23</x:v>
      </x:c>
      <x:c r="V152" s="87" t="n">
        <x:f>S152-U152*'01 Base Costs'!$B$14</x:f>
        <x:v>164000</x:v>
      </x:c>
      <x:c r="W152" s="120" t="n">
        <x:f>'01 Base Costs'!$B$17/2</x:f>
        <x:v>70</x:v>
      </x:c>
      <x:c r="X152" s="120" t="n">
        <x:f>0</x:f>
        <x:v>0</x:v>
      </x:c>
      <x:c r="Y152" s="87" t="n">
        <x:f>T152*(W152*'01 Base Costs'!$B$7+X152)</x:f>
        <x:v>7854537600</x:v>
      </x:c>
      <x:c r="Z152" s="87" t="n">
        <x:f>T152*'01 Base Costs'!$B$8</x:f>
        <x:v>17563651200</x:v>
      </x:c>
      <x:c r="AA152" s="87" t="n">
        <x:f>Z152*'01 Base Costs'!$B$11</x:f>
        <x:v>878182560</x:v>
      </x:c>
      <x:c r="AB152" s="87" t="n">
        <x:f>Z152-AA152</x:f>
        <x:v>16685468640</x:v>
      </x:c>
      <x:c r="AC152" s="87" t="n">
        <x:f>O152+Y152</x:f>
        <x:v>20625087600</x:v>
      </x:c>
      <x:c r="AD152" s="87" t="n">
        <x:f>AB152-AC152</x:f>
        <x:v>-3939618960</x:v>
      </x:c>
      <x:c r="AE152" s="87" t="n">
        <x:f>AD152/D152</x:f>
        <x:v>-1313206320</x:v>
      </x:c>
      <x:c r="AF152" s="87" t="n">
        <x:f>AD152/P152</x:f>
        <x:v>-656603160</x:v>
      </x:c>
      <x:c r="AG152" s="87" t="n">
        <x:f>IF(T152=0,0,AC152/T152/(1-'01 Base Costs'!$B$11))</x:f>
        <x:v>930667803.768681</x:v>
      </x:c>
      <x:c r="AH152" s="88" t="str">
        <x:f>IF(AD152&gt;0,"PROFIT","LOSS")</x:f>
        <x:v>LOSS</x:v>
      </x:c>
      <x:c r="AI152" s="89" t="str">
        <x:v>Base 3M Omega. MCT certificate bought with ISK market price. Extractor 2-for-1 sale.</x:v>
      </x:c>
    </x:row>
    <x:row r="153">
      <x:c r="A153" s="86" t="n">
        <x:v>151</x:v>
      </x:c>
      <x:c r="B153" s="88" t="str">
        <x:v>Base</x:v>
      </x:c>
      <x:c r="C153" s="88" t="str">
        <x:v>3M Omega</x:v>
      </x:c>
      <x:c r="D153" s="88" t="n">
        <x:v>3</x:v>
      </x:c>
      <x:c r="E153" s="88" t="n">
        <x:v>2</x:v>
      </x:c>
      <x:c r="F153" s="88" t="str">
        <x:v>Market MCT certificate</x:v>
      </x:c>
      <x:c r="G153" s="88" t="str">
        <x:v>NES 10-pack extractor 20% sale</x:v>
      </x:c>
      <x:c r="H153" s="87" t="n">
        <x:f>'01 Base Costs'!$B$22</x:f>
        <x:v>1200</x:v>
      </x:c>
      <x:c r="I153" s="87" t="n">
        <x:f>0</x:f>
        <x:v>0</x:v>
      </x:c>
      <x:c r="J153" s="87" t="n">
        <x:f>'01 Base Costs'!$B$10</x:f>
        <x:v>2332850000</x:v>
      </x:c>
      <x:c r="K153" s="87" t="n">
        <x:f>D153*(E153-1)*I153</x:f>
        <x:v>0</x:v>
      </x:c>
      <x:c r="L153" s="87" t="n">
        <x:f>D153*(E153-1)*J153</x:f>
        <x:v>6998550000</x:v>
      </x:c>
      <x:c r="M153" s="87" t="n">
        <x:f>0</x:f>
        <x:v>0</x:v>
      </x:c>
      <x:c r="N153" s="87" t="n">
        <x:f>H153+K153+M153</x:f>
        <x:v>1200</x:v>
      </x:c>
      <x:c r="O153" s="87" t="n">
        <x:f>N153*'01 Base Costs'!$B$7+L153</x:f>
        <x:v>12770550000</x:v>
      </x:c>
      <x:c r="P153" s="87" t="n">
        <x:f>D153*E153</x:f>
        <x:v>6</x:v>
      </x:c>
      <x:c r="Q153" s="87" t="n">
        <x:f>P153*'01 Base Costs'!$B$12</x:f>
        <x:v>11664000</x:v>
      </x:c>
      <x:c r="R153" s="87" t="n">
        <x:f>0</x:f>
        <x:v>0</x:v>
      </x:c>
      <x:c r="S153" s="87" t="n">
        <x:f>Q153+R153</x:f>
        <x:v>11664000</x:v>
      </x:c>
      <x:c r="T153" s="141" t="n">
        <x:f>S153/'01 Base Costs'!$B$14</x:f>
        <x:v>23.328</x:v>
      </x:c>
      <x:c r="U153" s="87" t="n">
        <x:f>INT(T153)</x:f>
        <x:v>23</x:v>
      </x:c>
      <x:c r="V153" s="87" t="n">
        <x:f>S153-U153*'01 Base Costs'!$B$14</x:f>
        <x:v>164000</x:v>
      </x:c>
      <x:c r="W153" s="120" t="n">
        <x:f>'01 Base Costs'!$B$19*0.8/10</x:f>
        <x:v>95.2</x:v>
      </x:c>
      <x:c r="X153" s="120" t="n">
        <x:f>0</x:f>
        <x:v>0</x:v>
      </x:c>
      <x:c r="Y153" s="87" t="n">
        <x:f>T153*(W153*'01 Base Costs'!$B$7+X153)</x:f>
        <x:v>10682171136</x:v>
      </x:c>
      <x:c r="Z153" s="87" t="n">
        <x:f>T153*'01 Base Costs'!$B$8</x:f>
        <x:v>17563651200</x:v>
      </x:c>
      <x:c r="AA153" s="87" t="n">
        <x:f>Z153*'01 Base Costs'!$B$11</x:f>
        <x:v>878182560</x:v>
      </x:c>
      <x:c r="AB153" s="87" t="n">
        <x:f>Z153-AA153</x:f>
        <x:v>16685468640</x:v>
      </x:c>
      <x:c r="AC153" s="87" t="n">
        <x:f>O153+Y153</x:f>
        <x:v>23452721136</x:v>
      </x:c>
      <x:c r="AD153" s="87" t="n">
        <x:f>AB153-AC153</x:f>
        <x:v>-6767252496</x:v>
      </x:c>
      <x:c r="AE153" s="87" t="n">
        <x:f>AD153/D153</x:f>
        <x:v>-2255750832</x:v>
      </x:c>
      <x:c r="AF153" s="87" t="n">
        <x:f>AD153/P153</x:f>
        <x:v>-1127875416</x:v>
      </x:c>
      <x:c r="AG153" s="87" t="n">
        <x:f>IF(T153=0,0,AC153/T153/(1-'01 Base Costs'!$B$11))</x:f>
        <x:v>1058259382.7160494</x:v>
      </x:c>
      <x:c r="AH153" s="88" t="str">
        <x:f>IF(AD153&gt;0,"PROFIT","LOSS")</x:f>
        <x:v>LOSS</x:v>
      </x:c>
      <x:c r="AI153" s="89" t="str">
        <x:v>Base 3M Omega. MCT certificate bought with ISK market price. 10-pack at 20% off.</x:v>
      </x:c>
    </x:row>
    <x:row r="154">
      <x:c r="A154" s="86" t="n">
        <x:v>152</x:v>
      </x:c>
      <x:c r="B154" s="88" t="str">
        <x:v>Base</x:v>
      </x:c>
      <x:c r="C154" s="88" t="str">
        <x:v>3M Omega</x:v>
      </x:c>
      <x:c r="D154" s="88" t="n">
        <x:v>3</x:v>
      </x:c>
      <x:c r="E154" s="88" t="n">
        <x:v>2</x:v>
      </x:c>
      <x:c r="F154" s="88" t="str">
        <x:v>Market MCT certificate</x:v>
      </x:c>
      <x:c r="G154" s="88" t="str">
        <x:v>NES 50-pack extractor 20% sale</x:v>
      </x:c>
      <x:c r="H154" s="87" t="n">
        <x:f>'01 Base Costs'!$B$22</x:f>
        <x:v>1200</x:v>
      </x:c>
      <x:c r="I154" s="87" t="n">
        <x:f>0</x:f>
        <x:v>0</x:v>
      </x:c>
      <x:c r="J154" s="87" t="n">
        <x:f>'01 Base Costs'!$B$10</x:f>
        <x:v>2332850000</x:v>
      </x:c>
      <x:c r="K154" s="87" t="n">
        <x:f>D154*(E154-1)*I154</x:f>
        <x:v>0</x:v>
      </x:c>
      <x:c r="L154" s="87" t="n">
        <x:f>D154*(E154-1)*J154</x:f>
        <x:v>6998550000</x:v>
      </x:c>
      <x:c r="M154" s="87" t="n">
        <x:f>0</x:f>
        <x:v>0</x:v>
      </x:c>
      <x:c r="N154" s="87" t="n">
        <x:f>H154+K154+M154</x:f>
        <x:v>1200</x:v>
      </x:c>
      <x:c r="O154" s="87" t="n">
        <x:f>N154*'01 Base Costs'!$B$7+L154</x:f>
        <x:v>12770550000</x:v>
      </x:c>
      <x:c r="P154" s="87" t="n">
        <x:f>D154*E154</x:f>
        <x:v>6</x:v>
      </x:c>
      <x:c r="Q154" s="87" t="n">
        <x:f>P154*'01 Base Costs'!$B$12</x:f>
        <x:v>11664000</x:v>
      </x:c>
      <x:c r="R154" s="87" t="n">
        <x:f>0</x:f>
        <x:v>0</x:v>
      </x:c>
      <x:c r="S154" s="87" t="n">
        <x:f>Q154+R154</x:f>
        <x:v>11664000</x:v>
      </x:c>
      <x:c r="T154" s="141" t="n">
        <x:f>S154/'01 Base Costs'!$B$14</x:f>
        <x:v>23.328</x:v>
      </x:c>
      <x:c r="U154" s="87" t="n">
        <x:f>INT(T154)</x:f>
        <x:v>23</x:v>
      </x:c>
      <x:c r="V154" s="87" t="n">
        <x:f>S154-U154*'01 Base Costs'!$B$14</x:f>
        <x:v>164000</x:v>
      </x:c>
      <x:c r="W154" s="120" t="n">
        <x:f>'01 Base Costs'!$B$20*0.8/50</x:f>
        <x:v>89.6</x:v>
      </x:c>
      <x:c r="X154" s="120" t="n">
        <x:f>0</x:f>
        <x:v>0</x:v>
      </x:c>
      <x:c r="Y154" s="87" t="n">
        <x:f>T154*(W154*'01 Base Costs'!$B$7+X154)</x:f>
        <x:v>10053808128</x:v>
      </x:c>
      <x:c r="Z154" s="87" t="n">
        <x:f>T154*'01 Base Costs'!$B$8</x:f>
        <x:v>17563651200</x:v>
      </x:c>
      <x:c r="AA154" s="87" t="n">
        <x:f>Z154*'01 Base Costs'!$B$11</x:f>
        <x:v>878182560</x:v>
      </x:c>
      <x:c r="AB154" s="87" t="n">
        <x:f>Z154-AA154</x:f>
        <x:v>16685468640</x:v>
      </x:c>
      <x:c r="AC154" s="87" t="n">
        <x:f>O154+Y154</x:f>
        <x:v>22824358128</x:v>
      </x:c>
      <x:c r="AD154" s="87" t="n">
        <x:f>AB154-AC154</x:f>
        <x:v>-6138889488</x:v>
      </x:c>
      <x:c r="AE154" s="87" t="n">
        <x:f>AD154/D154</x:f>
        <x:v>-2046296496</x:v>
      </x:c>
      <x:c r="AF154" s="87" t="n">
        <x:f>AD154/P154</x:f>
        <x:v>-1023148248</x:v>
      </x:c>
      <x:c r="AG154" s="87" t="n">
        <x:f>IF(T154=0,0,AC154/T154/(1-'01 Base Costs'!$B$11))</x:f>
        <x:v>1029905698.5055231</x:v>
      </x:c>
      <x:c r="AH154" s="88" t="str">
        <x:f>IF(AD154&gt;0,"PROFIT","LOSS")</x:f>
        <x:v>LOSS</x:v>
      </x:c>
      <x:c r="AI154" s="89" t="str">
        <x:v>Base 3M Omega. MCT certificate bought with ISK market price. 50-pack at 20% off.</x:v>
      </x:c>
    </x:row>
    <x:row r="155">
      <x:c r="A155" s="86" t="n">
        <x:v>153</x:v>
      </x:c>
      <x:c r="B155" s="88" t="str">
        <x:v>Base</x:v>
      </x:c>
      <x:c r="C155" s="88" t="str">
        <x:v>3M Omega</x:v>
      </x:c>
      <x:c r="D155" s="88" t="n">
        <x:v>3</x:v>
      </x:c>
      <x:c r="E155" s="88" t="n">
        <x:v>2</x:v>
      </x:c>
      <x:c r="F155" s="88" t="str">
        <x:v>Market MCT certificate</x:v>
      </x:c>
      <x:c r="G155" s="88" t="str">
        <x:v>Market Skill Extractor</x:v>
      </x:c>
      <x:c r="H155" s="87" t="n">
        <x:f>'01 Base Costs'!$B$22</x:f>
        <x:v>1200</x:v>
      </x:c>
      <x:c r="I155" s="87" t="n">
        <x:f>0</x:f>
        <x:v>0</x:v>
      </x:c>
      <x:c r="J155" s="87" t="n">
        <x:f>'01 Base Costs'!$B$10</x:f>
        <x:v>2332850000</x:v>
      </x:c>
      <x:c r="K155" s="87" t="n">
        <x:f>D155*(E155-1)*I155</x:f>
        <x:v>0</x:v>
      </x:c>
      <x:c r="L155" s="87" t="n">
        <x:f>D155*(E155-1)*J155</x:f>
        <x:v>6998550000</x:v>
      </x:c>
      <x:c r="M155" s="87" t="n">
        <x:f>0</x:f>
        <x:v>0</x:v>
      </x:c>
      <x:c r="N155" s="87" t="n">
        <x:f>H155+K155+M155</x:f>
        <x:v>1200</x:v>
      </x:c>
      <x:c r="O155" s="87" t="n">
        <x:f>N155*'01 Base Costs'!$B$7+L155</x:f>
        <x:v>12770550000</x:v>
      </x:c>
      <x:c r="P155" s="87" t="n">
        <x:f>D155*E155</x:f>
        <x:v>6</x:v>
      </x:c>
      <x:c r="Q155" s="87" t="n">
        <x:f>P155*'01 Base Costs'!$B$12</x:f>
        <x:v>11664000</x:v>
      </x:c>
      <x:c r="R155" s="87" t="n">
        <x:f>0</x:f>
        <x:v>0</x:v>
      </x:c>
      <x:c r="S155" s="87" t="n">
        <x:f>Q155+R155</x:f>
        <x:v>11664000</x:v>
      </x:c>
      <x:c r="T155" s="141" t="n">
        <x:f>S155/'01 Base Costs'!$B$14</x:f>
        <x:v>23.328</x:v>
      </x:c>
      <x:c r="U155" s="87" t="n">
        <x:f>INT(T155)</x:f>
        <x:v>23</x:v>
      </x:c>
      <x:c r="V155" s="87" t="n">
        <x:f>S155-U155*'01 Base Costs'!$B$14</x:f>
        <x:v>164000</x:v>
      </x:c>
      <x:c r="W155" s="120" t="n">
        <x:f>0</x:f>
        <x:v>0</x:v>
      </x:c>
      <x:c r="X155" s="120" t="n">
        <x:f>'01 Base Costs'!$B$9</x:f>
        <x:v>463500000</x:v>
      </x:c>
      <x:c r="Y155" s="87" t="n">
        <x:f>T155*(W155*'01 Base Costs'!$B$7+X155)</x:f>
        <x:v>10812528000</x:v>
      </x:c>
      <x:c r="Z155" s="87" t="n">
        <x:f>T155*'01 Base Costs'!$B$8</x:f>
        <x:v>17563651200</x:v>
      </x:c>
      <x:c r="AA155" s="87" t="n">
        <x:f>Z155*'01 Base Costs'!$B$11</x:f>
        <x:v>878182560</x:v>
      </x:c>
      <x:c r="AB155" s="87" t="n">
        <x:f>Z155-AA155</x:f>
        <x:v>16685468640</x:v>
      </x:c>
      <x:c r="AC155" s="87" t="n">
        <x:f>O155+Y155</x:f>
        <x:v>23583078000</x:v>
      </x:c>
      <x:c r="AD155" s="87" t="n">
        <x:f>AB155-AC155</x:f>
        <x:v>-6897609360</x:v>
      </x:c>
      <x:c r="AE155" s="87" t="n">
        <x:f>AD155/D155</x:f>
        <x:v>-2299203120</x:v>
      </x:c>
      <x:c r="AF155" s="87" t="n">
        <x:f>AD155/P155</x:f>
        <x:v>-1149601560</x:v>
      </x:c>
      <x:c r="AG155" s="87" t="n">
        <x:f>IF(T155=0,0,AC155/T155/(1-'01 Base Costs'!$B$11))</x:f>
        <x:v>1064141487.9792074</x:v>
      </x:c>
      <x:c r="AH155" s="88" t="str">
        <x:f>IF(AD155&gt;0,"PROFIT","LOSS")</x:f>
        <x:v>LOSS</x:v>
      </x:c>
      <x:c r="AI155" s="89" t="str">
        <x:v>Base 3M Omega. MCT certificate bought with ISK market price. Extractor bought on market with ISK.</x:v>
      </x:c>
    </x:row>
    <x:row r="156">
      <x:c r="A156" s="86" t="n">
        <x:v>154</x:v>
      </x:c>
      <x:c r="B156" s="88" t="str">
        <x:v>Base</x:v>
      </x:c>
      <x:c r="C156" s="88" t="str">
        <x:v>3M Omega</x:v>
      </x:c>
      <x:c r="D156" s="88" t="n">
        <x:v>3</x:v>
      </x:c>
      <x:c r="E156" s="88" t="n">
        <x:v>3</x:v>
      </x:c>
      <x:c r="F156" s="88" t="str">
        <x:v>NES base MCT</x:v>
      </x:c>
      <x:c r="G156" s="88" t="str">
        <x:v>NES single extractor</x:v>
      </x:c>
      <x:c r="H156" s="87" t="n">
        <x:f>'01 Base Costs'!$B$22</x:f>
        <x:v>1200</x:v>
      </x:c>
      <x:c r="I156" s="87" t="n">
        <x:f>'01 Base Costs'!$B$16</x:f>
        <x:v>485</x:v>
      </x:c>
      <x:c r="J156" s="87" t="n">
        <x:f>0</x:f>
        <x:v>0</x:v>
      </x:c>
      <x:c r="K156" s="87" t="n">
        <x:f>D156*(E156-1)*I156</x:f>
        <x:v>2910</x:v>
      </x:c>
      <x:c r="L156" s="87" t="n">
        <x:f>D156*(E156-1)*J156</x:f>
        <x:v>0</x:v>
      </x:c>
      <x:c r="M156" s="87" t="n">
        <x:f>0</x:f>
        <x:v>0</x:v>
      </x:c>
      <x:c r="N156" s="87" t="n">
        <x:f>H156+K156+M156</x:f>
        <x:v>4110</x:v>
      </x:c>
      <x:c r="O156" s="87" t="n">
        <x:f>N156*'01 Base Costs'!$B$7+L156</x:f>
        <x:v>19769100000</x:v>
      </x:c>
      <x:c r="P156" s="87" t="n">
        <x:f>D156*E156</x:f>
        <x:v>9</x:v>
      </x:c>
      <x:c r="Q156" s="87" t="n">
        <x:f>P156*'01 Base Costs'!$B$12</x:f>
        <x:v>17496000</x:v>
      </x:c>
      <x:c r="R156" s="87" t="n">
        <x:f>0</x:f>
        <x:v>0</x:v>
      </x:c>
      <x:c r="S156" s="87" t="n">
        <x:f>Q156+R156</x:f>
        <x:v>17496000</x:v>
      </x:c>
      <x:c r="T156" s="141" t="n">
        <x:f>S156/'01 Base Costs'!$B$14</x:f>
        <x:v>34.992</x:v>
      </x:c>
      <x:c r="U156" s="87" t="n">
        <x:f>INT(T156)</x:f>
        <x:v>34</x:v>
      </x:c>
      <x:c r="V156" s="87" t="n">
        <x:f>S156-U156*'01 Base Costs'!$B$14</x:f>
        <x:v>496000</x:v>
      </x:c>
      <x:c r="W156" s="120" t="n">
        <x:f>'01 Base Costs'!$B$17</x:f>
        <x:v>140</x:v>
      </x:c>
      <x:c r="X156" s="120" t="n">
        <x:f>0</x:f>
        <x:v>0</x:v>
      </x:c>
      <x:c r="Y156" s="87" t="n">
        <x:f>T156*(W156*'01 Base Costs'!$B$7+X156)</x:f>
        <x:v>23563612800</x:v>
      </x:c>
      <x:c r="Z156" s="87" t="n">
        <x:f>T156*'01 Base Costs'!$B$8</x:f>
        <x:v>26345476799.999996</x:v>
      </x:c>
      <x:c r="AA156" s="87" t="n">
        <x:f>Z156*'01 Base Costs'!$B$11</x:f>
        <x:v>1317273840</x:v>
      </x:c>
      <x:c r="AB156" s="87" t="n">
        <x:f>Z156-AA156</x:f>
        <x:v>25028202959.999996</x:v>
      </x:c>
      <x:c r="AC156" s="87" t="n">
        <x:f>O156+Y156</x:f>
        <x:v>43332712800</x:v>
      </x:c>
      <x:c r="AD156" s="87" t="n">
        <x:f>AB156-AC156</x:f>
        <x:v>-18304509840.000004</x:v>
      </x:c>
      <x:c r="AE156" s="87" t="n">
        <x:f>AD156/D156</x:f>
        <x:v>-6101503280.000001</x:v>
      </x:c>
      <x:c r="AF156" s="87" t="n">
        <x:f>AD156/P156</x:f>
        <x:v>-2033834426.666667</x:v>
      </x:c>
      <x:c r="AG156" s="87" t="n">
        <x:f>IF(T156=0,0,AC156/T156/(1-'01 Base Costs'!$B$11))</x:f>
        <x:v>1303537434.1202803</x:v>
      </x:c>
      <x:c r="AH156" s="88" t="str">
        <x:f>IF(AD156&gt;0,"PROFIT","LOSS")</x:f>
        <x:v>LOSS</x:v>
      </x:c>
      <x:c r="AI156" s="89" t="str">
        <x:v>Base 3M Omega. MCT purchased with PLEX in NES. Base single extractor.</x:v>
      </x:c>
    </x:row>
    <x:row r="157">
      <x:c r="A157" s="86" t="n">
        <x:v>155</x:v>
      </x:c>
      <x:c r="B157" s="88" t="str">
        <x:v>Base</x:v>
      </x:c>
      <x:c r="C157" s="88" t="str">
        <x:v>3M Omega</x:v>
      </x:c>
      <x:c r="D157" s="88" t="n">
        <x:v>3</x:v>
      </x:c>
      <x:c r="E157" s="88" t="n">
        <x:v>3</x:v>
      </x:c>
      <x:c r="F157" s="88" t="str">
        <x:v>NES base MCT</x:v>
      </x:c>
      <x:c r="G157" s="88" t="str">
        <x:v>NES 5-pack extractor</x:v>
      </x:c>
      <x:c r="H157" s="87" t="n">
        <x:f>'01 Base Costs'!$B$22</x:f>
        <x:v>1200</x:v>
      </x:c>
      <x:c r="I157" s="87" t="n">
        <x:f>'01 Base Costs'!$B$16</x:f>
        <x:v>485</x:v>
      </x:c>
      <x:c r="J157" s="87" t="n">
        <x:f>0</x:f>
        <x:v>0</x:v>
      </x:c>
      <x:c r="K157" s="87" t="n">
        <x:f>D157*(E157-1)*I157</x:f>
        <x:v>2910</x:v>
      </x:c>
      <x:c r="L157" s="87" t="n">
        <x:f>D157*(E157-1)*J157</x:f>
        <x:v>0</x:v>
      </x:c>
      <x:c r="M157" s="87" t="n">
        <x:f>0</x:f>
        <x:v>0</x:v>
      </x:c>
      <x:c r="N157" s="87" t="n">
        <x:f>H157+K157+M157</x:f>
        <x:v>4110</x:v>
      </x:c>
      <x:c r="O157" s="87" t="n">
        <x:f>N157*'01 Base Costs'!$B$7+L157</x:f>
        <x:v>19769100000</x:v>
      </x:c>
      <x:c r="P157" s="87" t="n">
        <x:f>D157*E157</x:f>
        <x:v>9</x:v>
      </x:c>
      <x:c r="Q157" s="87" t="n">
        <x:f>P157*'01 Base Costs'!$B$12</x:f>
        <x:v>17496000</x:v>
      </x:c>
      <x:c r="R157" s="87" t="n">
        <x:f>0</x:f>
        <x:v>0</x:v>
      </x:c>
      <x:c r="S157" s="87" t="n">
        <x:f>Q157+R157</x:f>
        <x:v>17496000</x:v>
      </x:c>
      <x:c r="T157" s="141" t="n">
        <x:f>S157/'01 Base Costs'!$B$14</x:f>
        <x:v>34.992</x:v>
      </x:c>
      <x:c r="U157" s="87" t="n">
        <x:f>INT(T157)</x:f>
        <x:v>34</x:v>
      </x:c>
      <x:c r="V157" s="87" t="n">
        <x:f>S157-U157*'01 Base Costs'!$B$14</x:f>
        <x:v>496000</x:v>
      </x:c>
      <x:c r="W157" s="120" t="n">
        <x:f>'01 Base Costs'!$B$18/5</x:f>
        <x:v>126</x:v>
      </x:c>
      <x:c r="X157" s="120" t="n">
        <x:f>0</x:f>
        <x:v>0</x:v>
      </x:c>
      <x:c r="Y157" s="87" t="n">
        <x:f>T157*(W157*'01 Base Costs'!$B$7+X157)</x:f>
        <x:v>21207251520</x:v>
      </x:c>
      <x:c r="Z157" s="87" t="n">
        <x:f>T157*'01 Base Costs'!$B$8</x:f>
        <x:v>26345476799.999996</x:v>
      </x:c>
      <x:c r="AA157" s="87" t="n">
        <x:f>Z157*'01 Base Costs'!$B$11</x:f>
        <x:v>1317273840</x:v>
      </x:c>
      <x:c r="AB157" s="87" t="n">
        <x:f>Z157-AA157</x:f>
        <x:v>25028202959.999996</x:v>
      </x:c>
      <x:c r="AC157" s="87" t="n">
        <x:f>O157+Y157</x:f>
        <x:v>40976351520</x:v>
      </x:c>
      <x:c r="AD157" s="87" t="n">
        <x:f>AB157-AC157</x:f>
        <x:v>-15948148560.000004</x:v>
      </x:c>
      <x:c r="AE157" s="87" t="n">
        <x:f>AD157/D157</x:f>
        <x:v>-5316049520.000001</x:v>
      </x:c>
      <x:c r="AF157" s="87" t="n">
        <x:f>AD157/P157</x:f>
        <x:v>-1772016506.666667</x:v>
      </x:c>
      <x:c r="AG157" s="87" t="n">
        <x:f>IF(T157=0,0,AC157/T157/(1-'01 Base Costs'!$B$11))</x:f>
        <x:v>1232653223.5939643</x:v>
      </x:c>
      <x:c r="AH157" s="88" t="str">
        <x:f>IF(AD157&gt;0,"PROFIT","LOSS")</x:f>
        <x:v>LOSS</x:v>
      </x:c>
      <x:c r="AI157" s="89" t="str">
        <x:v>Base 3M Omega. MCT purchased with PLEX in NES. Base 5-pack average.</x:v>
      </x:c>
    </x:row>
    <x:row r="158">
      <x:c r="A158" s="86" t="n">
        <x:v>156</x:v>
      </x:c>
      <x:c r="B158" s="88" t="str">
        <x:v>Base</x:v>
      </x:c>
      <x:c r="C158" s="88" t="str">
        <x:v>3M Omega</x:v>
      </x:c>
      <x:c r="D158" s="88" t="n">
        <x:v>3</x:v>
      </x:c>
      <x:c r="E158" s="88" t="n">
        <x:v>3</x:v>
      </x:c>
      <x:c r="F158" s="88" t="str">
        <x:v>NES base MCT</x:v>
      </x:c>
      <x:c r="G158" s="88" t="str">
        <x:v>NES 10-pack extractor</x:v>
      </x:c>
      <x:c r="H158" s="87" t="n">
        <x:f>'01 Base Costs'!$B$22</x:f>
        <x:v>1200</x:v>
      </x:c>
      <x:c r="I158" s="87" t="n">
        <x:f>'01 Base Costs'!$B$16</x:f>
        <x:v>485</x:v>
      </x:c>
      <x:c r="J158" s="87" t="n">
        <x:f>0</x:f>
        <x:v>0</x:v>
      </x:c>
      <x:c r="K158" s="87" t="n">
        <x:f>D158*(E158-1)*I158</x:f>
        <x:v>2910</x:v>
      </x:c>
      <x:c r="L158" s="87" t="n">
        <x:f>D158*(E158-1)*J158</x:f>
        <x:v>0</x:v>
      </x:c>
      <x:c r="M158" s="87" t="n">
        <x:f>0</x:f>
        <x:v>0</x:v>
      </x:c>
      <x:c r="N158" s="87" t="n">
        <x:f>H158+K158+M158</x:f>
        <x:v>4110</x:v>
      </x:c>
      <x:c r="O158" s="87" t="n">
        <x:f>N158*'01 Base Costs'!$B$7+L158</x:f>
        <x:v>19769100000</x:v>
      </x:c>
      <x:c r="P158" s="87" t="n">
        <x:f>D158*E158</x:f>
        <x:v>9</x:v>
      </x:c>
      <x:c r="Q158" s="87" t="n">
        <x:f>P158*'01 Base Costs'!$B$12</x:f>
        <x:v>17496000</x:v>
      </x:c>
      <x:c r="R158" s="87" t="n">
        <x:f>0</x:f>
        <x:v>0</x:v>
      </x:c>
      <x:c r="S158" s="87" t="n">
        <x:f>Q158+R158</x:f>
        <x:v>17496000</x:v>
      </x:c>
      <x:c r="T158" s="141" t="n">
        <x:f>S158/'01 Base Costs'!$B$14</x:f>
        <x:v>34.992</x:v>
      </x:c>
      <x:c r="U158" s="87" t="n">
        <x:f>INT(T158)</x:f>
        <x:v>34</x:v>
      </x:c>
      <x:c r="V158" s="87" t="n">
        <x:f>S158-U158*'01 Base Costs'!$B$14</x:f>
        <x:v>496000</x:v>
      </x:c>
      <x:c r="W158" s="120" t="n">
        <x:f>'01 Base Costs'!$B$19/10</x:f>
        <x:v>119</x:v>
      </x:c>
      <x:c r="X158" s="120" t="n">
        <x:f>0</x:f>
        <x:v>0</x:v>
      </x:c>
      <x:c r="Y158" s="87" t="n">
        <x:f>T158*(W158*'01 Base Costs'!$B$7+X158)</x:f>
        <x:v>20029070880</x:v>
      </x:c>
      <x:c r="Z158" s="87" t="n">
        <x:f>T158*'01 Base Costs'!$B$8</x:f>
        <x:v>26345476799.999996</x:v>
      </x:c>
      <x:c r="AA158" s="87" t="n">
        <x:f>Z158*'01 Base Costs'!$B$11</x:f>
        <x:v>1317273840</x:v>
      </x:c>
      <x:c r="AB158" s="87" t="n">
        <x:f>Z158-AA158</x:f>
        <x:v>25028202959.999996</x:v>
      </x:c>
      <x:c r="AC158" s="87" t="n">
        <x:f>O158+Y158</x:f>
        <x:v>39798170880</x:v>
      </x:c>
      <x:c r="AD158" s="87" t="n">
        <x:f>AB158-AC158</x:f>
        <x:v>-14769967920.000004</x:v>
      </x:c>
      <x:c r="AE158" s="87" t="n">
        <x:f>AD158/D158</x:f>
        <x:v>-4923322640.000001</x:v>
      </x:c>
      <x:c r="AF158" s="87" t="n">
        <x:f>AD158/P158</x:f>
        <x:v>-1641107546.666667</x:v>
      </x:c>
      <x:c r="AG158" s="87" t="n">
        <x:f>IF(T158=0,0,AC158/T158/(1-'01 Base Costs'!$B$11))</x:f>
        <x:v>1197211118.3308065</x:v>
      </x:c>
      <x:c r="AH158" s="88" t="str">
        <x:f>IF(AD158&gt;0,"PROFIT","LOSS")</x:f>
        <x:v>LOSS</x:v>
      </x:c>
      <x:c r="AI158" s="89" t="str">
        <x:v>Base 3M Omega. MCT purchased with PLEX in NES. Base 10-pack average.</x:v>
      </x:c>
    </x:row>
    <x:row r="159">
      <x:c r="A159" s="86" t="n">
        <x:v>157</x:v>
      </x:c>
      <x:c r="B159" s="88" t="str">
        <x:v>Base</x:v>
      </x:c>
      <x:c r="C159" s="88" t="str">
        <x:v>3M Omega</x:v>
      </x:c>
      <x:c r="D159" s="88" t="n">
        <x:v>3</x:v>
      </x:c>
      <x:c r="E159" s="88" t="n">
        <x:v>3</x:v>
      </x:c>
      <x:c r="F159" s="88" t="str">
        <x:v>NES base MCT</x:v>
      </x:c>
      <x:c r="G159" s="88" t="str">
        <x:v>NES 50-pack extractor</x:v>
      </x:c>
      <x:c r="H159" s="87" t="n">
        <x:f>'01 Base Costs'!$B$22</x:f>
        <x:v>1200</x:v>
      </x:c>
      <x:c r="I159" s="87" t="n">
        <x:f>'01 Base Costs'!$B$16</x:f>
        <x:v>485</x:v>
      </x:c>
      <x:c r="J159" s="87" t="n">
        <x:f>0</x:f>
        <x:v>0</x:v>
      </x:c>
      <x:c r="K159" s="87" t="n">
        <x:f>D159*(E159-1)*I159</x:f>
        <x:v>2910</x:v>
      </x:c>
      <x:c r="L159" s="87" t="n">
        <x:f>D159*(E159-1)*J159</x:f>
        <x:v>0</x:v>
      </x:c>
      <x:c r="M159" s="87" t="n">
        <x:f>0</x:f>
        <x:v>0</x:v>
      </x:c>
      <x:c r="N159" s="87" t="n">
        <x:f>H159+K159+M159</x:f>
        <x:v>4110</x:v>
      </x:c>
      <x:c r="O159" s="87" t="n">
        <x:f>N159*'01 Base Costs'!$B$7+L159</x:f>
        <x:v>19769100000</x:v>
      </x:c>
      <x:c r="P159" s="87" t="n">
        <x:f>D159*E159</x:f>
        <x:v>9</x:v>
      </x:c>
      <x:c r="Q159" s="87" t="n">
        <x:f>P159*'01 Base Costs'!$B$12</x:f>
        <x:v>17496000</x:v>
      </x:c>
      <x:c r="R159" s="87" t="n">
        <x:f>0</x:f>
        <x:v>0</x:v>
      </x:c>
      <x:c r="S159" s="87" t="n">
        <x:f>Q159+R159</x:f>
        <x:v>17496000</x:v>
      </x:c>
      <x:c r="T159" s="141" t="n">
        <x:f>S159/'01 Base Costs'!$B$14</x:f>
        <x:v>34.992</x:v>
      </x:c>
      <x:c r="U159" s="87" t="n">
        <x:f>INT(T159)</x:f>
        <x:v>34</x:v>
      </x:c>
      <x:c r="V159" s="87" t="n">
        <x:f>S159-U159*'01 Base Costs'!$B$14</x:f>
        <x:v>496000</x:v>
      </x:c>
      <x:c r="W159" s="120" t="n">
        <x:f>'01 Base Costs'!$B$20/50</x:f>
        <x:v>112</x:v>
      </x:c>
      <x:c r="X159" s="120" t="n">
        <x:f>0</x:f>
        <x:v>0</x:v>
      </x:c>
      <x:c r="Y159" s="87" t="n">
        <x:f>T159*(W159*'01 Base Costs'!$B$7+X159)</x:f>
        <x:v>18850890240</x:v>
      </x:c>
      <x:c r="Z159" s="87" t="n">
        <x:f>T159*'01 Base Costs'!$B$8</x:f>
        <x:v>26345476799.999996</x:v>
      </x:c>
      <x:c r="AA159" s="87" t="n">
        <x:f>Z159*'01 Base Costs'!$B$11</x:f>
        <x:v>1317273840</x:v>
      </x:c>
      <x:c r="AB159" s="87" t="n">
        <x:f>Z159-AA159</x:f>
        <x:v>25028202959.999996</x:v>
      </x:c>
      <x:c r="AC159" s="87" t="n">
        <x:f>O159+Y159</x:f>
        <x:v>38619990240</x:v>
      </x:c>
      <x:c r="AD159" s="87" t="n">
        <x:f>AB159-AC159</x:f>
        <x:v>-13591787280.000004</x:v>
      </x:c>
      <x:c r="AE159" s="87" t="n">
        <x:f>AD159/D159</x:f>
        <x:v>-4530595760.000001</x:v>
      </x:c>
      <x:c r="AF159" s="87" t="n">
        <x:f>AD159/P159</x:f>
        <x:v>-1510198586.666667</x:v>
      </x:c>
      <x:c r="AG159" s="87" t="n">
        <x:f>IF(T159=0,0,AC159/T159/(1-'01 Base Costs'!$B$11))</x:f>
        <x:v>1161769013.0676486</x:v>
      </x:c>
      <x:c r="AH159" s="88" t="str">
        <x:f>IF(AD159&gt;0,"PROFIT","LOSS")</x:f>
        <x:v>LOSS</x:v>
      </x:c>
      <x:c r="AI159" s="89" t="str">
        <x:v>Base 3M Omega. MCT purchased with PLEX in NES. Base 50-pack average.</x:v>
      </x:c>
    </x:row>
    <x:row r="160">
      <x:c r="A160" s="86" t="n">
        <x:v>158</x:v>
      </x:c>
      <x:c r="B160" s="88" t="str">
        <x:v>Base</x:v>
      </x:c>
      <x:c r="C160" s="88" t="str">
        <x:v>3M Omega</x:v>
      </x:c>
      <x:c r="D160" s="88" t="n">
        <x:v>3</x:v>
      </x:c>
      <x:c r="E160" s="88" t="n">
        <x:v>3</x:v>
      </x:c>
      <x:c r="F160" s="88" t="str">
        <x:v>NES base MCT</x:v>
      </x:c>
      <x:c r="G160" s="88" t="str">
        <x:v>NES 3-for-2 extractor sale</x:v>
      </x:c>
      <x:c r="H160" s="87" t="n">
        <x:f>'01 Base Costs'!$B$22</x:f>
        <x:v>1200</x:v>
      </x:c>
      <x:c r="I160" s="87" t="n">
        <x:f>'01 Base Costs'!$B$16</x:f>
        <x:v>485</x:v>
      </x:c>
      <x:c r="J160" s="87" t="n">
        <x:f>0</x:f>
        <x:v>0</x:v>
      </x:c>
      <x:c r="K160" s="87" t="n">
        <x:f>D160*(E160-1)*I160</x:f>
        <x:v>2910</x:v>
      </x:c>
      <x:c r="L160" s="87" t="n">
        <x:f>D160*(E160-1)*J160</x:f>
        <x:v>0</x:v>
      </x:c>
      <x:c r="M160" s="87" t="n">
        <x:f>0</x:f>
        <x:v>0</x:v>
      </x:c>
      <x:c r="N160" s="87" t="n">
        <x:f>H160+K160+M160</x:f>
        <x:v>4110</x:v>
      </x:c>
      <x:c r="O160" s="87" t="n">
        <x:f>N160*'01 Base Costs'!$B$7+L160</x:f>
        <x:v>19769100000</x:v>
      </x:c>
      <x:c r="P160" s="87" t="n">
        <x:f>D160*E160</x:f>
        <x:v>9</x:v>
      </x:c>
      <x:c r="Q160" s="87" t="n">
        <x:f>P160*'01 Base Costs'!$B$12</x:f>
        <x:v>17496000</x:v>
      </x:c>
      <x:c r="R160" s="87" t="n">
        <x:f>0</x:f>
        <x:v>0</x:v>
      </x:c>
      <x:c r="S160" s="87" t="n">
        <x:f>Q160+R160</x:f>
        <x:v>17496000</x:v>
      </x:c>
      <x:c r="T160" s="141" t="n">
        <x:f>S160/'01 Base Costs'!$B$14</x:f>
        <x:v>34.992</x:v>
      </x:c>
      <x:c r="U160" s="87" t="n">
        <x:f>INT(T160)</x:f>
        <x:v>34</x:v>
      </x:c>
      <x:c r="V160" s="87" t="n">
        <x:f>S160-U160*'01 Base Costs'!$B$14</x:f>
        <x:v>496000</x:v>
      </x:c>
      <x:c r="W160" s="120" t="n">
        <x:f>'01 Base Costs'!$B$17*2/3</x:f>
        <x:v>93.33333333333333</x:v>
      </x:c>
      <x:c r="X160" s="120" t="n">
        <x:f>0</x:f>
        <x:v>0</x:v>
      </x:c>
      <x:c r="Y160" s="87" t="n">
        <x:f>T160*(W160*'01 Base Costs'!$B$7+X160)</x:f>
        <x:v>15709075199.999998</x:v>
      </x:c>
      <x:c r="Z160" s="87" t="n">
        <x:f>T160*'01 Base Costs'!$B$8</x:f>
        <x:v>26345476799.999996</x:v>
      </x:c>
      <x:c r="AA160" s="87" t="n">
        <x:f>Z160*'01 Base Costs'!$B$11</x:f>
        <x:v>1317273840</x:v>
      </x:c>
      <x:c r="AB160" s="87" t="n">
        <x:f>Z160-AA160</x:f>
        <x:v>25028202959.999996</x:v>
      </x:c>
      <x:c r="AC160" s="87" t="n">
        <x:f>O160+Y160</x:f>
        <x:v>35478175200</x:v>
      </x:c>
      <x:c r="AD160" s="87" t="n">
        <x:f>AB160-AC160</x:f>
        <x:v>-10449972240.000004</x:v>
      </x:c>
      <x:c r="AE160" s="87" t="n">
        <x:f>AD160/D160</x:f>
        <x:v>-3483324080.0000014</x:v>
      </x:c>
      <x:c r="AF160" s="87" t="n">
        <x:f>AD160/P160</x:f>
        <x:v>-1161108026.666667</x:v>
      </x:c>
      <x:c r="AG160" s="87" t="n">
        <x:f>IF(T160=0,0,AC160/T160/(1-'01 Base Costs'!$B$11))</x:f>
        <x:v>1067256732.3658942</x:v>
      </x:c>
      <x:c r="AH160" s="88" t="str">
        <x:f>IF(AD160&gt;0,"PROFIT","LOSS")</x:f>
        <x:v>LOSS</x:v>
      </x:c>
      <x:c r="AI160" s="89" t="str">
        <x:v>Base 3M Omega. MCT purchased with PLEX in NES. Extractor 3-for-2 sale.</x:v>
      </x:c>
    </x:row>
    <x:row r="161">
      <x:c r="A161" s="86" t="n">
        <x:v>159</x:v>
      </x:c>
      <x:c r="B161" s="88" t="str">
        <x:v>Base</x:v>
      </x:c>
      <x:c r="C161" s="88" t="str">
        <x:v>3M Omega</x:v>
      </x:c>
      <x:c r="D161" s="88" t="n">
        <x:v>3</x:v>
      </x:c>
      <x:c r="E161" s="88" t="n">
        <x:v>3</x:v>
      </x:c>
      <x:c r="F161" s="88" t="str">
        <x:v>NES base MCT</x:v>
      </x:c>
      <x:c r="G161" s="88" t="str">
        <x:v>NES 2-for-1 extractor sale</x:v>
      </x:c>
      <x:c r="H161" s="87" t="n">
        <x:f>'01 Base Costs'!$B$22</x:f>
        <x:v>1200</x:v>
      </x:c>
      <x:c r="I161" s="87" t="n">
        <x:f>'01 Base Costs'!$B$16</x:f>
        <x:v>485</x:v>
      </x:c>
      <x:c r="J161" s="87" t="n">
        <x:f>0</x:f>
        <x:v>0</x:v>
      </x:c>
      <x:c r="K161" s="87" t="n">
        <x:f>D161*(E161-1)*I161</x:f>
        <x:v>2910</x:v>
      </x:c>
      <x:c r="L161" s="87" t="n">
        <x:f>D161*(E161-1)*J161</x:f>
        <x:v>0</x:v>
      </x:c>
      <x:c r="M161" s="87" t="n">
        <x:f>0</x:f>
        <x:v>0</x:v>
      </x:c>
      <x:c r="N161" s="87" t="n">
        <x:f>H161+K161+M161</x:f>
        <x:v>4110</x:v>
      </x:c>
      <x:c r="O161" s="87" t="n">
        <x:f>N161*'01 Base Costs'!$B$7+L161</x:f>
        <x:v>19769100000</x:v>
      </x:c>
      <x:c r="P161" s="87" t="n">
        <x:f>D161*E161</x:f>
        <x:v>9</x:v>
      </x:c>
      <x:c r="Q161" s="87" t="n">
        <x:f>P161*'01 Base Costs'!$B$12</x:f>
        <x:v>17496000</x:v>
      </x:c>
      <x:c r="R161" s="87" t="n">
        <x:f>0</x:f>
        <x:v>0</x:v>
      </x:c>
      <x:c r="S161" s="87" t="n">
        <x:f>Q161+R161</x:f>
        <x:v>17496000</x:v>
      </x:c>
      <x:c r="T161" s="141" t="n">
        <x:f>S161/'01 Base Costs'!$B$14</x:f>
        <x:v>34.992</x:v>
      </x:c>
      <x:c r="U161" s="87" t="n">
        <x:f>INT(T161)</x:f>
        <x:v>34</x:v>
      </x:c>
      <x:c r="V161" s="87" t="n">
        <x:f>S161-U161*'01 Base Costs'!$B$14</x:f>
        <x:v>496000</x:v>
      </x:c>
      <x:c r="W161" s="120" t="n">
        <x:f>'01 Base Costs'!$B$17/2</x:f>
        <x:v>70</x:v>
      </x:c>
      <x:c r="X161" s="120" t="n">
        <x:f>0</x:f>
        <x:v>0</x:v>
      </x:c>
      <x:c r="Y161" s="87" t="n">
        <x:f>T161*(W161*'01 Base Costs'!$B$7+X161)</x:f>
        <x:v>11781806400</x:v>
      </x:c>
      <x:c r="Z161" s="87" t="n">
        <x:f>T161*'01 Base Costs'!$B$8</x:f>
        <x:v>26345476799.999996</x:v>
      </x:c>
      <x:c r="AA161" s="87" t="n">
        <x:f>Z161*'01 Base Costs'!$B$11</x:f>
        <x:v>1317273840</x:v>
      </x:c>
      <x:c r="AB161" s="87" t="n">
        <x:f>Z161-AA161</x:f>
        <x:v>25028202959.999996</x:v>
      </x:c>
      <x:c r="AC161" s="87" t="n">
        <x:f>O161+Y161</x:f>
        <x:v>31550906400</x:v>
      </x:c>
      <x:c r="AD161" s="87" t="n">
        <x:f>AB161-AC161</x:f>
        <x:v>-6522703440.000004</x:v>
      </x:c>
      <x:c r="AE161" s="87" t="n">
        <x:f>AD161/D161</x:f>
        <x:v>-2174234480.0000014</x:v>
      </x:c>
      <x:c r="AF161" s="87" t="n">
        <x:f>AD161/P161</x:f>
        <x:v>-724744826.6666671</x:v>
      </x:c>
      <x:c r="AG161" s="87" t="n">
        <x:f>IF(T161=0,0,AC161/T161/(1-'01 Base Costs'!$B$11))</x:f>
        <x:v>949116381.4887013</x:v>
      </x:c>
      <x:c r="AH161" s="88" t="str">
        <x:f>IF(AD161&gt;0,"PROFIT","LOSS")</x:f>
        <x:v>LOSS</x:v>
      </x:c>
      <x:c r="AI161" s="89" t="str">
        <x:v>Base 3M Omega. MCT purchased with PLEX in NES. Extractor 2-for-1 sale.</x:v>
      </x:c>
    </x:row>
    <x:row r="162">
      <x:c r="A162" s="86" t="n">
        <x:v>160</x:v>
      </x:c>
      <x:c r="B162" s="88" t="str">
        <x:v>Base</x:v>
      </x:c>
      <x:c r="C162" s="88" t="str">
        <x:v>3M Omega</x:v>
      </x:c>
      <x:c r="D162" s="88" t="n">
        <x:v>3</x:v>
      </x:c>
      <x:c r="E162" s="88" t="n">
        <x:v>3</x:v>
      </x:c>
      <x:c r="F162" s="88" t="str">
        <x:v>NES base MCT</x:v>
      </x:c>
      <x:c r="G162" s="88" t="str">
        <x:v>NES 10-pack extractor 20% sale</x:v>
      </x:c>
      <x:c r="H162" s="87" t="n">
        <x:f>'01 Base Costs'!$B$22</x:f>
        <x:v>1200</x:v>
      </x:c>
      <x:c r="I162" s="87" t="n">
        <x:f>'01 Base Costs'!$B$16</x:f>
        <x:v>485</x:v>
      </x:c>
      <x:c r="J162" s="87" t="n">
        <x:f>0</x:f>
        <x:v>0</x:v>
      </x:c>
      <x:c r="K162" s="87" t="n">
        <x:f>D162*(E162-1)*I162</x:f>
        <x:v>2910</x:v>
      </x:c>
      <x:c r="L162" s="87" t="n">
        <x:f>D162*(E162-1)*J162</x:f>
        <x:v>0</x:v>
      </x:c>
      <x:c r="M162" s="87" t="n">
        <x:f>0</x:f>
        <x:v>0</x:v>
      </x:c>
      <x:c r="N162" s="87" t="n">
        <x:f>H162+K162+M162</x:f>
        <x:v>4110</x:v>
      </x:c>
      <x:c r="O162" s="87" t="n">
        <x:f>N162*'01 Base Costs'!$B$7+L162</x:f>
        <x:v>19769100000</x:v>
      </x:c>
      <x:c r="P162" s="87" t="n">
        <x:f>D162*E162</x:f>
        <x:v>9</x:v>
      </x:c>
      <x:c r="Q162" s="87" t="n">
        <x:f>P162*'01 Base Costs'!$B$12</x:f>
        <x:v>17496000</x:v>
      </x:c>
      <x:c r="R162" s="87" t="n">
        <x:f>0</x:f>
        <x:v>0</x:v>
      </x:c>
      <x:c r="S162" s="87" t="n">
        <x:f>Q162+R162</x:f>
        <x:v>17496000</x:v>
      </x:c>
      <x:c r="T162" s="141" t="n">
        <x:f>S162/'01 Base Costs'!$B$14</x:f>
        <x:v>34.992</x:v>
      </x:c>
      <x:c r="U162" s="87" t="n">
        <x:f>INT(T162)</x:f>
        <x:v>34</x:v>
      </x:c>
      <x:c r="V162" s="87" t="n">
        <x:f>S162-U162*'01 Base Costs'!$B$14</x:f>
        <x:v>496000</x:v>
      </x:c>
      <x:c r="W162" s="120" t="n">
        <x:f>'01 Base Costs'!$B$19*0.8/10</x:f>
        <x:v>95.2</x:v>
      </x:c>
      <x:c r="X162" s="120" t="n">
        <x:f>0</x:f>
        <x:v>0</x:v>
      </x:c>
      <x:c r="Y162" s="87" t="n">
        <x:f>T162*(W162*'01 Base Costs'!$B$7+X162)</x:f>
        <x:v>16023256703.999998</x:v>
      </x:c>
      <x:c r="Z162" s="87" t="n">
        <x:f>T162*'01 Base Costs'!$B$8</x:f>
        <x:v>26345476799.999996</x:v>
      </x:c>
      <x:c r="AA162" s="87" t="n">
        <x:f>Z162*'01 Base Costs'!$B$11</x:f>
        <x:v>1317273840</x:v>
      </x:c>
      <x:c r="AB162" s="87" t="n">
        <x:f>Z162-AA162</x:f>
        <x:v>25028202959.999996</x:v>
      </x:c>
      <x:c r="AC162" s="87" t="n">
        <x:f>O162+Y162</x:f>
        <x:v>35792356704</x:v>
      </x:c>
      <x:c r="AD162" s="87" t="n">
        <x:f>AB162-AC162</x:f>
        <x:v>-10764153744.000004</x:v>
      </x:c>
      <x:c r="AE162" s="87" t="n">
        <x:f>AD162/D162</x:f>
        <x:v>-3588051248.0000014</x:v>
      </x:c>
      <x:c r="AF162" s="87" t="n">
        <x:f>AD162/P162</x:f>
        <x:v>-1196017082.666667</x:v>
      </x:c>
      <x:c r="AG162" s="87" t="n">
        <x:f>IF(T162=0,0,AC162/T162/(1-'01 Base Costs'!$B$11))</x:f>
        <x:v>1076707960.4360697</x:v>
      </x:c>
      <x:c r="AH162" s="88" t="str">
        <x:f>IF(AD162&gt;0,"PROFIT","LOSS")</x:f>
        <x:v>LOSS</x:v>
      </x:c>
      <x:c r="AI162" s="89" t="str">
        <x:v>Base 3M Omega. MCT purchased with PLEX in NES. 10-pack at 20% off.</x:v>
      </x:c>
    </x:row>
    <x:row r="163">
      <x:c r="A163" s="86" t="n">
        <x:v>161</x:v>
      </x:c>
      <x:c r="B163" s="88" t="str">
        <x:v>Base</x:v>
      </x:c>
      <x:c r="C163" s="88" t="str">
        <x:v>3M Omega</x:v>
      </x:c>
      <x:c r="D163" s="88" t="n">
        <x:v>3</x:v>
      </x:c>
      <x:c r="E163" s="88" t="n">
        <x:v>3</x:v>
      </x:c>
      <x:c r="F163" s="88" t="str">
        <x:v>NES base MCT</x:v>
      </x:c>
      <x:c r="G163" s="88" t="str">
        <x:v>NES 50-pack extractor 20% sale</x:v>
      </x:c>
      <x:c r="H163" s="87" t="n">
        <x:f>'01 Base Costs'!$B$22</x:f>
        <x:v>1200</x:v>
      </x:c>
      <x:c r="I163" s="87" t="n">
        <x:f>'01 Base Costs'!$B$16</x:f>
        <x:v>485</x:v>
      </x:c>
      <x:c r="J163" s="87" t="n">
        <x:f>0</x:f>
        <x:v>0</x:v>
      </x:c>
      <x:c r="K163" s="87" t="n">
        <x:f>D163*(E163-1)*I163</x:f>
        <x:v>2910</x:v>
      </x:c>
      <x:c r="L163" s="87" t="n">
        <x:f>D163*(E163-1)*J163</x:f>
        <x:v>0</x:v>
      </x:c>
      <x:c r="M163" s="87" t="n">
        <x:f>0</x:f>
        <x:v>0</x:v>
      </x:c>
      <x:c r="N163" s="87" t="n">
        <x:f>H163+K163+M163</x:f>
        <x:v>4110</x:v>
      </x:c>
      <x:c r="O163" s="87" t="n">
        <x:f>N163*'01 Base Costs'!$B$7+L163</x:f>
        <x:v>19769100000</x:v>
      </x:c>
      <x:c r="P163" s="87" t="n">
        <x:f>D163*E163</x:f>
        <x:v>9</x:v>
      </x:c>
      <x:c r="Q163" s="87" t="n">
        <x:f>P163*'01 Base Costs'!$B$12</x:f>
        <x:v>17496000</x:v>
      </x:c>
      <x:c r="R163" s="87" t="n">
        <x:f>0</x:f>
        <x:v>0</x:v>
      </x:c>
      <x:c r="S163" s="87" t="n">
        <x:f>Q163+R163</x:f>
        <x:v>17496000</x:v>
      </x:c>
      <x:c r="T163" s="141" t="n">
        <x:f>S163/'01 Base Costs'!$B$14</x:f>
        <x:v>34.992</x:v>
      </x:c>
      <x:c r="U163" s="87" t="n">
        <x:f>INT(T163)</x:f>
        <x:v>34</x:v>
      </x:c>
      <x:c r="V163" s="87" t="n">
        <x:f>S163-U163*'01 Base Costs'!$B$14</x:f>
        <x:v>496000</x:v>
      </x:c>
      <x:c r="W163" s="120" t="n">
        <x:f>'01 Base Costs'!$B$20*0.8/50</x:f>
        <x:v>89.6</x:v>
      </x:c>
      <x:c r="X163" s="120" t="n">
        <x:f>0</x:f>
        <x:v>0</x:v>
      </x:c>
      <x:c r="Y163" s="87" t="n">
        <x:f>T163*(W163*'01 Base Costs'!$B$7+X163)</x:f>
        <x:v>15080712191.999998</x:v>
      </x:c>
      <x:c r="Z163" s="87" t="n">
        <x:f>T163*'01 Base Costs'!$B$8</x:f>
        <x:v>26345476799.999996</x:v>
      </x:c>
      <x:c r="AA163" s="87" t="n">
        <x:f>Z163*'01 Base Costs'!$B$11</x:f>
        <x:v>1317273840</x:v>
      </x:c>
      <x:c r="AB163" s="87" t="n">
        <x:f>Z163-AA163</x:f>
        <x:v>25028202959.999996</x:v>
      </x:c>
      <x:c r="AC163" s="87" t="n">
        <x:f>O163+Y163</x:f>
        <x:v>34849812192</x:v>
      </x:c>
      <x:c r="AD163" s="87" t="n">
        <x:f>AB163-AC163</x:f>
        <x:v>-9821609232.000004</x:v>
      </x:c>
      <x:c r="AE163" s="87" t="n">
        <x:f>AD163/D163</x:f>
        <x:v>-3273869744.0000014</x:v>
      </x:c>
      <x:c r="AF163" s="87" t="n">
        <x:f>AD163/P163</x:f>
        <x:v>-1091289914.666667</x:v>
      </x:c>
      <x:c r="AG163" s="87" t="n">
        <x:f>IF(T163=0,0,AC163/T163/(1-'01 Base Costs'!$B$11))</x:f>
        <x:v>1048354276.2255435</x:v>
      </x:c>
      <x:c r="AH163" s="88" t="str">
        <x:f>IF(AD163&gt;0,"PROFIT","LOSS")</x:f>
        <x:v>LOSS</x:v>
      </x:c>
      <x:c r="AI163" s="89" t="str">
        <x:v>Base 3M Omega. MCT purchased with PLEX in NES. 50-pack at 20% off.</x:v>
      </x:c>
    </x:row>
    <x:row r="164">
      <x:c r="A164" s="86" t="n">
        <x:v>162</x:v>
      </x:c>
      <x:c r="B164" s="88" t="str">
        <x:v>Base</x:v>
      </x:c>
      <x:c r="C164" s="88" t="str">
        <x:v>3M Omega</x:v>
      </x:c>
      <x:c r="D164" s="88" t="n">
        <x:v>3</x:v>
      </x:c>
      <x:c r="E164" s="88" t="n">
        <x:v>3</x:v>
      </x:c>
      <x:c r="F164" s="88" t="str">
        <x:v>NES base MCT</x:v>
      </x:c>
      <x:c r="G164" s="88" t="str">
        <x:v>Market Skill Extractor</x:v>
      </x:c>
      <x:c r="H164" s="87" t="n">
        <x:f>'01 Base Costs'!$B$22</x:f>
        <x:v>1200</x:v>
      </x:c>
      <x:c r="I164" s="87" t="n">
        <x:f>'01 Base Costs'!$B$16</x:f>
        <x:v>485</x:v>
      </x:c>
      <x:c r="J164" s="87" t="n">
        <x:f>0</x:f>
        <x:v>0</x:v>
      </x:c>
      <x:c r="K164" s="87" t="n">
        <x:f>D164*(E164-1)*I164</x:f>
        <x:v>2910</x:v>
      </x:c>
      <x:c r="L164" s="87" t="n">
        <x:f>D164*(E164-1)*J164</x:f>
        <x:v>0</x:v>
      </x:c>
      <x:c r="M164" s="87" t="n">
        <x:f>0</x:f>
        <x:v>0</x:v>
      </x:c>
      <x:c r="N164" s="87" t="n">
        <x:f>H164+K164+M164</x:f>
        <x:v>4110</x:v>
      </x:c>
      <x:c r="O164" s="87" t="n">
        <x:f>N164*'01 Base Costs'!$B$7+L164</x:f>
        <x:v>19769100000</x:v>
      </x:c>
      <x:c r="P164" s="87" t="n">
        <x:f>D164*E164</x:f>
        <x:v>9</x:v>
      </x:c>
      <x:c r="Q164" s="87" t="n">
        <x:f>P164*'01 Base Costs'!$B$12</x:f>
        <x:v>17496000</x:v>
      </x:c>
      <x:c r="R164" s="87" t="n">
        <x:f>0</x:f>
        <x:v>0</x:v>
      </x:c>
      <x:c r="S164" s="87" t="n">
        <x:f>Q164+R164</x:f>
        <x:v>17496000</x:v>
      </x:c>
      <x:c r="T164" s="141" t="n">
        <x:f>S164/'01 Base Costs'!$B$14</x:f>
        <x:v>34.992</x:v>
      </x:c>
      <x:c r="U164" s="87" t="n">
        <x:f>INT(T164)</x:f>
        <x:v>34</x:v>
      </x:c>
      <x:c r="V164" s="87" t="n">
        <x:f>S164-U164*'01 Base Costs'!$B$14</x:f>
        <x:v>496000</x:v>
      </x:c>
      <x:c r="W164" s="120" t="n">
        <x:f>0</x:f>
        <x:v>0</x:v>
      </x:c>
      <x:c r="X164" s="120" t="n">
        <x:f>'01 Base Costs'!$B$9</x:f>
        <x:v>463500000</x:v>
      </x:c>
      <x:c r="Y164" s="87" t="n">
        <x:f>T164*(W164*'01 Base Costs'!$B$7+X164)</x:f>
        <x:v>16218791999.999998</x:v>
      </x:c>
      <x:c r="Z164" s="87" t="n">
        <x:f>T164*'01 Base Costs'!$B$8</x:f>
        <x:v>26345476799.999996</x:v>
      </x:c>
      <x:c r="AA164" s="87" t="n">
        <x:f>Z164*'01 Base Costs'!$B$11</x:f>
        <x:v>1317273840</x:v>
      </x:c>
      <x:c r="AB164" s="87" t="n">
        <x:f>Z164-AA164</x:f>
        <x:v>25028202959.999996</x:v>
      </x:c>
      <x:c r="AC164" s="87" t="n">
        <x:f>O164+Y164</x:f>
        <x:v>35987892000</x:v>
      </x:c>
      <x:c r="AD164" s="87" t="n">
        <x:f>AB164-AC164</x:f>
        <x:v>-10959689040.000004</x:v>
      </x:c>
      <x:c r="AE164" s="87" t="n">
        <x:f>AD164/D164</x:f>
        <x:v>-3653229680.0000014</x:v>
      </x:c>
      <x:c r="AF164" s="87" t="n">
        <x:f>AD164/P164</x:f>
        <x:v>-1217743226.666667</x:v>
      </x:c>
      <x:c r="AG164" s="87" t="n">
        <x:f>IF(T164=0,0,AC164/T164/(1-'01 Base Costs'!$B$11))</x:f>
        <x:v>1082590065.6992276</x:v>
      </x:c>
      <x:c r="AH164" s="88" t="str">
        <x:f>IF(AD164&gt;0,"PROFIT","LOSS")</x:f>
        <x:v>LOSS</x:v>
      </x:c>
      <x:c r="AI164" s="89" t="str">
        <x:v>Base 3M Omega. MCT purchased with PLEX in NES. Extractor bought on market with ISK.</x:v>
      </x:c>
    </x:row>
    <x:row r="165">
      <x:c r="A165" s="86" t="n">
        <x:v>163</x:v>
      </x:c>
      <x:c r="B165" s="88" t="str">
        <x:v>Base</x:v>
      </x:c>
      <x:c r="C165" s="88" t="str">
        <x:v>3M Omega</x:v>
      </x:c>
      <x:c r="D165" s="88" t="n">
        <x:v>3</x:v>
      </x:c>
      <x:c r="E165" s="88" t="n">
        <x:v>3</x:v>
      </x:c>
      <x:c r="F165" s="88" t="str">
        <x:v>NES MCT 20% sale</x:v>
      </x:c>
      <x:c r="G165" s="88" t="str">
        <x:v>NES single extractor</x:v>
      </x:c>
      <x:c r="H165" s="87" t="n">
        <x:f>'01 Base Costs'!$B$22</x:f>
        <x:v>1200</x:v>
      </x:c>
      <x:c r="I165" s="87" t="n">
        <x:f>'01 Base Costs'!$B$16*0.8</x:f>
        <x:v>388</x:v>
      </x:c>
      <x:c r="J165" s="87" t="n">
        <x:f>0</x:f>
        <x:v>0</x:v>
      </x:c>
      <x:c r="K165" s="87" t="n">
        <x:f>D165*(E165-1)*I165</x:f>
        <x:v>2328</x:v>
      </x:c>
      <x:c r="L165" s="87" t="n">
        <x:f>D165*(E165-1)*J165</x:f>
        <x:v>0</x:v>
      </x:c>
      <x:c r="M165" s="87" t="n">
        <x:f>0</x:f>
        <x:v>0</x:v>
      </x:c>
      <x:c r="N165" s="87" t="n">
        <x:f>H165+K165+M165</x:f>
        <x:v>3528</x:v>
      </x:c>
      <x:c r="O165" s="87" t="n">
        <x:f>N165*'01 Base Costs'!$B$7+L165</x:f>
        <x:v>16969680000</x:v>
      </x:c>
      <x:c r="P165" s="87" t="n">
        <x:f>D165*E165</x:f>
        <x:v>9</x:v>
      </x:c>
      <x:c r="Q165" s="87" t="n">
        <x:f>P165*'01 Base Costs'!$B$12</x:f>
        <x:v>17496000</x:v>
      </x:c>
      <x:c r="R165" s="87" t="n">
        <x:f>0</x:f>
        <x:v>0</x:v>
      </x:c>
      <x:c r="S165" s="87" t="n">
        <x:f>Q165+R165</x:f>
        <x:v>17496000</x:v>
      </x:c>
      <x:c r="T165" s="141" t="n">
        <x:f>S165/'01 Base Costs'!$B$14</x:f>
        <x:v>34.992</x:v>
      </x:c>
      <x:c r="U165" s="87" t="n">
        <x:f>INT(T165)</x:f>
        <x:v>34</x:v>
      </x:c>
      <x:c r="V165" s="87" t="n">
        <x:f>S165-U165*'01 Base Costs'!$B$14</x:f>
        <x:v>496000</x:v>
      </x:c>
      <x:c r="W165" s="120" t="n">
        <x:f>'01 Base Costs'!$B$17</x:f>
        <x:v>140</x:v>
      </x:c>
      <x:c r="X165" s="120" t="n">
        <x:f>0</x:f>
        <x:v>0</x:v>
      </x:c>
      <x:c r="Y165" s="87" t="n">
        <x:f>T165*(W165*'01 Base Costs'!$B$7+X165)</x:f>
        <x:v>23563612800</x:v>
      </x:c>
      <x:c r="Z165" s="87" t="n">
        <x:f>T165*'01 Base Costs'!$B$8</x:f>
        <x:v>26345476799.999996</x:v>
      </x:c>
      <x:c r="AA165" s="87" t="n">
        <x:f>Z165*'01 Base Costs'!$B$11</x:f>
        <x:v>1317273840</x:v>
      </x:c>
      <x:c r="AB165" s="87" t="n">
        <x:f>Z165-AA165</x:f>
        <x:v>25028202959.999996</x:v>
      </x:c>
      <x:c r="AC165" s="87" t="n">
        <x:f>O165+Y165</x:f>
        <x:v>40533292800</x:v>
      </x:c>
      <x:c r="AD165" s="87" t="n">
        <x:f>AB165-AC165</x:f>
        <x:v>-15505089840.000004</x:v>
      </x:c>
      <x:c r="AE165" s="87" t="n">
        <x:f>AD165/D165</x:f>
        <x:v>-5168363280.000001</x:v>
      </x:c>
      <x:c r="AF165" s="87" t="n">
        <x:f>AD165/P165</x:f>
        <x:v>-1722787760.0000005</x:v>
      </x:c>
      <x:c r="AG165" s="87" t="n">
        <x:f>IF(T165=0,0,AC165/T165/(1-'01 Base Costs'!$B$11))</x:f>
        <x:v>1219325102.8806586</x:v>
      </x:c>
      <x:c r="AH165" s="88" t="str">
        <x:f>IF(AD165&gt;0,"PROFIT","LOSS")</x:f>
        <x:v>LOSS</x:v>
      </x:c>
      <x:c r="AI165" s="89" t="str">
        <x:v>Base 3M Omega. MCT sale 20% off. Base single extractor.</x:v>
      </x:c>
    </x:row>
    <x:row r="166">
      <x:c r="A166" s="86" t="n">
        <x:v>164</x:v>
      </x:c>
      <x:c r="B166" s="88" t="str">
        <x:v>Base</x:v>
      </x:c>
      <x:c r="C166" s="88" t="str">
        <x:v>3M Omega</x:v>
      </x:c>
      <x:c r="D166" s="88" t="n">
        <x:v>3</x:v>
      </x:c>
      <x:c r="E166" s="88" t="n">
        <x:v>3</x:v>
      </x:c>
      <x:c r="F166" s="88" t="str">
        <x:v>NES MCT 20% sale</x:v>
      </x:c>
      <x:c r="G166" s="88" t="str">
        <x:v>NES 5-pack extractor</x:v>
      </x:c>
      <x:c r="H166" s="87" t="n">
        <x:f>'01 Base Costs'!$B$22</x:f>
        <x:v>1200</x:v>
      </x:c>
      <x:c r="I166" s="87" t="n">
        <x:f>'01 Base Costs'!$B$16*0.8</x:f>
        <x:v>388</x:v>
      </x:c>
      <x:c r="J166" s="87" t="n">
        <x:f>0</x:f>
        <x:v>0</x:v>
      </x:c>
      <x:c r="K166" s="87" t="n">
        <x:f>D166*(E166-1)*I166</x:f>
        <x:v>2328</x:v>
      </x:c>
      <x:c r="L166" s="87" t="n">
        <x:f>D166*(E166-1)*J166</x:f>
        <x:v>0</x:v>
      </x:c>
      <x:c r="M166" s="87" t="n">
        <x:f>0</x:f>
        <x:v>0</x:v>
      </x:c>
      <x:c r="N166" s="87" t="n">
        <x:f>H166+K166+M166</x:f>
        <x:v>3528</x:v>
      </x:c>
      <x:c r="O166" s="87" t="n">
        <x:f>N166*'01 Base Costs'!$B$7+L166</x:f>
        <x:v>16969680000</x:v>
      </x:c>
      <x:c r="P166" s="87" t="n">
        <x:f>D166*E166</x:f>
        <x:v>9</x:v>
      </x:c>
      <x:c r="Q166" s="87" t="n">
        <x:f>P166*'01 Base Costs'!$B$12</x:f>
        <x:v>17496000</x:v>
      </x:c>
      <x:c r="R166" s="87" t="n">
        <x:f>0</x:f>
        <x:v>0</x:v>
      </x:c>
      <x:c r="S166" s="87" t="n">
        <x:f>Q166+R166</x:f>
        <x:v>17496000</x:v>
      </x:c>
      <x:c r="T166" s="141" t="n">
        <x:f>S166/'01 Base Costs'!$B$14</x:f>
        <x:v>34.992</x:v>
      </x:c>
      <x:c r="U166" s="87" t="n">
        <x:f>INT(T166)</x:f>
        <x:v>34</x:v>
      </x:c>
      <x:c r="V166" s="87" t="n">
        <x:f>S166-U166*'01 Base Costs'!$B$14</x:f>
        <x:v>496000</x:v>
      </x:c>
      <x:c r="W166" s="120" t="n">
        <x:f>'01 Base Costs'!$B$18/5</x:f>
        <x:v>126</x:v>
      </x:c>
      <x:c r="X166" s="120" t="n">
        <x:f>0</x:f>
        <x:v>0</x:v>
      </x:c>
      <x:c r="Y166" s="87" t="n">
        <x:f>T166*(W166*'01 Base Costs'!$B$7+X166)</x:f>
        <x:v>21207251520</x:v>
      </x:c>
      <x:c r="Z166" s="87" t="n">
        <x:f>T166*'01 Base Costs'!$B$8</x:f>
        <x:v>26345476799.999996</x:v>
      </x:c>
      <x:c r="AA166" s="87" t="n">
        <x:f>Z166*'01 Base Costs'!$B$11</x:f>
        <x:v>1317273840</x:v>
      </x:c>
      <x:c r="AB166" s="87" t="n">
        <x:f>Z166-AA166</x:f>
        <x:v>25028202959.999996</x:v>
      </x:c>
      <x:c r="AC166" s="87" t="n">
        <x:f>O166+Y166</x:f>
        <x:v>38176931520</x:v>
      </x:c>
      <x:c r="AD166" s="87" t="n">
        <x:f>AB166-AC166</x:f>
        <x:v>-13148728560.000004</x:v>
      </x:c>
      <x:c r="AE166" s="87" t="n">
        <x:f>AD166/D166</x:f>
        <x:v>-4382909520.000001</x:v>
      </x:c>
      <x:c r="AF166" s="87" t="n">
        <x:f>AD166/P166</x:f>
        <x:v>-1460969840.0000005</x:v>
      </x:c>
      <x:c r="AG166" s="87" t="n">
        <x:f>IF(T166=0,0,AC166/T166/(1-'01 Base Costs'!$B$11))</x:f>
        <x:v>1148440892.354343</x:v>
      </x:c>
      <x:c r="AH166" s="88" t="str">
        <x:f>IF(AD166&gt;0,"PROFIT","LOSS")</x:f>
        <x:v>LOSS</x:v>
      </x:c>
      <x:c r="AI166" s="89" t="str">
        <x:v>Base 3M Omega. MCT sale 20% off. Base 5-pack average.</x:v>
      </x:c>
    </x:row>
    <x:row r="167">
      <x:c r="A167" s="86" t="n">
        <x:v>165</x:v>
      </x:c>
      <x:c r="B167" s="88" t="str">
        <x:v>Base</x:v>
      </x:c>
      <x:c r="C167" s="88" t="str">
        <x:v>3M Omega</x:v>
      </x:c>
      <x:c r="D167" s="88" t="n">
        <x:v>3</x:v>
      </x:c>
      <x:c r="E167" s="88" t="n">
        <x:v>3</x:v>
      </x:c>
      <x:c r="F167" s="88" t="str">
        <x:v>NES MCT 20% sale</x:v>
      </x:c>
      <x:c r="G167" s="88" t="str">
        <x:v>NES 10-pack extractor</x:v>
      </x:c>
      <x:c r="H167" s="87" t="n">
        <x:f>'01 Base Costs'!$B$22</x:f>
        <x:v>1200</x:v>
      </x:c>
      <x:c r="I167" s="87" t="n">
        <x:f>'01 Base Costs'!$B$16*0.8</x:f>
        <x:v>388</x:v>
      </x:c>
      <x:c r="J167" s="87" t="n">
        <x:f>0</x:f>
        <x:v>0</x:v>
      </x:c>
      <x:c r="K167" s="87" t="n">
        <x:f>D167*(E167-1)*I167</x:f>
        <x:v>2328</x:v>
      </x:c>
      <x:c r="L167" s="87" t="n">
        <x:f>D167*(E167-1)*J167</x:f>
        <x:v>0</x:v>
      </x:c>
      <x:c r="M167" s="87" t="n">
        <x:f>0</x:f>
        <x:v>0</x:v>
      </x:c>
      <x:c r="N167" s="87" t="n">
        <x:f>H167+K167+M167</x:f>
        <x:v>3528</x:v>
      </x:c>
      <x:c r="O167" s="87" t="n">
        <x:f>N167*'01 Base Costs'!$B$7+L167</x:f>
        <x:v>16969680000</x:v>
      </x:c>
      <x:c r="P167" s="87" t="n">
        <x:f>D167*E167</x:f>
        <x:v>9</x:v>
      </x:c>
      <x:c r="Q167" s="87" t="n">
        <x:f>P167*'01 Base Costs'!$B$12</x:f>
        <x:v>17496000</x:v>
      </x:c>
      <x:c r="R167" s="87" t="n">
        <x:f>0</x:f>
        <x:v>0</x:v>
      </x:c>
      <x:c r="S167" s="87" t="n">
        <x:f>Q167+R167</x:f>
        <x:v>17496000</x:v>
      </x:c>
      <x:c r="T167" s="141" t="n">
        <x:f>S167/'01 Base Costs'!$B$14</x:f>
        <x:v>34.992</x:v>
      </x:c>
      <x:c r="U167" s="87" t="n">
        <x:f>INT(T167)</x:f>
        <x:v>34</x:v>
      </x:c>
      <x:c r="V167" s="87" t="n">
        <x:f>S167-U167*'01 Base Costs'!$B$14</x:f>
        <x:v>496000</x:v>
      </x:c>
      <x:c r="W167" s="120" t="n">
        <x:f>'01 Base Costs'!$B$19/10</x:f>
        <x:v>119</x:v>
      </x:c>
      <x:c r="X167" s="120" t="n">
        <x:f>0</x:f>
        <x:v>0</x:v>
      </x:c>
      <x:c r="Y167" s="87" t="n">
        <x:f>T167*(W167*'01 Base Costs'!$B$7+X167)</x:f>
        <x:v>20029070880</x:v>
      </x:c>
      <x:c r="Z167" s="87" t="n">
        <x:f>T167*'01 Base Costs'!$B$8</x:f>
        <x:v>26345476799.999996</x:v>
      </x:c>
      <x:c r="AA167" s="87" t="n">
        <x:f>Z167*'01 Base Costs'!$B$11</x:f>
        <x:v>1317273840</x:v>
      </x:c>
      <x:c r="AB167" s="87" t="n">
        <x:f>Z167-AA167</x:f>
        <x:v>25028202959.999996</x:v>
      </x:c>
      <x:c r="AC167" s="87" t="n">
        <x:f>O167+Y167</x:f>
        <x:v>36998750880</x:v>
      </x:c>
      <x:c r="AD167" s="87" t="n">
        <x:f>AB167-AC167</x:f>
        <x:v>-11970547920.000004</x:v>
      </x:c>
      <x:c r="AE167" s="87" t="n">
        <x:f>AD167/D167</x:f>
        <x:v>-3990182640.0000014</x:v>
      </x:c>
      <x:c r="AF167" s="87" t="n">
        <x:f>AD167/P167</x:f>
        <x:v>-1330060880.0000005</x:v>
      </x:c>
      <x:c r="AG167" s="87" t="n">
        <x:f>IF(T167=0,0,AC167/T167/(1-'01 Base Costs'!$B$11))</x:f>
        <x:v>1112998787.0911849</x:v>
      </x:c>
      <x:c r="AH167" s="88" t="str">
        <x:f>IF(AD167&gt;0,"PROFIT","LOSS")</x:f>
        <x:v>LOSS</x:v>
      </x:c>
      <x:c r="AI167" s="89" t="str">
        <x:v>Base 3M Omega. MCT sale 20% off. Base 10-pack average.</x:v>
      </x:c>
    </x:row>
    <x:row r="168">
      <x:c r="A168" s="86" t="n">
        <x:v>166</x:v>
      </x:c>
      <x:c r="B168" s="88" t="str">
        <x:v>Base</x:v>
      </x:c>
      <x:c r="C168" s="88" t="str">
        <x:v>3M Omega</x:v>
      </x:c>
      <x:c r="D168" s="88" t="n">
        <x:v>3</x:v>
      </x:c>
      <x:c r="E168" s="88" t="n">
        <x:v>3</x:v>
      </x:c>
      <x:c r="F168" s="88" t="str">
        <x:v>NES MCT 20% sale</x:v>
      </x:c>
      <x:c r="G168" s="88" t="str">
        <x:v>NES 50-pack extractor</x:v>
      </x:c>
      <x:c r="H168" s="87" t="n">
        <x:f>'01 Base Costs'!$B$22</x:f>
        <x:v>1200</x:v>
      </x:c>
      <x:c r="I168" s="87" t="n">
        <x:f>'01 Base Costs'!$B$16*0.8</x:f>
        <x:v>388</x:v>
      </x:c>
      <x:c r="J168" s="87" t="n">
        <x:f>0</x:f>
        <x:v>0</x:v>
      </x:c>
      <x:c r="K168" s="87" t="n">
        <x:f>D168*(E168-1)*I168</x:f>
        <x:v>2328</x:v>
      </x:c>
      <x:c r="L168" s="87" t="n">
        <x:f>D168*(E168-1)*J168</x:f>
        <x:v>0</x:v>
      </x:c>
      <x:c r="M168" s="87" t="n">
        <x:f>0</x:f>
        <x:v>0</x:v>
      </x:c>
      <x:c r="N168" s="87" t="n">
        <x:f>H168+K168+M168</x:f>
        <x:v>3528</x:v>
      </x:c>
      <x:c r="O168" s="87" t="n">
        <x:f>N168*'01 Base Costs'!$B$7+L168</x:f>
        <x:v>16969680000</x:v>
      </x:c>
      <x:c r="P168" s="87" t="n">
        <x:f>D168*E168</x:f>
        <x:v>9</x:v>
      </x:c>
      <x:c r="Q168" s="87" t="n">
        <x:f>P168*'01 Base Costs'!$B$12</x:f>
        <x:v>17496000</x:v>
      </x:c>
      <x:c r="R168" s="87" t="n">
        <x:f>0</x:f>
        <x:v>0</x:v>
      </x:c>
      <x:c r="S168" s="87" t="n">
        <x:f>Q168+R168</x:f>
        <x:v>17496000</x:v>
      </x:c>
      <x:c r="T168" s="141" t="n">
        <x:f>S168/'01 Base Costs'!$B$14</x:f>
        <x:v>34.992</x:v>
      </x:c>
      <x:c r="U168" s="87" t="n">
        <x:f>INT(T168)</x:f>
        <x:v>34</x:v>
      </x:c>
      <x:c r="V168" s="87" t="n">
        <x:f>S168-U168*'01 Base Costs'!$B$14</x:f>
        <x:v>496000</x:v>
      </x:c>
      <x:c r="W168" s="120" t="n">
        <x:f>'01 Base Costs'!$B$20/50</x:f>
        <x:v>112</x:v>
      </x:c>
      <x:c r="X168" s="120" t="n">
        <x:f>0</x:f>
        <x:v>0</x:v>
      </x:c>
      <x:c r="Y168" s="87" t="n">
        <x:f>T168*(W168*'01 Base Costs'!$B$7+X168)</x:f>
        <x:v>18850890240</x:v>
      </x:c>
      <x:c r="Z168" s="87" t="n">
        <x:f>T168*'01 Base Costs'!$B$8</x:f>
        <x:v>26345476799.999996</x:v>
      </x:c>
      <x:c r="AA168" s="87" t="n">
        <x:f>Z168*'01 Base Costs'!$B$11</x:f>
        <x:v>1317273840</x:v>
      </x:c>
      <x:c r="AB168" s="87" t="n">
        <x:f>Z168-AA168</x:f>
        <x:v>25028202959.999996</x:v>
      </x:c>
      <x:c r="AC168" s="87" t="n">
        <x:f>O168+Y168</x:f>
        <x:v>35820570240</x:v>
      </x:c>
      <x:c r="AD168" s="87" t="n">
        <x:f>AB168-AC168</x:f>
        <x:v>-10792367280.000004</x:v>
      </x:c>
      <x:c r="AE168" s="87" t="n">
        <x:f>AD168/D168</x:f>
        <x:v>-3597455760.0000014</x:v>
      </x:c>
      <x:c r="AF168" s="87" t="n">
        <x:f>AD168/P168</x:f>
        <x:v>-1199151920.0000005</x:v>
      </x:c>
      <x:c r="AG168" s="87" t="n">
        <x:f>IF(T168=0,0,AC168/T168/(1-'01 Base Costs'!$B$11))</x:f>
        <x:v>1077556681.828027</x:v>
      </x:c>
      <x:c r="AH168" s="88" t="str">
        <x:f>IF(AD168&gt;0,"PROFIT","LOSS")</x:f>
        <x:v>LOSS</x:v>
      </x:c>
      <x:c r="AI168" s="89" t="str">
        <x:v>Base 3M Omega. MCT sale 20% off. Base 50-pack average.</x:v>
      </x:c>
    </x:row>
    <x:row r="169">
      <x:c r="A169" s="86" t="n">
        <x:v>167</x:v>
      </x:c>
      <x:c r="B169" s="88" t="str">
        <x:v>Base</x:v>
      </x:c>
      <x:c r="C169" s="88" t="str">
        <x:v>3M Omega</x:v>
      </x:c>
      <x:c r="D169" s="88" t="n">
        <x:v>3</x:v>
      </x:c>
      <x:c r="E169" s="88" t="n">
        <x:v>3</x:v>
      </x:c>
      <x:c r="F169" s="88" t="str">
        <x:v>NES MCT 20% sale</x:v>
      </x:c>
      <x:c r="G169" s="88" t="str">
        <x:v>NES 3-for-2 extractor sale</x:v>
      </x:c>
      <x:c r="H169" s="87" t="n">
        <x:f>'01 Base Costs'!$B$22</x:f>
        <x:v>1200</x:v>
      </x:c>
      <x:c r="I169" s="87" t="n">
        <x:f>'01 Base Costs'!$B$16*0.8</x:f>
        <x:v>388</x:v>
      </x:c>
      <x:c r="J169" s="87" t="n">
        <x:f>0</x:f>
        <x:v>0</x:v>
      </x:c>
      <x:c r="K169" s="87" t="n">
        <x:f>D169*(E169-1)*I169</x:f>
        <x:v>2328</x:v>
      </x:c>
      <x:c r="L169" s="87" t="n">
        <x:f>D169*(E169-1)*J169</x:f>
        <x:v>0</x:v>
      </x:c>
      <x:c r="M169" s="87" t="n">
        <x:f>0</x:f>
        <x:v>0</x:v>
      </x:c>
      <x:c r="N169" s="87" t="n">
        <x:f>H169+K169+M169</x:f>
        <x:v>3528</x:v>
      </x:c>
      <x:c r="O169" s="87" t="n">
        <x:f>N169*'01 Base Costs'!$B$7+L169</x:f>
        <x:v>16969680000</x:v>
      </x:c>
      <x:c r="P169" s="87" t="n">
        <x:f>D169*E169</x:f>
        <x:v>9</x:v>
      </x:c>
      <x:c r="Q169" s="87" t="n">
        <x:f>P169*'01 Base Costs'!$B$12</x:f>
        <x:v>17496000</x:v>
      </x:c>
      <x:c r="R169" s="87" t="n">
        <x:f>0</x:f>
        <x:v>0</x:v>
      </x:c>
      <x:c r="S169" s="87" t="n">
        <x:f>Q169+R169</x:f>
        <x:v>17496000</x:v>
      </x:c>
      <x:c r="T169" s="141" t="n">
        <x:f>S169/'01 Base Costs'!$B$14</x:f>
        <x:v>34.992</x:v>
      </x:c>
      <x:c r="U169" s="87" t="n">
        <x:f>INT(T169)</x:f>
        <x:v>34</x:v>
      </x:c>
      <x:c r="V169" s="87" t="n">
        <x:f>S169-U169*'01 Base Costs'!$B$14</x:f>
        <x:v>496000</x:v>
      </x:c>
      <x:c r="W169" s="120" t="n">
        <x:f>'01 Base Costs'!$B$17*2/3</x:f>
        <x:v>93.33333333333333</x:v>
      </x:c>
      <x:c r="X169" s="120" t="n">
        <x:f>0</x:f>
        <x:v>0</x:v>
      </x:c>
      <x:c r="Y169" s="87" t="n">
        <x:f>T169*(W169*'01 Base Costs'!$B$7+X169)</x:f>
        <x:v>15709075199.999998</x:v>
      </x:c>
      <x:c r="Z169" s="87" t="n">
        <x:f>T169*'01 Base Costs'!$B$8</x:f>
        <x:v>26345476799.999996</x:v>
      </x:c>
      <x:c r="AA169" s="87" t="n">
        <x:f>Z169*'01 Base Costs'!$B$11</x:f>
        <x:v>1317273840</x:v>
      </x:c>
      <x:c r="AB169" s="87" t="n">
        <x:f>Z169-AA169</x:f>
        <x:v>25028202959.999996</x:v>
      </x:c>
      <x:c r="AC169" s="87" t="n">
        <x:f>O169+Y169</x:f>
        <x:v>32678755200</x:v>
      </x:c>
      <x:c r="AD169" s="87" t="n">
        <x:f>AB169-AC169</x:f>
        <x:v>-7650552240.000004</x:v>
      </x:c>
      <x:c r="AE169" s="87" t="n">
        <x:f>AD169/D169</x:f>
        <x:v>-2550184080.0000014</x:v>
      </x:c>
      <x:c r="AF169" s="87" t="n">
        <x:f>AD169/P169</x:f>
        <x:v>-850061360.0000005</x:v>
      </x:c>
      <x:c r="AG169" s="87" t="n">
        <x:f>IF(T169=0,0,AC169/T169/(1-'01 Base Costs'!$B$11))</x:f>
        <x:v>983044401.1262726</x:v>
      </x:c>
      <x:c r="AH169" s="88" t="str">
        <x:f>IF(AD169&gt;0,"PROFIT","LOSS")</x:f>
        <x:v>LOSS</x:v>
      </x:c>
      <x:c r="AI169" s="89" t="str">
        <x:v>Base 3M Omega. MCT sale 20% off. Extractor 3-for-2 sale.</x:v>
      </x:c>
    </x:row>
    <x:row r="170">
      <x:c r="A170" s="86" t="n">
        <x:v>168</x:v>
      </x:c>
      <x:c r="B170" s="88" t="str">
        <x:v>Base</x:v>
      </x:c>
      <x:c r="C170" s="88" t="str">
        <x:v>3M Omega</x:v>
      </x:c>
      <x:c r="D170" s="88" t="n">
        <x:v>3</x:v>
      </x:c>
      <x:c r="E170" s="88" t="n">
        <x:v>3</x:v>
      </x:c>
      <x:c r="F170" s="88" t="str">
        <x:v>NES MCT 20% sale</x:v>
      </x:c>
      <x:c r="G170" s="88" t="str">
        <x:v>NES 2-for-1 extractor sale</x:v>
      </x:c>
      <x:c r="H170" s="87" t="n">
        <x:f>'01 Base Costs'!$B$22</x:f>
        <x:v>1200</x:v>
      </x:c>
      <x:c r="I170" s="87" t="n">
        <x:f>'01 Base Costs'!$B$16*0.8</x:f>
        <x:v>388</x:v>
      </x:c>
      <x:c r="J170" s="87" t="n">
        <x:f>0</x:f>
        <x:v>0</x:v>
      </x:c>
      <x:c r="K170" s="87" t="n">
        <x:f>D170*(E170-1)*I170</x:f>
        <x:v>2328</x:v>
      </x:c>
      <x:c r="L170" s="87" t="n">
        <x:f>D170*(E170-1)*J170</x:f>
        <x:v>0</x:v>
      </x:c>
      <x:c r="M170" s="87" t="n">
        <x:f>0</x:f>
        <x:v>0</x:v>
      </x:c>
      <x:c r="N170" s="87" t="n">
        <x:f>H170+K170+M170</x:f>
        <x:v>3528</x:v>
      </x:c>
      <x:c r="O170" s="87" t="n">
        <x:f>N170*'01 Base Costs'!$B$7+L170</x:f>
        <x:v>16969680000</x:v>
      </x:c>
      <x:c r="P170" s="87" t="n">
        <x:f>D170*E170</x:f>
        <x:v>9</x:v>
      </x:c>
      <x:c r="Q170" s="87" t="n">
        <x:f>P170*'01 Base Costs'!$B$12</x:f>
        <x:v>17496000</x:v>
      </x:c>
      <x:c r="R170" s="87" t="n">
        <x:f>0</x:f>
        <x:v>0</x:v>
      </x:c>
      <x:c r="S170" s="87" t="n">
        <x:f>Q170+R170</x:f>
        <x:v>17496000</x:v>
      </x:c>
      <x:c r="T170" s="141" t="n">
        <x:f>S170/'01 Base Costs'!$B$14</x:f>
        <x:v>34.992</x:v>
      </x:c>
      <x:c r="U170" s="87" t="n">
        <x:f>INT(T170)</x:f>
        <x:v>34</x:v>
      </x:c>
      <x:c r="V170" s="87" t="n">
        <x:f>S170-U170*'01 Base Costs'!$B$14</x:f>
        <x:v>496000</x:v>
      </x:c>
      <x:c r="W170" s="120" t="n">
        <x:f>'01 Base Costs'!$B$17/2</x:f>
        <x:v>70</x:v>
      </x:c>
      <x:c r="X170" s="120" t="n">
        <x:f>0</x:f>
        <x:v>0</x:v>
      </x:c>
      <x:c r="Y170" s="87" t="n">
        <x:f>T170*(W170*'01 Base Costs'!$B$7+X170)</x:f>
        <x:v>11781806400</x:v>
      </x:c>
      <x:c r="Z170" s="87" t="n">
        <x:f>T170*'01 Base Costs'!$B$8</x:f>
        <x:v>26345476799.999996</x:v>
      </x:c>
      <x:c r="AA170" s="87" t="n">
        <x:f>Z170*'01 Base Costs'!$B$11</x:f>
        <x:v>1317273840</x:v>
      </x:c>
      <x:c r="AB170" s="87" t="n">
        <x:f>Z170-AA170</x:f>
        <x:v>25028202959.999996</x:v>
      </x:c>
      <x:c r="AC170" s="87" t="n">
        <x:f>O170+Y170</x:f>
        <x:v>28751486400</x:v>
      </x:c>
      <x:c r="AD170" s="87" t="n">
        <x:f>AB170-AC170</x:f>
        <x:v>-3723283440.000004</x:v>
      </x:c>
      <x:c r="AE170" s="87" t="n">
        <x:f>AD170/D170</x:f>
        <x:v>-1241094480.0000012</x:v>
      </x:c>
      <x:c r="AF170" s="87" t="n">
        <x:f>AD170/P170</x:f>
        <x:v>-413698160.0000004</x:v>
      </x:c>
      <x:c r="AG170" s="87" t="n">
        <x:f>IF(T170=0,0,AC170/T170/(1-'01 Base Costs'!$B$11))</x:f>
        <x:v>864904050.2490796</x:v>
      </x:c>
      <x:c r="AH170" s="88" t="str">
        <x:f>IF(AD170&gt;0,"PROFIT","LOSS")</x:f>
        <x:v>LOSS</x:v>
      </x:c>
      <x:c r="AI170" s="89" t="str">
        <x:v>Base 3M Omega. MCT sale 20% off. Extractor 2-for-1 sale.</x:v>
      </x:c>
    </x:row>
    <x:row r="171">
      <x:c r="A171" s="86" t="n">
        <x:v>169</x:v>
      </x:c>
      <x:c r="B171" s="88" t="str">
        <x:v>Base</x:v>
      </x:c>
      <x:c r="C171" s="88" t="str">
        <x:v>3M Omega</x:v>
      </x:c>
      <x:c r="D171" s="88" t="n">
        <x:v>3</x:v>
      </x:c>
      <x:c r="E171" s="88" t="n">
        <x:v>3</x:v>
      </x:c>
      <x:c r="F171" s="88" t="str">
        <x:v>NES MCT 20% sale</x:v>
      </x:c>
      <x:c r="G171" s="88" t="str">
        <x:v>NES 10-pack extractor 20% sale</x:v>
      </x:c>
      <x:c r="H171" s="87" t="n">
        <x:f>'01 Base Costs'!$B$22</x:f>
        <x:v>1200</x:v>
      </x:c>
      <x:c r="I171" s="87" t="n">
        <x:f>'01 Base Costs'!$B$16*0.8</x:f>
        <x:v>388</x:v>
      </x:c>
      <x:c r="J171" s="87" t="n">
        <x:f>0</x:f>
        <x:v>0</x:v>
      </x:c>
      <x:c r="K171" s="87" t="n">
        <x:f>D171*(E171-1)*I171</x:f>
        <x:v>2328</x:v>
      </x:c>
      <x:c r="L171" s="87" t="n">
        <x:f>D171*(E171-1)*J171</x:f>
        <x:v>0</x:v>
      </x:c>
      <x:c r="M171" s="87" t="n">
        <x:f>0</x:f>
        <x:v>0</x:v>
      </x:c>
      <x:c r="N171" s="87" t="n">
        <x:f>H171+K171+M171</x:f>
        <x:v>3528</x:v>
      </x:c>
      <x:c r="O171" s="87" t="n">
        <x:f>N171*'01 Base Costs'!$B$7+L171</x:f>
        <x:v>16969680000</x:v>
      </x:c>
      <x:c r="P171" s="87" t="n">
        <x:f>D171*E171</x:f>
        <x:v>9</x:v>
      </x:c>
      <x:c r="Q171" s="87" t="n">
        <x:f>P171*'01 Base Costs'!$B$12</x:f>
        <x:v>17496000</x:v>
      </x:c>
      <x:c r="R171" s="87" t="n">
        <x:f>0</x:f>
        <x:v>0</x:v>
      </x:c>
      <x:c r="S171" s="87" t="n">
        <x:f>Q171+R171</x:f>
        <x:v>17496000</x:v>
      </x:c>
      <x:c r="T171" s="141" t="n">
        <x:f>S171/'01 Base Costs'!$B$14</x:f>
        <x:v>34.992</x:v>
      </x:c>
      <x:c r="U171" s="87" t="n">
        <x:f>INT(T171)</x:f>
        <x:v>34</x:v>
      </x:c>
      <x:c r="V171" s="87" t="n">
        <x:f>S171-U171*'01 Base Costs'!$B$14</x:f>
        <x:v>496000</x:v>
      </x:c>
      <x:c r="W171" s="120" t="n">
        <x:f>'01 Base Costs'!$B$19*0.8/10</x:f>
        <x:v>95.2</x:v>
      </x:c>
      <x:c r="X171" s="120" t="n">
        <x:f>0</x:f>
        <x:v>0</x:v>
      </x:c>
      <x:c r="Y171" s="87" t="n">
        <x:f>T171*(W171*'01 Base Costs'!$B$7+X171)</x:f>
        <x:v>16023256703.999998</x:v>
      </x:c>
      <x:c r="Z171" s="87" t="n">
        <x:f>T171*'01 Base Costs'!$B$8</x:f>
        <x:v>26345476799.999996</x:v>
      </x:c>
      <x:c r="AA171" s="87" t="n">
        <x:f>Z171*'01 Base Costs'!$B$11</x:f>
        <x:v>1317273840</x:v>
      </x:c>
      <x:c r="AB171" s="87" t="n">
        <x:f>Z171-AA171</x:f>
        <x:v>25028202959.999996</x:v>
      </x:c>
      <x:c r="AC171" s="87" t="n">
        <x:f>O171+Y171</x:f>
        <x:v>32992936704</x:v>
      </x:c>
      <x:c r="AD171" s="87" t="n">
        <x:f>AB171-AC171</x:f>
        <x:v>-7964733744.000004</x:v>
      </x:c>
      <x:c r="AE171" s="87" t="n">
        <x:f>AD171/D171</x:f>
        <x:v>-2654911248.0000014</x:v>
      </x:c>
      <x:c r="AF171" s="87" t="n">
        <x:f>AD171/P171</x:f>
        <x:v>-884970416.0000005</x:v>
      </x:c>
      <x:c r="AG171" s="87" t="n">
        <x:f>IF(T171=0,0,AC171/T171/(1-'01 Base Costs'!$B$11))</x:f>
        <x:v>992495629.196448</x:v>
      </x:c>
      <x:c r="AH171" s="88" t="str">
        <x:f>IF(AD171&gt;0,"PROFIT","LOSS")</x:f>
        <x:v>LOSS</x:v>
      </x:c>
      <x:c r="AI171" s="89" t="str">
        <x:v>Base 3M Omega. MCT sale 20% off. 10-pack at 20% off.</x:v>
      </x:c>
    </x:row>
    <x:row r="172">
      <x:c r="A172" s="86" t="n">
        <x:v>170</x:v>
      </x:c>
      <x:c r="B172" s="88" t="str">
        <x:v>Base</x:v>
      </x:c>
      <x:c r="C172" s="88" t="str">
        <x:v>3M Omega</x:v>
      </x:c>
      <x:c r="D172" s="88" t="n">
        <x:v>3</x:v>
      </x:c>
      <x:c r="E172" s="88" t="n">
        <x:v>3</x:v>
      </x:c>
      <x:c r="F172" s="88" t="str">
        <x:v>NES MCT 20% sale</x:v>
      </x:c>
      <x:c r="G172" s="88" t="str">
        <x:v>NES 50-pack extractor 20% sale</x:v>
      </x:c>
      <x:c r="H172" s="87" t="n">
        <x:f>'01 Base Costs'!$B$22</x:f>
        <x:v>1200</x:v>
      </x:c>
      <x:c r="I172" s="87" t="n">
        <x:f>'01 Base Costs'!$B$16*0.8</x:f>
        <x:v>388</x:v>
      </x:c>
      <x:c r="J172" s="87" t="n">
        <x:f>0</x:f>
        <x:v>0</x:v>
      </x:c>
      <x:c r="K172" s="87" t="n">
        <x:f>D172*(E172-1)*I172</x:f>
        <x:v>2328</x:v>
      </x:c>
      <x:c r="L172" s="87" t="n">
        <x:f>D172*(E172-1)*J172</x:f>
        <x:v>0</x:v>
      </x:c>
      <x:c r="M172" s="87" t="n">
        <x:f>0</x:f>
        <x:v>0</x:v>
      </x:c>
      <x:c r="N172" s="87" t="n">
        <x:f>H172+K172+M172</x:f>
        <x:v>3528</x:v>
      </x:c>
      <x:c r="O172" s="87" t="n">
        <x:f>N172*'01 Base Costs'!$B$7+L172</x:f>
        <x:v>16969680000</x:v>
      </x:c>
      <x:c r="P172" s="87" t="n">
        <x:f>D172*E172</x:f>
        <x:v>9</x:v>
      </x:c>
      <x:c r="Q172" s="87" t="n">
        <x:f>P172*'01 Base Costs'!$B$12</x:f>
        <x:v>17496000</x:v>
      </x:c>
      <x:c r="R172" s="87" t="n">
        <x:f>0</x:f>
        <x:v>0</x:v>
      </x:c>
      <x:c r="S172" s="87" t="n">
        <x:f>Q172+R172</x:f>
        <x:v>17496000</x:v>
      </x:c>
      <x:c r="T172" s="141" t="n">
        <x:f>S172/'01 Base Costs'!$B$14</x:f>
        <x:v>34.992</x:v>
      </x:c>
      <x:c r="U172" s="87" t="n">
        <x:f>INT(T172)</x:f>
        <x:v>34</x:v>
      </x:c>
      <x:c r="V172" s="87" t="n">
        <x:f>S172-U172*'01 Base Costs'!$B$14</x:f>
        <x:v>496000</x:v>
      </x:c>
      <x:c r="W172" s="120" t="n">
        <x:f>'01 Base Costs'!$B$20*0.8/50</x:f>
        <x:v>89.6</x:v>
      </x:c>
      <x:c r="X172" s="120" t="n">
        <x:f>0</x:f>
        <x:v>0</x:v>
      </x:c>
      <x:c r="Y172" s="87" t="n">
        <x:f>T172*(W172*'01 Base Costs'!$B$7+X172)</x:f>
        <x:v>15080712191.999998</x:v>
      </x:c>
      <x:c r="Z172" s="87" t="n">
        <x:f>T172*'01 Base Costs'!$B$8</x:f>
        <x:v>26345476799.999996</x:v>
      </x:c>
      <x:c r="AA172" s="87" t="n">
        <x:f>Z172*'01 Base Costs'!$B$11</x:f>
        <x:v>1317273840</x:v>
      </x:c>
      <x:c r="AB172" s="87" t="n">
        <x:f>Z172-AA172</x:f>
        <x:v>25028202959.999996</x:v>
      </x:c>
      <x:c r="AC172" s="87" t="n">
        <x:f>O172+Y172</x:f>
        <x:v>32050392192</x:v>
      </x:c>
      <x:c r="AD172" s="87" t="n">
        <x:f>AB172-AC172</x:f>
        <x:v>-7022189232.000004</x:v>
      </x:c>
      <x:c r="AE172" s="87" t="n">
        <x:f>AD172/D172</x:f>
        <x:v>-2340729744.0000014</x:v>
      </x:c>
      <x:c r="AF172" s="87" t="n">
        <x:f>AD172/P172</x:f>
        <x:v>-780243248.0000005</x:v>
      </x:c>
      <x:c r="AG172" s="87" t="n">
        <x:f>IF(T172=0,0,AC172/T172/(1-'01 Base Costs'!$B$11))</x:f>
        <x:v>964141944.9859216</x:v>
      </x:c>
      <x:c r="AH172" s="88" t="str">
        <x:f>IF(AD172&gt;0,"PROFIT","LOSS")</x:f>
        <x:v>LOSS</x:v>
      </x:c>
      <x:c r="AI172" s="89" t="str">
        <x:v>Base 3M Omega. MCT sale 20% off. 50-pack at 20% off.</x:v>
      </x:c>
    </x:row>
    <x:row r="173">
      <x:c r="A173" s="86" t="n">
        <x:v>171</x:v>
      </x:c>
      <x:c r="B173" s="88" t="str">
        <x:v>Base</x:v>
      </x:c>
      <x:c r="C173" s="88" t="str">
        <x:v>3M Omega</x:v>
      </x:c>
      <x:c r="D173" s="88" t="n">
        <x:v>3</x:v>
      </x:c>
      <x:c r="E173" s="88" t="n">
        <x:v>3</x:v>
      </x:c>
      <x:c r="F173" s="88" t="str">
        <x:v>NES MCT 20% sale</x:v>
      </x:c>
      <x:c r="G173" s="88" t="str">
        <x:v>Market Skill Extractor</x:v>
      </x:c>
      <x:c r="H173" s="87" t="n">
        <x:f>'01 Base Costs'!$B$22</x:f>
        <x:v>1200</x:v>
      </x:c>
      <x:c r="I173" s="87" t="n">
        <x:f>'01 Base Costs'!$B$16*0.8</x:f>
        <x:v>388</x:v>
      </x:c>
      <x:c r="J173" s="87" t="n">
        <x:f>0</x:f>
        <x:v>0</x:v>
      </x:c>
      <x:c r="K173" s="87" t="n">
        <x:f>D173*(E173-1)*I173</x:f>
        <x:v>2328</x:v>
      </x:c>
      <x:c r="L173" s="87" t="n">
        <x:f>D173*(E173-1)*J173</x:f>
        <x:v>0</x:v>
      </x:c>
      <x:c r="M173" s="87" t="n">
        <x:f>0</x:f>
        <x:v>0</x:v>
      </x:c>
      <x:c r="N173" s="87" t="n">
        <x:f>H173+K173+M173</x:f>
        <x:v>3528</x:v>
      </x:c>
      <x:c r="O173" s="87" t="n">
        <x:f>N173*'01 Base Costs'!$B$7+L173</x:f>
        <x:v>16969680000</x:v>
      </x:c>
      <x:c r="P173" s="87" t="n">
        <x:f>D173*E173</x:f>
        <x:v>9</x:v>
      </x:c>
      <x:c r="Q173" s="87" t="n">
        <x:f>P173*'01 Base Costs'!$B$12</x:f>
        <x:v>17496000</x:v>
      </x:c>
      <x:c r="R173" s="87" t="n">
        <x:f>0</x:f>
        <x:v>0</x:v>
      </x:c>
      <x:c r="S173" s="87" t="n">
        <x:f>Q173+R173</x:f>
        <x:v>17496000</x:v>
      </x:c>
      <x:c r="T173" s="141" t="n">
        <x:f>S173/'01 Base Costs'!$B$14</x:f>
        <x:v>34.992</x:v>
      </x:c>
      <x:c r="U173" s="87" t="n">
        <x:f>INT(T173)</x:f>
        <x:v>34</x:v>
      </x:c>
      <x:c r="V173" s="87" t="n">
        <x:f>S173-U173*'01 Base Costs'!$B$14</x:f>
        <x:v>496000</x:v>
      </x:c>
      <x:c r="W173" s="120" t="n">
        <x:f>0</x:f>
        <x:v>0</x:v>
      </x:c>
      <x:c r="X173" s="120" t="n">
        <x:f>'01 Base Costs'!$B$9</x:f>
        <x:v>463500000</x:v>
      </x:c>
      <x:c r="Y173" s="87" t="n">
        <x:f>T173*(W173*'01 Base Costs'!$B$7+X173)</x:f>
        <x:v>16218791999.999998</x:v>
      </x:c>
      <x:c r="Z173" s="87" t="n">
        <x:f>T173*'01 Base Costs'!$B$8</x:f>
        <x:v>26345476799.999996</x:v>
      </x:c>
      <x:c r="AA173" s="87" t="n">
        <x:f>Z173*'01 Base Costs'!$B$11</x:f>
        <x:v>1317273840</x:v>
      </x:c>
      <x:c r="AB173" s="87" t="n">
        <x:f>Z173-AA173</x:f>
        <x:v>25028202959.999996</x:v>
      </x:c>
      <x:c r="AC173" s="87" t="n">
        <x:f>O173+Y173</x:f>
        <x:v>33188472000</x:v>
      </x:c>
      <x:c r="AD173" s="87" t="n">
        <x:f>AB173-AC173</x:f>
        <x:v>-8160269040.000004</x:v>
      </x:c>
      <x:c r="AE173" s="87" t="n">
        <x:f>AD173/D173</x:f>
        <x:v>-2720089680.0000014</x:v>
      </x:c>
      <x:c r="AF173" s="87" t="n">
        <x:f>AD173/P173</x:f>
        <x:v>-906696560.0000005</x:v>
      </x:c>
      <x:c r="AG173" s="87" t="n">
        <x:f>IF(T173=0,0,AC173/T173/(1-'01 Base Costs'!$B$11))</x:f>
        <x:v>998377734.4596059</x:v>
      </x:c>
      <x:c r="AH173" s="88" t="str">
        <x:f>IF(AD173&gt;0,"PROFIT","LOSS")</x:f>
        <x:v>LOSS</x:v>
      </x:c>
      <x:c r="AI173" s="89" t="str">
        <x:v>Base 3M Omega. MCT sale 20% off. Extractor bought on market with ISK.</x:v>
      </x:c>
    </x:row>
    <x:row r="174">
      <x:c r="A174" s="86" t="n">
        <x:v>172</x:v>
      </x:c>
      <x:c r="B174" s="88" t="str">
        <x:v>Base</x:v>
      </x:c>
      <x:c r="C174" s="88" t="str">
        <x:v>3M Omega</x:v>
      </x:c>
      <x:c r="D174" s="88" t="n">
        <x:v>3</x:v>
      </x:c>
      <x:c r="E174" s="88" t="n">
        <x:v>3</x:v>
      </x:c>
      <x:c r="F174" s="88" t="str">
        <x:v>NES MCT 30% sale</x:v>
      </x:c>
      <x:c r="G174" s="88" t="str">
        <x:v>NES single extractor</x:v>
      </x:c>
      <x:c r="H174" s="87" t="n">
        <x:f>'01 Base Costs'!$B$22</x:f>
        <x:v>1200</x:v>
      </x:c>
      <x:c r="I174" s="87" t="n">
        <x:f>'01 Base Costs'!$B$16*0.7</x:f>
        <x:v>339.5</x:v>
      </x:c>
      <x:c r="J174" s="87" t="n">
        <x:f>0</x:f>
        <x:v>0</x:v>
      </x:c>
      <x:c r="K174" s="87" t="n">
        <x:f>D174*(E174-1)*I174</x:f>
        <x:v>2037</x:v>
      </x:c>
      <x:c r="L174" s="87" t="n">
        <x:f>D174*(E174-1)*J174</x:f>
        <x:v>0</x:v>
      </x:c>
      <x:c r="M174" s="87" t="n">
        <x:f>0</x:f>
        <x:v>0</x:v>
      </x:c>
      <x:c r="N174" s="87" t="n">
        <x:f>H174+K174+M174</x:f>
        <x:v>3237</x:v>
      </x:c>
      <x:c r="O174" s="87" t="n">
        <x:f>N174*'01 Base Costs'!$B$7+L174</x:f>
        <x:v>15569970000</x:v>
      </x:c>
      <x:c r="P174" s="87" t="n">
        <x:f>D174*E174</x:f>
        <x:v>9</x:v>
      </x:c>
      <x:c r="Q174" s="87" t="n">
        <x:f>P174*'01 Base Costs'!$B$12</x:f>
        <x:v>17496000</x:v>
      </x:c>
      <x:c r="R174" s="87" t="n">
        <x:f>0</x:f>
        <x:v>0</x:v>
      </x:c>
      <x:c r="S174" s="87" t="n">
        <x:f>Q174+R174</x:f>
        <x:v>17496000</x:v>
      </x:c>
      <x:c r="T174" s="141" t="n">
        <x:f>S174/'01 Base Costs'!$B$14</x:f>
        <x:v>34.992</x:v>
      </x:c>
      <x:c r="U174" s="87" t="n">
        <x:f>INT(T174)</x:f>
        <x:v>34</x:v>
      </x:c>
      <x:c r="V174" s="87" t="n">
        <x:f>S174-U174*'01 Base Costs'!$B$14</x:f>
        <x:v>496000</x:v>
      </x:c>
      <x:c r="W174" s="120" t="n">
        <x:f>'01 Base Costs'!$B$17</x:f>
        <x:v>140</x:v>
      </x:c>
      <x:c r="X174" s="120" t="n">
        <x:f>0</x:f>
        <x:v>0</x:v>
      </x:c>
      <x:c r="Y174" s="87" t="n">
        <x:f>T174*(W174*'01 Base Costs'!$B$7+X174)</x:f>
        <x:v>23563612800</x:v>
      </x:c>
      <x:c r="Z174" s="87" t="n">
        <x:f>T174*'01 Base Costs'!$B$8</x:f>
        <x:v>26345476799.999996</x:v>
      </x:c>
      <x:c r="AA174" s="87" t="n">
        <x:f>Z174*'01 Base Costs'!$B$11</x:f>
        <x:v>1317273840</x:v>
      </x:c>
      <x:c r="AB174" s="87" t="n">
        <x:f>Z174-AA174</x:f>
        <x:v>25028202959.999996</x:v>
      </x:c>
      <x:c r="AC174" s="87" t="n">
        <x:f>O174+Y174</x:f>
        <x:v>39133582800</x:v>
      </x:c>
      <x:c r="AD174" s="87" t="n">
        <x:f>AB174-AC174</x:f>
        <x:v>-14105379840.000004</x:v>
      </x:c>
      <x:c r="AE174" s="87" t="n">
        <x:f>AD174/D174</x:f>
        <x:v>-4701793280.000001</x:v>
      </x:c>
      <x:c r="AF174" s="87" t="n">
        <x:f>AD174/P174</x:f>
        <x:v>-1567264426.666667</x:v>
      </x:c>
      <x:c r="AG174" s="87" t="n">
        <x:f>IF(T174=0,0,AC174/T174/(1-'01 Base Costs'!$B$11))</x:f>
        <x:v>1177218937.2608476</x:v>
      </x:c>
      <x:c r="AH174" s="88" t="str">
        <x:f>IF(AD174&gt;0,"PROFIT","LOSS")</x:f>
        <x:v>LOSS</x:v>
      </x:c>
      <x:c r="AI174" s="89" t="str">
        <x:v>Base 3M Omega. MCT sale 30% off. Base single extractor.</x:v>
      </x:c>
    </x:row>
    <x:row r="175">
      <x:c r="A175" s="86" t="n">
        <x:v>173</x:v>
      </x:c>
      <x:c r="B175" s="88" t="str">
        <x:v>Base</x:v>
      </x:c>
      <x:c r="C175" s="88" t="str">
        <x:v>3M Omega</x:v>
      </x:c>
      <x:c r="D175" s="88" t="n">
        <x:v>3</x:v>
      </x:c>
      <x:c r="E175" s="88" t="n">
        <x:v>3</x:v>
      </x:c>
      <x:c r="F175" s="88" t="str">
        <x:v>NES MCT 30% sale</x:v>
      </x:c>
      <x:c r="G175" s="88" t="str">
        <x:v>NES 5-pack extractor</x:v>
      </x:c>
      <x:c r="H175" s="87" t="n">
        <x:f>'01 Base Costs'!$B$22</x:f>
        <x:v>1200</x:v>
      </x:c>
      <x:c r="I175" s="87" t="n">
        <x:f>'01 Base Costs'!$B$16*0.7</x:f>
        <x:v>339.5</x:v>
      </x:c>
      <x:c r="J175" s="87" t="n">
        <x:f>0</x:f>
        <x:v>0</x:v>
      </x:c>
      <x:c r="K175" s="87" t="n">
        <x:f>D175*(E175-1)*I175</x:f>
        <x:v>2037</x:v>
      </x:c>
      <x:c r="L175" s="87" t="n">
        <x:f>D175*(E175-1)*J175</x:f>
        <x:v>0</x:v>
      </x:c>
      <x:c r="M175" s="87" t="n">
        <x:f>0</x:f>
        <x:v>0</x:v>
      </x:c>
      <x:c r="N175" s="87" t="n">
        <x:f>H175+K175+M175</x:f>
        <x:v>3237</x:v>
      </x:c>
      <x:c r="O175" s="87" t="n">
        <x:f>N175*'01 Base Costs'!$B$7+L175</x:f>
        <x:v>15569970000</x:v>
      </x:c>
      <x:c r="P175" s="87" t="n">
        <x:f>D175*E175</x:f>
        <x:v>9</x:v>
      </x:c>
      <x:c r="Q175" s="87" t="n">
        <x:f>P175*'01 Base Costs'!$B$12</x:f>
        <x:v>17496000</x:v>
      </x:c>
      <x:c r="R175" s="87" t="n">
        <x:f>0</x:f>
        <x:v>0</x:v>
      </x:c>
      <x:c r="S175" s="87" t="n">
        <x:f>Q175+R175</x:f>
        <x:v>17496000</x:v>
      </x:c>
      <x:c r="T175" s="141" t="n">
        <x:f>S175/'01 Base Costs'!$B$14</x:f>
        <x:v>34.992</x:v>
      </x:c>
      <x:c r="U175" s="87" t="n">
        <x:f>INT(T175)</x:f>
        <x:v>34</x:v>
      </x:c>
      <x:c r="V175" s="87" t="n">
        <x:f>S175-U175*'01 Base Costs'!$B$14</x:f>
        <x:v>496000</x:v>
      </x:c>
      <x:c r="W175" s="120" t="n">
        <x:f>'01 Base Costs'!$B$18/5</x:f>
        <x:v>126</x:v>
      </x:c>
      <x:c r="X175" s="120" t="n">
        <x:f>0</x:f>
        <x:v>0</x:v>
      </x:c>
      <x:c r="Y175" s="87" t="n">
        <x:f>T175*(W175*'01 Base Costs'!$B$7+X175)</x:f>
        <x:v>21207251520</x:v>
      </x:c>
      <x:c r="Z175" s="87" t="n">
        <x:f>T175*'01 Base Costs'!$B$8</x:f>
        <x:v>26345476799.999996</x:v>
      </x:c>
      <x:c r="AA175" s="87" t="n">
        <x:f>Z175*'01 Base Costs'!$B$11</x:f>
        <x:v>1317273840</x:v>
      </x:c>
      <x:c r="AB175" s="87" t="n">
        <x:f>Z175-AA175</x:f>
        <x:v>25028202959.999996</x:v>
      </x:c>
      <x:c r="AC175" s="87" t="n">
        <x:f>O175+Y175</x:f>
        <x:v>36777221520</x:v>
      </x:c>
      <x:c r="AD175" s="87" t="n">
        <x:f>AB175-AC175</x:f>
        <x:v>-11749018560.000004</x:v>
      </x:c>
      <x:c r="AE175" s="87" t="n">
        <x:f>AD175/D175</x:f>
        <x:v>-3916339520.0000014</x:v>
      </x:c>
      <x:c r="AF175" s="87" t="n">
        <x:f>AD175/P175</x:f>
        <x:v>-1305446506.666667</x:v>
      </x:c>
      <x:c r="AG175" s="87" t="n">
        <x:f>IF(T175=0,0,AC175/T175/(1-'01 Base Costs'!$B$11))</x:f>
        <x:v>1106334726.7345319</x:v>
      </x:c>
      <x:c r="AH175" s="88" t="str">
        <x:f>IF(AD175&gt;0,"PROFIT","LOSS")</x:f>
        <x:v>LOSS</x:v>
      </x:c>
      <x:c r="AI175" s="89" t="str">
        <x:v>Base 3M Omega. MCT sale 30% off. Base 5-pack average.</x:v>
      </x:c>
    </x:row>
    <x:row r="176">
      <x:c r="A176" s="86" t="n">
        <x:v>174</x:v>
      </x:c>
      <x:c r="B176" s="88" t="str">
        <x:v>Base</x:v>
      </x:c>
      <x:c r="C176" s="88" t="str">
        <x:v>3M Omega</x:v>
      </x:c>
      <x:c r="D176" s="88" t="n">
        <x:v>3</x:v>
      </x:c>
      <x:c r="E176" s="88" t="n">
        <x:v>3</x:v>
      </x:c>
      <x:c r="F176" s="88" t="str">
        <x:v>NES MCT 30% sale</x:v>
      </x:c>
      <x:c r="G176" s="88" t="str">
        <x:v>NES 10-pack extractor</x:v>
      </x:c>
      <x:c r="H176" s="87" t="n">
        <x:f>'01 Base Costs'!$B$22</x:f>
        <x:v>1200</x:v>
      </x:c>
      <x:c r="I176" s="87" t="n">
        <x:f>'01 Base Costs'!$B$16*0.7</x:f>
        <x:v>339.5</x:v>
      </x:c>
      <x:c r="J176" s="87" t="n">
        <x:f>0</x:f>
        <x:v>0</x:v>
      </x:c>
      <x:c r="K176" s="87" t="n">
        <x:f>D176*(E176-1)*I176</x:f>
        <x:v>2037</x:v>
      </x:c>
      <x:c r="L176" s="87" t="n">
        <x:f>D176*(E176-1)*J176</x:f>
        <x:v>0</x:v>
      </x:c>
      <x:c r="M176" s="87" t="n">
        <x:f>0</x:f>
        <x:v>0</x:v>
      </x:c>
      <x:c r="N176" s="87" t="n">
        <x:f>H176+K176+M176</x:f>
        <x:v>3237</x:v>
      </x:c>
      <x:c r="O176" s="87" t="n">
        <x:f>N176*'01 Base Costs'!$B$7+L176</x:f>
        <x:v>15569970000</x:v>
      </x:c>
      <x:c r="P176" s="87" t="n">
        <x:f>D176*E176</x:f>
        <x:v>9</x:v>
      </x:c>
      <x:c r="Q176" s="87" t="n">
        <x:f>P176*'01 Base Costs'!$B$12</x:f>
        <x:v>17496000</x:v>
      </x:c>
      <x:c r="R176" s="87" t="n">
        <x:f>0</x:f>
        <x:v>0</x:v>
      </x:c>
      <x:c r="S176" s="87" t="n">
        <x:f>Q176+R176</x:f>
        <x:v>17496000</x:v>
      </x:c>
      <x:c r="T176" s="141" t="n">
        <x:f>S176/'01 Base Costs'!$B$14</x:f>
        <x:v>34.992</x:v>
      </x:c>
      <x:c r="U176" s="87" t="n">
        <x:f>INT(T176)</x:f>
        <x:v>34</x:v>
      </x:c>
      <x:c r="V176" s="87" t="n">
        <x:f>S176-U176*'01 Base Costs'!$B$14</x:f>
        <x:v>496000</x:v>
      </x:c>
      <x:c r="W176" s="120" t="n">
        <x:f>'01 Base Costs'!$B$19/10</x:f>
        <x:v>119</x:v>
      </x:c>
      <x:c r="X176" s="120" t="n">
        <x:f>0</x:f>
        <x:v>0</x:v>
      </x:c>
      <x:c r="Y176" s="87" t="n">
        <x:f>T176*(W176*'01 Base Costs'!$B$7+X176)</x:f>
        <x:v>20029070880</x:v>
      </x:c>
      <x:c r="Z176" s="87" t="n">
        <x:f>T176*'01 Base Costs'!$B$8</x:f>
        <x:v>26345476799.999996</x:v>
      </x:c>
      <x:c r="AA176" s="87" t="n">
        <x:f>Z176*'01 Base Costs'!$B$11</x:f>
        <x:v>1317273840</x:v>
      </x:c>
      <x:c r="AB176" s="87" t="n">
        <x:f>Z176-AA176</x:f>
        <x:v>25028202959.999996</x:v>
      </x:c>
      <x:c r="AC176" s="87" t="n">
        <x:f>O176+Y176</x:f>
        <x:v>35599040880</x:v>
      </x:c>
      <x:c r="AD176" s="87" t="n">
        <x:f>AB176-AC176</x:f>
        <x:v>-10570837920.000004</x:v>
      </x:c>
      <x:c r="AE176" s="87" t="n">
        <x:f>AD176/D176</x:f>
        <x:v>-3523612640.0000014</x:v>
      </x:c>
      <x:c r="AF176" s="87" t="n">
        <x:f>AD176/P176</x:f>
        <x:v>-1174537546.666667</x:v>
      </x:c>
      <x:c r="AG176" s="87" t="n">
        <x:f>IF(T176=0,0,AC176/T176/(1-'01 Base Costs'!$B$11))</x:f>
        <x:v>1070892621.471374</x:v>
      </x:c>
      <x:c r="AH176" s="88" t="str">
        <x:f>IF(AD176&gt;0,"PROFIT","LOSS")</x:f>
        <x:v>LOSS</x:v>
      </x:c>
      <x:c r="AI176" s="89" t="str">
        <x:v>Base 3M Omega. MCT sale 30% off. Base 10-pack average.</x:v>
      </x:c>
    </x:row>
    <x:row r="177">
      <x:c r="A177" s="86" t="n">
        <x:v>175</x:v>
      </x:c>
      <x:c r="B177" s="88" t="str">
        <x:v>Base</x:v>
      </x:c>
      <x:c r="C177" s="88" t="str">
        <x:v>3M Omega</x:v>
      </x:c>
      <x:c r="D177" s="88" t="n">
        <x:v>3</x:v>
      </x:c>
      <x:c r="E177" s="88" t="n">
        <x:v>3</x:v>
      </x:c>
      <x:c r="F177" s="88" t="str">
        <x:v>NES MCT 30% sale</x:v>
      </x:c>
      <x:c r="G177" s="88" t="str">
        <x:v>NES 50-pack extractor</x:v>
      </x:c>
      <x:c r="H177" s="87" t="n">
        <x:f>'01 Base Costs'!$B$22</x:f>
        <x:v>1200</x:v>
      </x:c>
      <x:c r="I177" s="87" t="n">
        <x:f>'01 Base Costs'!$B$16*0.7</x:f>
        <x:v>339.5</x:v>
      </x:c>
      <x:c r="J177" s="87" t="n">
        <x:f>0</x:f>
        <x:v>0</x:v>
      </x:c>
      <x:c r="K177" s="87" t="n">
        <x:f>D177*(E177-1)*I177</x:f>
        <x:v>2037</x:v>
      </x:c>
      <x:c r="L177" s="87" t="n">
        <x:f>D177*(E177-1)*J177</x:f>
        <x:v>0</x:v>
      </x:c>
      <x:c r="M177" s="87" t="n">
        <x:f>0</x:f>
        <x:v>0</x:v>
      </x:c>
      <x:c r="N177" s="87" t="n">
        <x:f>H177+K177+M177</x:f>
        <x:v>3237</x:v>
      </x:c>
      <x:c r="O177" s="87" t="n">
        <x:f>N177*'01 Base Costs'!$B$7+L177</x:f>
        <x:v>15569970000</x:v>
      </x:c>
      <x:c r="P177" s="87" t="n">
        <x:f>D177*E177</x:f>
        <x:v>9</x:v>
      </x:c>
      <x:c r="Q177" s="87" t="n">
        <x:f>P177*'01 Base Costs'!$B$12</x:f>
        <x:v>17496000</x:v>
      </x:c>
      <x:c r="R177" s="87" t="n">
        <x:f>0</x:f>
        <x:v>0</x:v>
      </x:c>
      <x:c r="S177" s="87" t="n">
        <x:f>Q177+R177</x:f>
        <x:v>17496000</x:v>
      </x:c>
      <x:c r="T177" s="141" t="n">
        <x:f>S177/'01 Base Costs'!$B$14</x:f>
        <x:v>34.992</x:v>
      </x:c>
      <x:c r="U177" s="87" t="n">
        <x:f>INT(T177)</x:f>
        <x:v>34</x:v>
      </x:c>
      <x:c r="V177" s="87" t="n">
        <x:f>S177-U177*'01 Base Costs'!$B$14</x:f>
        <x:v>496000</x:v>
      </x:c>
      <x:c r="W177" s="120" t="n">
        <x:f>'01 Base Costs'!$B$20/50</x:f>
        <x:v>112</x:v>
      </x:c>
      <x:c r="X177" s="120" t="n">
        <x:f>0</x:f>
        <x:v>0</x:v>
      </x:c>
      <x:c r="Y177" s="87" t="n">
        <x:f>T177*(W177*'01 Base Costs'!$B$7+X177)</x:f>
        <x:v>18850890240</x:v>
      </x:c>
      <x:c r="Z177" s="87" t="n">
        <x:f>T177*'01 Base Costs'!$B$8</x:f>
        <x:v>26345476799.999996</x:v>
      </x:c>
      <x:c r="AA177" s="87" t="n">
        <x:f>Z177*'01 Base Costs'!$B$11</x:f>
        <x:v>1317273840</x:v>
      </x:c>
      <x:c r="AB177" s="87" t="n">
        <x:f>Z177-AA177</x:f>
        <x:v>25028202959.999996</x:v>
      </x:c>
      <x:c r="AC177" s="87" t="n">
        <x:f>O177+Y177</x:f>
        <x:v>34420860240</x:v>
      </x:c>
      <x:c r="AD177" s="87" t="n">
        <x:f>AB177-AC177</x:f>
        <x:v>-9392657280.000004</x:v>
      </x:c>
      <x:c r="AE177" s="87" t="n">
        <x:f>AD177/D177</x:f>
        <x:v>-3130885760.0000014</x:v>
      </x:c>
      <x:c r="AF177" s="87" t="n">
        <x:f>AD177/P177</x:f>
        <x:v>-1043628586.6666671</x:v>
      </x:c>
      <x:c r="AG177" s="87" t="n">
        <x:f>IF(T177=0,0,AC177/T177/(1-'01 Base Costs'!$B$11))</x:f>
        <x:v>1035450516.2082162</x:v>
      </x:c>
      <x:c r="AH177" s="88" t="str">
        <x:f>IF(AD177&gt;0,"PROFIT","LOSS")</x:f>
        <x:v>LOSS</x:v>
      </x:c>
      <x:c r="AI177" s="89" t="str">
        <x:v>Base 3M Omega. MCT sale 30% off. Base 50-pack average.</x:v>
      </x:c>
    </x:row>
    <x:row r="178">
      <x:c r="A178" s="86" t="n">
        <x:v>176</x:v>
      </x:c>
      <x:c r="B178" s="88" t="str">
        <x:v>Base</x:v>
      </x:c>
      <x:c r="C178" s="88" t="str">
        <x:v>3M Omega</x:v>
      </x:c>
      <x:c r="D178" s="88" t="n">
        <x:v>3</x:v>
      </x:c>
      <x:c r="E178" s="88" t="n">
        <x:v>3</x:v>
      </x:c>
      <x:c r="F178" s="88" t="str">
        <x:v>NES MCT 30% sale</x:v>
      </x:c>
      <x:c r="G178" s="88" t="str">
        <x:v>NES 3-for-2 extractor sale</x:v>
      </x:c>
      <x:c r="H178" s="87" t="n">
        <x:f>'01 Base Costs'!$B$22</x:f>
        <x:v>1200</x:v>
      </x:c>
      <x:c r="I178" s="87" t="n">
        <x:f>'01 Base Costs'!$B$16*0.7</x:f>
        <x:v>339.5</x:v>
      </x:c>
      <x:c r="J178" s="87" t="n">
        <x:f>0</x:f>
        <x:v>0</x:v>
      </x:c>
      <x:c r="K178" s="87" t="n">
        <x:f>D178*(E178-1)*I178</x:f>
        <x:v>2037</x:v>
      </x:c>
      <x:c r="L178" s="87" t="n">
        <x:f>D178*(E178-1)*J178</x:f>
        <x:v>0</x:v>
      </x:c>
      <x:c r="M178" s="87" t="n">
        <x:f>0</x:f>
        <x:v>0</x:v>
      </x:c>
      <x:c r="N178" s="87" t="n">
        <x:f>H178+K178+M178</x:f>
        <x:v>3237</x:v>
      </x:c>
      <x:c r="O178" s="87" t="n">
        <x:f>N178*'01 Base Costs'!$B$7+L178</x:f>
        <x:v>15569970000</x:v>
      </x:c>
      <x:c r="P178" s="87" t="n">
        <x:f>D178*E178</x:f>
        <x:v>9</x:v>
      </x:c>
      <x:c r="Q178" s="87" t="n">
        <x:f>P178*'01 Base Costs'!$B$12</x:f>
        <x:v>17496000</x:v>
      </x:c>
      <x:c r="R178" s="87" t="n">
        <x:f>0</x:f>
        <x:v>0</x:v>
      </x:c>
      <x:c r="S178" s="87" t="n">
        <x:f>Q178+R178</x:f>
        <x:v>17496000</x:v>
      </x:c>
      <x:c r="T178" s="141" t="n">
        <x:f>S178/'01 Base Costs'!$B$14</x:f>
        <x:v>34.992</x:v>
      </x:c>
      <x:c r="U178" s="87" t="n">
        <x:f>INT(T178)</x:f>
        <x:v>34</x:v>
      </x:c>
      <x:c r="V178" s="87" t="n">
        <x:f>S178-U178*'01 Base Costs'!$B$14</x:f>
        <x:v>496000</x:v>
      </x:c>
      <x:c r="W178" s="120" t="n">
        <x:f>'01 Base Costs'!$B$17*2/3</x:f>
        <x:v>93.33333333333333</x:v>
      </x:c>
      <x:c r="X178" s="120" t="n">
        <x:f>0</x:f>
        <x:v>0</x:v>
      </x:c>
      <x:c r="Y178" s="87" t="n">
        <x:f>T178*(W178*'01 Base Costs'!$B$7+X178)</x:f>
        <x:v>15709075199.999998</x:v>
      </x:c>
      <x:c r="Z178" s="87" t="n">
        <x:f>T178*'01 Base Costs'!$B$8</x:f>
        <x:v>26345476799.999996</x:v>
      </x:c>
      <x:c r="AA178" s="87" t="n">
        <x:f>Z178*'01 Base Costs'!$B$11</x:f>
        <x:v>1317273840</x:v>
      </x:c>
      <x:c r="AB178" s="87" t="n">
        <x:f>Z178-AA178</x:f>
        <x:v>25028202959.999996</x:v>
      </x:c>
      <x:c r="AC178" s="87" t="n">
        <x:f>O178+Y178</x:f>
        <x:v>31279045200</x:v>
      </x:c>
      <x:c r="AD178" s="87" t="n">
        <x:f>AB178-AC178</x:f>
        <x:v>-6250842240.000004</x:v>
      </x:c>
      <x:c r="AE178" s="87" t="n">
        <x:f>AD178/D178</x:f>
        <x:v>-2083614080.0000012</x:v>
      </x:c>
      <x:c r="AF178" s="87" t="n">
        <x:f>AD178/P178</x:f>
        <x:v>-694538026.6666671</x:v>
      </x:c>
      <x:c r="AG178" s="87" t="n">
        <x:f>IF(T178=0,0,AC178/T178/(1-'01 Base Costs'!$B$11))</x:f>
        <x:v>940938235.5064617</x:v>
      </x:c>
      <x:c r="AH178" s="88" t="str">
        <x:f>IF(AD178&gt;0,"PROFIT","LOSS")</x:f>
        <x:v>LOSS</x:v>
      </x:c>
      <x:c r="AI178" s="89" t="str">
        <x:v>Base 3M Omega. MCT sale 30% off. Extractor 3-for-2 sale.</x:v>
      </x:c>
    </x:row>
    <x:row r="179">
      <x:c r="A179" s="86" t="n">
        <x:v>177</x:v>
      </x:c>
      <x:c r="B179" s="88" t="str">
        <x:v>Base</x:v>
      </x:c>
      <x:c r="C179" s="88" t="str">
        <x:v>3M Omega</x:v>
      </x:c>
      <x:c r="D179" s="88" t="n">
        <x:v>3</x:v>
      </x:c>
      <x:c r="E179" s="88" t="n">
        <x:v>3</x:v>
      </x:c>
      <x:c r="F179" s="88" t="str">
        <x:v>NES MCT 30% sale</x:v>
      </x:c>
      <x:c r="G179" s="88" t="str">
        <x:v>NES 2-for-1 extractor sale</x:v>
      </x:c>
      <x:c r="H179" s="87" t="n">
        <x:f>'01 Base Costs'!$B$22</x:f>
        <x:v>1200</x:v>
      </x:c>
      <x:c r="I179" s="87" t="n">
        <x:f>'01 Base Costs'!$B$16*0.7</x:f>
        <x:v>339.5</x:v>
      </x:c>
      <x:c r="J179" s="87" t="n">
        <x:f>0</x:f>
        <x:v>0</x:v>
      </x:c>
      <x:c r="K179" s="87" t="n">
        <x:f>D179*(E179-1)*I179</x:f>
        <x:v>2037</x:v>
      </x:c>
      <x:c r="L179" s="87" t="n">
        <x:f>D179*(E179-1)*J179</x:f>
        <x:v>0</x:v>
      </x:c>
      <x:c r="M179" s="87" t="n">
        <x:f>0</x:f>
        <x:v>0</x:v>
      </x:c>
      <x:c r="N179" s="87" t="n">
        <x:f>H179+K179+M179</x:f>
        <x:v>3237</x:v>
      </x:c>
      <x:c r="O179" s="87" t="n">
        <x:f>N179*'01 Base Costs'!$B$7+L179</x:f>
        <x:v>15569970000</x:v>
      </x:c>
      <x:c r="P179" s="87" t="n">
        <x:f>D179*E179</x:f>
        <x:v>9</x:v>
      </x:c>
      <x:c r="Q179" s="87" t="n">
        <x:f>P179*'01 Base Costs'!$B$12</x:f>
        <x:v>17496000</x:v>
      </x:c>
      <x:c r="R179" s="87" t="n">
        <x:f>0</x:f>
        <x:v>0</x:v>
      </x:c>
      <x:c r="S179" s="87" t="n">
        <x:f>Q179+R179</x:f>
        <x:v>17496000</x:v>
      </x:c>
      <x:c r="T179" s="141" t="n">
        <x:f>S179/'01 Base Costs'!$B$14</x:f>
        <x:v>34.992</x:v>
      </x:c>
      <x:c r="U179" s="87" t="n">
        <x:f>INT(T179)</x:f>
        <x:v>34</x:v>
      </x:c>
      <x:c r="V179" s="87" t="n">
        <x:f>S179-U179*'01 Base Costs'!$B$14</x:f>
        <x:v>496000</x:v>
      </x:c>
      <x:c r="W179" s="120" t="n">
        <x:f>'01 Base Costs'!$B$17/2</x:f>
        <x:v>70</x:v>
      </x:c>
      <x:c r="X179" s="120" t="n">
        <x:f>0</x:f>
        <x:v>0</x:v>
      </x:c>
      <x:c r="Y179" s="87" t="n">
        <x:f>T179*(W179*'01 Base Costs'!$B$7+X179)</x:f>
        <x:v>11781806400</x:v>
      </x:c>
      <x:c r="Z179" s="87" t="n">
        <x:f>T179*'01 Base Costs'!$B$8</x:f>
        <x:v>26345476799.999996</x:v>
      </x:c>
      <x:c r="AA179" s="87" t="n">
        <x:f>Z179*'01 Base Costs'!$B$11</x:f>
        <x:v>1317273840</x:v>
      </x:c>
      <x:c r="AB179" s="87" t="n">
        <x:f>Z179-AA179</x:f>
        <x:v>25028202959.999996</x:v>
      </x:c>
      <x:c r="AC179" s="87" t="n">
        <x:f>O179+Y179</x:f>
        <x:v>27351776400</x:v>
      </x:c>
      <x:c r="AD179" s="87" t="n">
        <x:f>AB179-AC179</x:f>
        <x:v>-2323573440.000004</x:v>
      </x:c>
      <x:c r="AE179" s="87" t="n">
        <x:f>AD179/D179</x:f>
        <x:v>-774524480.0000013</x:v>
      </x:c>
      <x:c r="AF179" s="87" t="n">
        <x:f>AD179/P179</x:f>
        <x:v>-258174826.6666671</x:v>
      </x:c>
      <x:c r="AG179" s="87" t="n">
        <x:f>IF(T179=0,0,AC179/T179/(1-'01 Base Costs'!$B$11))</x:f>
        <x:v>822797884.6292686</x:v>
      </x:c>
      <x:c r="AH179" s="88" t="str">
        <x:f>IF(AD179&gt;0,"PROFIT","LOSS")</x:f>
        <x:v>LOSS</x:v>
      </x:c>
      <x:c r="AI179" s="89" t="str">
        <x:v>Base 3M Omega. MCT sale 30% off. Extractor 2-for-1 sale.</x:v>
      </x:c>
    </x:row>
    <x:row r="180">
      <x:c r="A180" s="86" t="n">
        <x:v>178</x:v>
      </x:c>
      <x:c r="B180" s="88" t="str">
        <x:v>Base</x:v>
      </x:c>
      <x:c r="C180" s="88" t="str">
        <x:v>3M Omega</x:v>
      </x:c>
      <x:c r="D180" s="88" t="n">
        <x:v>3</x:v>
      </x:c>
      <x:c r="E180" s="88" t="n">
        <x:v>3</x:v>
      </x:c>
      <x:c r="F180" s="88" t="str">
        <x:v>NES MCT 30% sale</x:v>
      </x:c>
      <x:c r="G180" s="88" t="str">
        <x:v>NES 10-pack extractor 20% sale</x:v>
      </x:c>
      <x:c r="H180" s="87" t="n">
        <x:f>'01 Base Costs'!$B$22</x:f>
        <x:v>1200</x:v>
      </x:c>
      <x:c r="I180" s="87" t="n">
        <x:f>'01 Base Costs'!$B$16*0.7</x:f>
        <x:v>339.5</x:v>
      </x:c>
      <x:c r="J180" s="87" t="n">
        <x:f>0</x:f>
        <x:v>0</x:v>
      </x:c>
      <x:c r="K180" s="87" t="n">
        <x:f>D180*(E180-1)*I180</x:f>
        <x:v>2037</x:v>
      </x:c>
      <x:c r="L180" s="87" t="n">
        <x:f>D180*(E180-1)*J180</x:f>
        <x:v>0</x:v>
      </x:c>
      <x:c r="M180" s="87" t="n">
        <x:f>0</x:f>
        <x:v>0</x:v>
      </x:c>
      <x:c r="N180" s="87" t="n">
        <x:f>H180+K180+M180</x:f>
        <x:v>3237</x:v>
      </x:c>
      <x:c r="O180" s="87" t="n">
        <x:f>N180*'01 Base Costs'!$B$7+L180</x:f>
        <x:v>15569970000</x:v>
      </x:c>
      <x:c r="P180" s="87" t="n">
        <x:f>D180*E180</x:f>
        <x:v>9</x:v>
      </x:c>
      <x:c r="Q180" s="87" t="n">
        <x:f>P180*'01 Base Costs'!$B$12</x:f>
        <x:v>17496000</x:v>
      </x:c>
      <x:c r="R180" s="87" t="n">
        <x:f>0</x:f>
        <x:v>0</x:v>
      </x:c>
      <x:c r="S180" s="87" t="n">
        <x:f>Q180+R180</x:f>
        <x:v>17496000</x:v>
      </x:c>
      <x:c r="T180" s="141" t="n">
        <x:f>S180/'01 Base Costs'!$B$14</x:f>
        <x:v>34.992</x:v>
      </x:c>
      <x:c r="U180" s="87" t="n">
        <x:f>INT(T180)</x:f>
        <x:v>34</x:v>
      </x:c>
      <x:c r="V180" s="87" t="n">
        <x:f>S180-U180*'01 Base Costs'!$B$14</x:f>
        <x:v>496000</x:v>
      </x:c>
      <x:c r="W180" s="120" t="n">
        <x:f>'01 Base Costs'!$B$19*0.8/10</x:f>
        <x:v>95.2</x:v>
      </x:c>
      <x:c r="X180" s="120" t="n">
        <x:f>0</x:f>
        <x:v>0</x:v>
      </x:c>
      <x:c r="Y180" s="87" t="n">
        <x:f>T180*(W180*'01 Base Costs'!$B$7+X180)</x:f>
        <x:v>16023256703.999998</x:v>
      </x:c>
      <x:c r="Z180" s="87" t="n">
        <x:f>T180*'01 Base Costs'!$B$8</x:f>
        <x:v>26345476799.999996</x:v>
      </x:c>
      <x:c r="AA180" s="87" t="n">
        <x:f>Z180*'01 Base Costs'!$B$11</x:f>
        <x:v>1317273840</x:v>
      </x:c>
      <x:c r="AB180" s="87" t="n">
        <x:f>Z180-AA180</x:f>
        <x:v>25028202959.999996</x:v>
      </x:c>
      <x:c r="AC180" s="87" t="n">
        <x:f>O180+Y180</x:f>
        <x:v>31593226704</x:v>
      </x:c>
      <x:c r="AD180" s="87" t="n">
        <x:f>AB180-AC180</x:f>
        <x:v>-6565023744.000004</x:v>
      </x:c>
      <x:c r="AE180" s="87" t="n">
        <x:f>AD180/D180</x:f>
        <x:v>-2188341248.0000014</x:v>
      </x:c>
      <x:c r="AF180" s="87" t="n">
        <x:f>AD180/P180</x:f>
        <x:v>-729447082.6666671</x:v>
      </x:c>
      <x:c r="AG180" s="87" t="n">
        <x:f>IF(T180=0,0,AC180/T180/(1-'01 Base Costs'!$B$11))</x:f>
        <x:v>950389463.5766373</x:v>
      </x:c>
      <x:c r="AH180" s="88" t="str">
        <x:f>IF(AD180&gt;0,"PROFIT","LOSS")</x:f>
        <x:v>LOSS</x:v>
      </x:c>
      <x:c r="AI180" s="89" t="str">
        <x:v>Base 3M Omega. MCT sale 30% off. 10-pack at 20% off.</x:v>
      </x:c>
    </x:row>
    <x:row r="181">
      <x:c r="A181" s="86" t="n">
        <x:v>179</x:v>
      </x:c>
      <x:c r="B181" s="88" t="str">
        <x:v>Base</x:v>
      </x:c>
      <x:c r="C181" s="88" t="str">
        <x:v>3M Omega</x:v>
      </x:c>
      <x:c r="D181" s="88" t="n">
        <x:v>3</x:v>
      </x:c>
      <x:c r="E181" s="88" t="n">
        <x:v>3</x:v>
      </x:c>
      <x:c r="F181" s="88" t="str">
        <x:v>NES MCT 30% sale</x:v>
      </x:c>
      <x:c r="G181" s="88" t="str">
        <x:v>NES 50-pack extractor 20% sale</x:v>
      </x:c>
      <x:c r="H181" s="87" t="n">
        <x:f>'01 Base Costs'!$B$22</x:f>
        <x:v>1200</x:v>
      </x:c>
      <x:c r="I181" s="87" t="n">
        <x:f>'01 Base Costs'!$B$16*0.7</x:f>
        <x:v>339.5</x:v>
      </x:c>
      <x:c r="J181" s="87" t="n">
        <x:f>0</x:f>
        <x:v>0</x:v>
      </x:c>
      <x:c r="K181" s="87" t="n">
        <x:f>D181*(E181-1)*I181</x:f>
        <x:v>2037</x:v>
      </x:c>
      <x:c r="L181" s="87" t="n">
        <x:f>D181*(E181-1)*J181</x:f>
        <x:v>0</x:v>
      </x:c>
      <x:c r="M181" s="87" t="n">
        <x:f>0</x:f>
        <x:v>0</x:v>
      </x:c>
      <x:c r="N181" s="87" t="n">
        <x:f>H181+K181+M181</x:f>
        <x:v>3237</x:v>
      </x:c>
      <x:c r="O181" s="87" t="n">
        <x:f>N181*'01 Base Costs'!$B$7+L181</x:f>
        <x:v>15569970000</x:v>
      </x:c>
      <x:c r="P181" s="87" t="n">
        <x:f>D181*E181</x:f>
        <x:v>9</x:v>
      </x:c>
      <x:c r="Q181" s="87" t="n">
        <x:f>P181*'01 Base Costs'!$B$12</x:f>
        <x:v>17496000</x:v>
      </x:c>
      <x:c r="R181" s="87" t="n">
        <x:f>0</x:f>
        <x:v>0</x:v>
      </x:c>
      <x:c r="S181" s="87" t="n">
        <x:f>Q181+R181</x:f>
        <x:v>17496000</x:v>
      </x:c>
      <x:c r="T181" s="141" t="n">
        <x:f>S181/'01 Base Costs'!$B$14</x:f>
        <x:v>34.992</x:v>
      </x:c>
      <x:c r="U181" s="87" t="n">
        <x:f>INT(T181)</x:f>
        <x:v>34</x:v>
      </x:c>
      <x:c r="V181" s="87" t="n">
        <x:f>S181-U181*'01 Base Costs'!$B$14</x:f>
        <x:v>496000</x:v>
      </x:c>
      <x:c r="W181" s="120" t="n">
        <x:f>'01 Base Costs'!$B$20*0.8/50</x:f>
        <x:v>89.6</x:v>
      </x:c>
      <x:c r="X181" s="120" t="n">
        <x:f>0</x:f>
        <x:v>0</x:v>
      </x:c>
      <x:c r="Y181" s="87" t="n">
        <x:f>T181*(W181*'01 Base Costs'!$B$7+X181)</x:f>
        <x:v>15080712191.999998</x:v>
      </x:c>
      <x:c r="Z181" s="87" t="n">
        <x:f>T181*'01 Base Costs'!$B$8</x:f>
        <x:v>26345476799.999996</x:v>
      </x:c>
      <x:c r="AA181" s="87" t="n">
        <x:f>Z181*'01 Base Costs'!$B$11</x:f>
        <x:v>1317273840</x:v>
      </x:c>
      <x:c r="AB181" s="87" t="n">
        <x:f>Z181-AA181</x:f>
        <x:v>25028202959.999996</x:v>
      </x:c>
      <x:c r="AC181" s="87" t="n">
        <x:f>O181+Y181</x:f>
        <x:v>30650682192</x:v>
      </x:c>
      <x:c r="AD181" s="87" t="n">
        <x:f>AB181-AC181</x:f>
        <x:v>-5622479232.000004</x:v>
      </x:c>
      <x:c r="AE181" s="87" t="n">
        <x:f>AD181/D181</x:f>
        <x:v>-1874159744.0000012</x:v>
      </x:c>
      <x:c r="AF181" s="87" t="n">
        <x:f>AD181/P181</x:f>
        <x:v>-624719914.6666671</x:v>
      </x:c>
      <x:c r="AG181" s="87" t="n">
        <x:f>IF(T181=0,0,AC181/T181/(1-'01 Base Costs'!$B$11))</x:f>
        <x:v>922035779.3661109</x:v>
      </x:c>
      <x:c r="AH181" s="88" t="str">
        <x:f>IF(AD181&gt;0,"PROFIT","LOSS")</x:f>
        <x:v>LOSS</x:v>
      </x:c>
      <x:c r="AI181" s="89" t="str">
        <x:v>Base 3M Omega. MCT sale 30% off. 50-pack at 20% off.</x:v>
      </x:c>
    </x:row>
    <x:row r="182">
      <x:c r="A182" s="86" t="n">
        <x:v>180</x:v>
      </x:c>
      <x:c r="B182" s="88" t="str">
        <x:v>Base</x:v>
      </x:c>
      <x:c r="C182" s="88" t="str">
        <x:v>3M Omega</x:v>
      </x:c>
      <x:c r="D182" s="88" t="n">
        <x:v>3</x:v>
      </x:c>
      <x:c r="E182" s="88" t="n">
        <x:v>3</x:v>
      </x:c>
      <x:c r="F182" s="88" t="str">
        <x:v>NES MCT 30% sale</x:v>
      </x:c>
      <x:c r="G182" s="88" t="str">
        <x:v>Market Skill Extractor</x:v>
      </x:c>
      <x:c r="H182" s="87" t="n">
        <x:f>'01 Base Costs'!$B$22</x:f>
        <x:v>1200</x:v>
      </x:c>
      <x:c r="I182" s="87" t="n">
        <x:f>'01 Base Costs'!$B$16*0.7</x:f>
        <x:v>339.5</x:v>
      </x:c>
      <x:c r="J182" s="87" t="n">
        <x:f>0</x:f>
        <x:v>0</x:v>
      </x:c>
      <x:c r="K182" s="87" t="n">
        <x:f>D182*(E182-1)*I182</x:f>
        <x:v>2037</x:v>
      </x:c>
      <x:c r="L182" s="87" t="n">
        <x:f>D182*(E182-1)*J182</x:f>
        <x:v>0</x:v>
      </x:c>
      <x:c r="M182" s="87" t="n">
        <x:f>0</x:f>
        <x:v>0</x:v>
      </x:c>
      <x:c r="N182" s="87" t="n">
        <x:f>H182+K182+M182</x:f>
        <x:v>3237</x:v>
      </x:c>
      <x:c r="O182" s="87" t="n">
        <x:f>N182*'01 Base Costs'!$B$7+L182</x:f>
        <x:v>15569970000</x:v>
      </x:c>
      <x:c r="P182" s="87" t="n">
        <x:f>D182*E182</x:f>
        <x:v>9</x:v>
      </x:c>
      <x:c r="Q182" s="87" t="n">
        <x:f>P182*'01 Base Costs'!$B$12</x:f>
        <x:v>17496000</x:v>
      </x:c>
      <x:c r="R182" s="87" t="n">
        <x:f>0</x:f>
        <x:v>0</x:v>
      </x:c>
      <x:c r="S182" s="87" t="n">
        <x:f>Q182+R182</x:f>
        <x:v>17496000</x:v>
      </x:c>
      <x:c r="T182" s="141" t="n">
        <x:f>S182/'01 Base Costs'!$B$14</x:f>
        <x:v>34.992</x:v>
      </x:c>
      <x:c r="U182" s="87" t="n">
        <x:f>INT(T182)</x:f>
        <x:v>34</x:v>
      </x:c>
      <x:c r="V182" s="87" t="n">
        <x:f>S182-U182*'01 Base Costs'!$B$14</x:f>
        <x:v>496000</x:v>
      </x:c>
      <x:c r="W182" s="120" t="n">
        <x:f>0</x:f>
        <x:v>0</x:v>
      </x:c>
      <x:c r="X182" s="120" t="n">
        <x:f>'01 Base Costs'!$B$9</x:f>
        <x:v>463500000</x:v>
      </x:c>
      <x:c r="Y182" s="87" t="n">
        <x:f>T182*(W182*'01 Base Costs'!$B$7+X182)</x:f>
        <x:v>16218791999.999998</x:v>
      </x:c>
      <x:c r="Z182" s="87" t="n">
        <x:f>T182*'01 Base Costs'!$B$8</x:f>
        <x:v>26345476799.999996</x:v>
      </x:c>
      <x:c r="AA182" s="87" t="n">
        <x:f>Z182*'01 Base Costs'!$B$11</x:f>
        <x:v>1317273840</x:v>
      </x:c>
      <x:c r="AB182" s="87" t="n">
        <x:f>Z182-AA182</x:f>
        <x:v>25028202959.999996</x:v>
      </x:c>
      <x:c r="AC182" s="87" t="n">
        <x:f>O182+Y182</x:f>
        <x:v>31788762000</x:v>
      </x:c>
      <x:c r="AD182" s="87" t="n">
        <x:f>AB182-AC182</x:f>
        <x:v>-6760559040.000004</x:v>
      </x:c>
      <x:c r="AE182" s="87" t="n">
        <x:f>AD182/D182</x:f>
        <x:v>-2253519680.0000014</x:v>
      </x:c>
      <x:c r="AF182" s="87" t="n">
        <x:f>AD182/P182</x:f>
        <x:v>-751173226.6666671</x:v>
      </x:c>
      <x:c r="AG182" s="87" t="n">
        <x:f>IF(T182=0,0,AC182/T182/(1-'01 Base Costs'!$B$11))</x:f>
        <x:v>956271568.8397951</x:v>
      </x:c>
      <x:c r="AH182" s="88" t="str">
        <x:f>IF(AD182&gt;0,"PROFIT","LOSS")</x:f>
        <x:v>LOSS</x:v>
      </x:c>
      <x:c r="AI182" s="89" t="str">
        <x:v>Base 3M Omega. MCT sale 30% off. Extractor bought on market with ISK.</x:v>
      </x:c>
    </x:row>
    <x:row r="183">
      <x:c r="A183" s="86" t="n">
        <x:v>181</x:v>
      </x:c>
      <x:c r="B183" s="88" t="str">
        <x:v>Base</x:v>
      </x:c>
      <x:c r="C183" s="88" t="str">
        <x:v>3M Omega</x:v>
      </x:c>
      <x:c r="D183" s="88" t="n">
        <x:v>3</x:v>
      </x:c>
      <x:c r="E183" s="88" t="n">
        <x:v>3</x:v>
      </x:c>
      <x:c r="F183" s="88" t="str">
        <x:v>NES MCT 40% sale</x:v>
      </x:c>
      <x:c r="G183" s="88" t="str">
        <x:v>NES single extractor</x:v>
      </x:c>
      <x:c r="H183" s="87" t="n">
        <x:f>'01 Base Costs'!$B$22</x:f>
        <x:v>1200</x:v>
      </x:c>
      <x:c r="I183" s="87" t="n">
        <x:f>'01 Base Costs'!$B$16*0.6</x:f>
        <x:v>291</x:v>
      </x:c>
      <x:c r="J183" s="87" t="n">
        <x:f>0</x:f>
        <x:v>0</x:v>
      </x:c>
      <x:c r="K183" s="87" t="n">
        <x:f>D183*(E183-1)*I183</x:f>
        <x:v>1746</x:v>
      </x:c>
      <x:c r="L183" s="87" t="n">
        <x:f>D183*(E183-1)*J183</x:f>
        <x:v>0</x:v>
      </x:c>
      <x:c r="M183" s="87" t="n">
        <x:f>0</x:f>
        <x:v>0</x:v>
      </x:c>
      <x:c r="N183" s="87" t="n">
        <x:f>H183+K183+M183</x:f>
        <x:v>2946</x:v>
      </x:c>
      <x:c r="O183" s="87" t="n">
        <x:f>N183*'01 Base Costs'!$B$7+L183</x:f>
        <x:v>14170260000</x:v>
      </x:c>
      <x:c r="P183" s="87" t="n">
        <x:f>D183*E183</x:f>
        <x:v>9</x:v>
      </x:c>
      <x:c r="Q183" s="87" t="n">
        <x:f>P183*'01 Base Costs'!$B$12</x:f>
        <x:v>17496000</x:v>
      </x:c>
      <x:c r="R183" s="87" t="n">
        <x:f>0</x:f>
        <x:v>0</x:v>
      </x:c>
      <x:c r="S183" s="87" t="n">
        <x:f>Q183+R183</x:f>
        <x:v>17496000</x:v>
      </x:c>
      <x:c r="T183" s="141" t="n">
        <x:f>S183/'01 Base Costs'!$B$14</x:f>
        <x:v>34.992</x:v>
      </x:c>
      <x:c r="U183" s="87" t="n">
        <x:f>INT(T183)</x:f>
        <x:v>34</x:v>
      </x:c>
      <x:c r="V183" s="87" t="n">
        <x:f>S183-U183*'01 Base Costs'!$B$14</x:f>
        <x:v>496000</x:v>
      </x:c>
      <x:c r="W183" s="120" t="n">
        <x:f>'01 Base Costs'!$B$17</x:f>
        <x:v>140</x:v>
      </x:c>
      <x:c r="X183" s="120" t="n">
        <x:f>0</x:f>
        <x:v>0</x:v>
      </x:c>
      <x:c r="Y183" s="87" t="n">
        <x:f>T183*(W183*'01 Base Costs'!$B$7+X183)</x:f>
        <x:v>23563612800</x:v>
      </x:c>
      <x:c r="Z183" s="87" t="n">
        <x:f>T183*'01 Base Costs'!$B$8</x:f>
        <x:v>26345476799.999996</x:v>
      </x:c>
      <x:c r="AA183" s="87" t="n">
        <x:f>Z183*'01 Base Costs'!$B$11</x:f>
        <x:v>1317273840</x:v>
      </x:c>
      <x:c r="AB183" s="87" t="n">
        <x:f>Z183-AA183</x:f>
        <x:v>25028202959.999996</x:v>
      </x:c>
      <x:c r="AC183" s="87" t="n">
        <x:f>O183+Y183</x:f>
        <x:v>37733872800</x:v>
      </x:c>
      <x:c r="AD183" s="87" t="n">
        <x:f>AB183-AC183</x:f>
        <x:v>-12705669840.000004</x:v>
      </x:c>
      <x:c r="AE183" s="87" t="n">
        <x:f>AD183/D183</x:f>
        <x:v>-4235223280.0000014</x:v>
      </x:c>
      <x:c r="AF183" s="87" t="n">
        <x:f>AD183/P183</x:f>
        <x:v>-1411741093.3333337</x:v>
      </x:c>
      <x:c r="AG183" s="87" t="n">
        <x:f>IF(T183=0,0,AC183/T183/(1-'01 Base Costs'!$B$11))</x:f>
        <x:v>1135112771.641037</x:v>
      </x:c>
      <x:c r="AH183" s="88" t="str">
        <x:f>IF(AD183&gt;0,"PROFIT","LOSS")</x:f>
        <x:v>LOSS</x:v>
      </x:c>
      <x:c r="AI183" s="89" t="str">
        <x:v>Base 3M Omega. MCT sale 40% off. Base single extractor.</x:v>
      </x:c>
    </x:row>
    <x:row r="184">
      <x:c r="A184" s="86" t="n">
        <x:v>182</x:v>
      </x:c>
      <x:c r="B184" s="88" t="str">
        <x:v>Base</x:v>
      </x:c>
      <x:c r="C184" s="88" t="str">
        <x:v>3M Omega</x:v>
      </x:c>
      <x:c r="D184" s="88" t="n">
        <x:v>3</x:v>
      </x:c>
      <x:c r="E184" s="88" t="n">
        <x:v>3</x:v>
      </x:c>
      <x:c r="F184" s="88" t="str">
        <x:v>NES MCT 40% sale</x:v>
      </x:c>
      <x:c r="G184" s="88" t="str">
        <x:v>NES 5-pack extractor</x:v>
      </x:c>
      <x:c r="H184" s="87" t="n">
        <x:f>'01 Base Costs'!$B$22</x:f>
        <x:v>1200</x:v>
      </x:c>
      <x:c r="I184" s="87" t="n">
        <x:f>'01 Base Costs'!$B$16*0.6</x:f>
        <x:v>291</x:v>
      </x:c>
      <x:c r="J184" s="87" t="n">
        <x:f>0</x:f>
        <x:v>0</x:v>
      </x:c>
      <x:c r="K184" s="87" t="n">
        <x:f>D184*(E184-1)*I184</x:f>
        <x:v>1746</x:v>
      </x:c>
      <x:c r="L184" s="87" t="n">
        <x:f>D184*(E184-1)*J184</x:f>
        <x:v>0</x:v>
      </x:c>
      <x:c r="M184" s="87" t="n">
        <x:f>0</x:f>
        <x:v>0</x:v>
      </x:c>
      <x:c r="N184" s="87" t="n">
        <x:f>H184+K184+M184</x:f>
        <x:v>2946</x:v>
      </x:c>
      <x:c r="O184" s="87" t="n">
        <x:f>N184*'01 Base Costs'!$B$7+L184</x:f>
        <x:v>14170260000</x:v>
      </x:c>
      <x:c r="P184" s="87" t="n">
        <x:f>D184*E184</x:f>
        <x:v>9</x:v>
      </x:c>
      <x:c r="Q184" s="87" t="n">
        <x:f>P184*'01 Base Costs'!$B$12</x:f>
        <x:v>17496000</x:v>
      </x:c>
      <x:c r="R184" s="87" t="n">
        <x:f>0</x:f>
        <x:v>0</x:v>
      </x:c>
      <x:c r="S184" s="87" t="n">
        <x:f>Q184+R184</x:f>
        <x:v>17496000</x:v>
      </x:c>
      <x:c r="T184" s="141" t="n">
        <x:f>S184/'01 Base Costs'!$B$14</x:f>
        <x:v>34.992</x:v>
      </x:c>
      <x:c r="U184" s="87" t="n">
        <x:f>INT(T184)</x:f>
        <x:v>34</x:v>
      </x:c>
      <x:c r="V184" s="87" t="n">
        <x:f>S184-U184*'01 Base Costs'!$B$14</x:f>
        <x:v>496000</x:v>
      </x:c>
      <x:c r="W184" s="120" t="n">
        <x:f>'01 Base Costs'!$B$18/5</x:f>
        <x:v>126</x:v>
      </x:c>
      <x:c r="X184" s="120" t="n">
        <x:f>0</x:f>
        <x:v>0</x:v>
      </x:c>
      <x:c r="Y184" s="87" t="n">
        <x:f>T184*(W184*'01 Base Costs'!$B$7+X184)</x:f>
        <x:v>21207251520</x:v>
      </x:c>
      <x:c r="Z184" s="87" t="n">
        <x:f>T184*'01 Base Costs'!$B$8</x:f>
        <x:v>26345476799.999996</x:v>
      </x:c>
      <x:c r="AA184" s="87" t="n">
        <x:f>Z184*'01 Base Costs'!$B$11</x:f>
        <x:v>1317273840</x:v>
      </x:c>
      <x:c r="AB184" s="87" t="n">
        <x:f>Z184-AA184</x:f>
        <x:v>25028202959.999996</x:v>
      </x:c>
      <x:c r="AC184" s="87" t="n">
        <x:f>O184+Y184</x:f>
        <x:v>35377511520</x:v>
      </x:c>
      <x:c r="AD184" s="87" t="n">
        <x:f>AB184-AC184</x:f>
        <x:v>-10349308560.000004</x:v>
      </x:c>
      <x:c r="AE184" s="87" t="n">
        <x:f>AD184/D184</x:f>
        <x:v>-3449769520.0000014</x:v>
      </x:c>
      <x:c r="AF184" s="87" t="n">
        <x:f>AD184/P184</x:f>
        <x:v>-1149923173.3333337</x:v>
      </x:c>
      <x:c r="AG184" s="87" t="n">
        <x:f>IF(T184=0,0,AC184/T184/(1-'01 Base Costs'!$B$11))</x:f>
        <x:v>1064228561.1147211</x:v>
      </x:c>
      <x:c r="AH184" s="88" t="str">
        <x:f>IF(AD184&gt;0,"PROFIT","LOSS")</x:f>
        <x:v>LOSS</x:v>
      </x:c>
      <x:c r="AI184" s="89" t="str">
        <x:v>Base 3M Omega. MCT sale 40% off. Base 5-pack average.</x:v>
      </x:c>
    </x:row>
    <x:row r="185">
      <x:c r="A185" s="86" t="n">
        <x:v>183</x:v>
      </x:c>
      <x:c r="B185" s="88" t="str">
        <x:v>Base</x:v>
      </x:c>
      <x:c r="C185" s="88" t="str">
        <x:v>3M Omega</x:v>
      </x:c>
      <x:c r="D185" s="88" t="n">
        <x:v>3</x:v>
      </x:c>
      <x:c r="E185" s="88" t="n">
        <x:v>3</x:v>
      </x:c>
      <x:c r="F185" s="88" t="str">
        <x:v>NES MCT 40% sale</x:v>
      </x:c>
      <x:c r="G185" s="88" t="str">
        <x:v>NES 10-pack extractor</x:v>
      </x:c>
      <x:c r="H185" s="87" t="n">
        <x:f>'01 Base Costs'!$B$22</x:f>
        <x:v>1200</x:v>
      </x:c>
      <x:c r="I185" s="87" t="n">
        <x:f>'01 Base Costs'!$B$16*0.6</x:f>
        <x:v>291</x:v>
      </x:c>
      <x:c r="J185" s="87" t="n">
        <x:f>0</x:f>
        <x:v>0</x:v>
      </x:c>
      <x:c r="K185" s="87" t="n">
        <x:f>D185*(E185-1)*I185</x:f>
        <x:v>1746</x:v>
      </x:c>
      <x:c r="L185" s="87" t="n">
        <x:f>D185*(E185-1)*J185</x:f>
        <x:v>0</x:v>
      </x:c>
      <x:c r="M185" s="87" t="n">
        <x:f>0</x:f>
        <x:v>0</x:v>
      </x:c>
      <x:c r="N185" s="87" t="n">
        <x:f>H185+K185+M185</x:f>
        <x:v>2946</x:v>
      </x:c>
      <x:c r="O185" s="87" t="n">
        <x:f>N185*'01 Base Costs'!$B$7+L185</x:f>
        <x:v>14170260000</x:v>
      </x:c>
      <x:c r="P185" s="87" t="n">
        <x:f>D185*E185</x:f>
        <x:v>9</x:v>
      </x:c>
      <x:c r="Q185" s="87" t="n">
        <x:f>P185*'01 Base Costs'!$B$12</x:f>
        <x:v>17496000</x:v>
      </x:c>
      <x:c r="R185" s="87" t="n">
        <x:f>0</x:f>
        <x:v>0</x:v>
      </x:c>
      <x:c r="S185" s="87" t="n">
        <x:f>Q185+R185</x:f>
        <x:v>17496000</x:v>
      </x:c>
      <x:c r="T185" s="141" t="n">
        <x:f>S185/'01 Base Costs'!$B$14</x:f>
        <x:v>34.992</x:v>
      </x:c>
      <x:c r="U185" s="87" t="n">
        <x:f>INT(T185)</x:f>
        <x:v>34</x:v>
      </x:c>
      <x:c r="V185" s="87" t="n">
        <x:f>S185-U185*'01 Base Costs'!$B$14</x:f>
        <x:v>496000</x:v>
      </x:c>
      <x:c r="W185" s="120" t="n">
        <x:f>'01 Base Costs'!$B$19/10</x:f>
        <x:v>119</x:v>
      </x:c>
      <x:c r="X185" s="120" t="n">
        <x:f>0</x:f>
        <x:v>0</x:v>
      </x:c>
      <x:c r="Y185" s="87" t="n">
        <x:f>T185*(W185*'01 Base Costs'!$B$7+X185)</x:f>
        <x:v>20029070880</x:v>
      </x:c>
      <x:c r="Z185" s="87" t="n">
        <x:f>T185*'01 Base Costs'!$B$8</x:f>
        <x:v>26345476799.999996</x:v>
      </x:c>
      <x:c r="AA185" s="87" t="n">
        <x:f>Z185*'01 Base Costs'!$B$11</x:f>
        <x:v>1317273840</x:v>
      </x:c>
      <x:c r="AB185" s="87" t="n">
        <x:f>Z185-AA185</x:f>
        <x:v>25028202959.999996</x:v>
      </x:c>
      <x:c r="AC185" s="87" t="n">
        <x:f>O185+Y185</x:f>
        <x:v>34199330880</x:v>
      </x:c>
      <x:c r="AD185" s="87" t="n">
        <x:f>AB185-AC185</x:f>
        <x:v>-9171127920.000004</x:v>
      </x:c>
      <x:c r="AE185" s="87" t="n">
        <x:f>AD185/D185</x:f>
        <x:v>-3057042640.0000014</x:v>
      </x:c>
      <x:c r="AF185" s="87" t="n">
        <x:f>AD185/P185</x:f>
        <x:v>-1019014213.3333337</x:v>
      </x:c>
      <x:c r="AG185" s="87" t="n">
        <x:f>IF(T185=0,0,AC185/T185/(1-'01 Base Costs'!$B$11))</x:f>
        <x:v>1028786455.8515632</x:v>
      </x:c>
      <x:c r="AH185" s="88" t="str">
        <x:f>IF(AD185&gt;0,"PROFIT","LOSS")</x:f>
        <x:v>LOSS</x:v>
      </x:c>
      <x:c r="AI185" s="89" t="str">
        <x:v>Base 3M Omega. MCT sale 40% off. Base 10-pack average.</x:v>
      </x:c>
    </x:row>
    <x:row r="186">
      <x:c r="A186" s="86" t="n">
        <x:v>184</x:v>
      </x:c>
      <x:c r="B186" s="88" t="str">
        <x:v>Base</x:v>
      </x:c>
      <x:c r="C186" s="88" t="str">
        <x:v>3M Omega</x:v>
      </x:c>
      <x:c r="D186" s="88" t="n">
        <x:v>3</x:v>
      </x:c>
      <x:c r="E186" s="88" t="n">
        <x:v>3</x:v>
      </x:c>
      <x:c r="F186" s="88" t="str">
        <x:v>NES MCT 40% sale</x:v>
      </x:c>
      <x:c r="G186" s="88" t="str">
        <x:v>NES 50-pack extractor</x:v>
      </x:c>
      <x:c r="H186" s="87" t="n">
        <x:f>'01 Base Costs'!$B$22</x:f>
        <x:v>1200</x:v>
      </x:c>
      <x:c r="I186" s="87" t="n">
        <x:f>'01 Base Costs'!$B$16*0.6</x:f>
        <x:v>291</x:v>
      </x:c>
      <x:c r="J186" s="87" t="n">
        <x:f>0</x:f>
        <x:v>0</x:v>
      </x:c>
      <x:c r="K186" s="87" t="n">
        <x:f>D186*(E186-1)*I186</x:f>
        <x:v>1746</x:v>
      </x:c>
      <x:c r="L186" s="87" t="n">
        <x:f>D186*(E186-1)*J186</x:f>
        <x:v>0</x:v>
      </x:c>
      <x:c r="M186" s="87" t="n">
        <x:f>0</x:f>
        <x:v>0</x:v>
      </x:c>
      <x:c r="N186" s="87" t="n">
        <x:f>H186+K186+M186</x:f>
        <x:v>2946</x:v>
      </x:c>
      <x:c r="O186" s="87" t="n">
        <x:f>N186*'01 Base Costs'!$B$7+L186</x:f>
        <x:v>14170260000</x:v>
      </x:c>
      <x:c r="P186" s="87" t="n">
        <x:f>D186*E186</x:f>
        <x:v>9</x:v>
      </x:c>
      <x:c r="Q186" s="87" t="n">
        <x:f>P186*'01 Base Costs'!$B$12</x:f>
        <x:v>17496000</x:v>
      </x:c>
      <x:c r="R186" s="87" t="n">
        <x:f>0</x:f>
        <x:v>0</x:v>
      </x:c>
      <x:c r="S186" s="87" t="n">
        <x:f>Q186+R186</x:f>
        <x:v>17496000</x:v>
      </x:c>
      <x:c r="T186" s="141" t="n">
        <x:f>S186/'01 Base Costs'!$B$14</x:f>
        <x:v>34.992</x:v>
      </x:c>
      <x:c r="U186" s="87" t="n">
        <x:f>INT(T186)</x:f>
        <x:v>34</x:v>
      </x:c>
      <x:c r="V186" s="87" t="n">
        <x:f>S186-U186*'01 Base Costs'!$B$14</x:f>
        <x:v>496000</x:v>
      </x:c>
      <x:c r="W186" s="120" t="n">
        <x:f>'01 Base Costs'!$B$20/50</x:f>
        <x:v>112</x:v>
      </x:c>
      <x:c r="X186" s="120" t="n">
        <x:f>0</x:f>
        <x:v>0</x:v>
      </x:c>
      <x:c r="Y186" s="87" t="n">
        <x:f>T186*(W186*'01 Base Costs'!$B$7+X186)</x:f>
        <x:v>18850890240</x:v>
      </x:c>
      <x:c r="Z186" s="87" t="n">
        <x:f>T186*'01 Base Costs'!$B$8</x:f>
        <x:v>26345476799.999996</x:v>
      </x:c>
      <x:c r="AA186" s="87" t="n">
        <x:f>Z186*'01 Base Costs'!$B$11</x:f>
        <x:v>1317273840</x:v>
      </x:c>
      <x:c r="AB186" s="87" t="n">
        <x:f>Z186-AA186</x:f>
        <x:v>25028202959.999996</x:v>
      </x:c>
      <x:c r="AC186" s="87" t="n">
        <x:f>O186+Y186</x:f>
        <x:v>33021150240</x:v>
      </x:c>
      <x:c r="AD186" s="87" t="n">
        <x:f>AB186-AC186</x:f>
        <x:v>-7992947280.000004</x:v>
      </x:c>
      <x:c r="AE186" s="87" t="n">
        <x:f>AD186/D186</x:f>
        <x:v>-2664315760.0000014</x:v>
      </x:c>
      <x:c r="AF186" s="87" t="n">
        <x:f>AD186/P186</x:f>
        <x:v>-888105253.3333337</x:v>
      </x:c>
      <x:c r="AG186" s="87" t="n">
        <x:f>IF(T186=0,0,AC186/T186/(1-'01 Base Costs'!$B$11))</x:f>
        <x:v>993344350.5884053</x:v>
      </x:c>
      <x:c r="AH186" s="88" t="str">
        <x:f>IF(AD186&gt;0,"PROFIT","LOSS")</x:f>
        <x:v>LOSS</x:v>
      </x:c>
      <x:c r="AI186" s="89" t="str">
        <x:v>Base 3M Omega. MCT sale 40% off. Base 50-pack average.</x:v>
      </x:c>
    </x:row>
    <x:row r="187">
      <x:c r="A187" s="86" t="n">
        <x:v>185</x:v>
      </x:c>
      <x:c r="B187" s="88" t="str">
        <x:v>Base</x:v>
      </x:c>
      <x:c r="C187" s="88" t="str">
        <x:v>3M Omega</x:v>
      </x:c>
      <x:c r="D187" s="88" t="n">
        <x:v>3</x:v>
      </x:c>
      <x:c r="E187" s="88" t="n">
        <x:v>3</x:v>
      </x:c>
      <x:c r="F187" s="88" t="str">
        <x:v>NES MCT 40% sale</x:v>
      </x:c>
      <x:c r="G187" s="88" t="str">
        <x:v>NES 3-for-2 extractor sale</x:v>
      </x:c>
      <x:c r="H187" s="87" t="n">
        <x:f>'01 Base Costs'!$B$22</x:f>
        <x:v>1200</x:v>
      </x:c>
      <x:c r="I187" s="87" t="n">
        <x:f>'01 Base Costs'!$B$16*0.6</x:f>
        <x:v>291</x:v>
      </x:c>
      <x:c r="J187" s="87" t="n">
        <x:f>0</x:f>
        <x:v>0</x:v>
      </x:c>
      <x:c r="K187" s="87" t="n">
        <x:f>D187*(E187-1)*I187</x:f>
        <x:v>1746</x:v>
      </x:c>
      <x:c r="L187" s="87" t="n">
        <x:f>D187*(E187-1)*J187</x:f>
        <x:v>0</x:v>
      </x:c>
      <x:c r="M187" s="87" t="n">
        <x:f>0</x:f>
        <x:v>0</x:v>
      </x:c>
      <x:c r="N187" s="87" t="n">
        <x:f>H187+K187+M187</x:f>
        <x:v>2946</x:v>
      </x:c>
      <x:c r="O187" s="87" t="n">
        <x:f>N187*'01 Base Costs'!$B$7+L187</x:f>
        <x:v>14170260000</x:v>
      </x:c>
      <x:c r="P187" s="87" t="n">
        <x:f>D187*E187</x:f>
        <x:v>9</x:v>
      </x:c>
      <x:c r="Q187" s="87" t="n">
        <x:f>P187*'01 Base Costs'!$B$12</x:f>
        <x:v>17496000</x:v>
      </x:c>
      <x:c r="R187" s="87" t="n">
        <x:f>0</x:f>
        <x:v>0</x:v>
      </x:c>
      <x:c r="S187" s="87" t="n">
        <x:f>Q187+R187</x:f>
        <x:v>17496000</x:v>
      </x:c>
      <x:c r="T187" s="141" t="n">
        <x:f>S187/'01 Base Costs'!$B$14</x:f>
        <x:v>34.992</x:v>
      </x:c>
      <x:c r="U187" s="87" t="n">
        <x:f>INT(T187)</x:f>
        <x:v>34</x:v>
      </x:c>
      <x:c r="V187" s="87" t="n">
        <x:f>S187-U187*'01 Base Costs'!$B$14</x:f>
        <x:v>496000</x:v>
      </x:c>
      <x:c r="W187" s="120" t="n">
        <x:f>'01 Base Costs'!$B$17*2/3</x:f>
        <x:v>93.33333333333333</x:v>
      </x:c>
      <x:c r="X187" s="120" t="n">
        <x:f>0</x:f>
        <x:v>0</x:v>
      </x:c>
      <x:c r="Y187" s="87" t="n">
        <x:f>T187*(W187*'01 Base Costs'!$B$7+X187)</x:f>
        <x:v>15709075199.999998</x:v>
      </x:c>
      <x:c r="Z187" s="87" t="n">
        <x:f>T187*'01 Base Costs'!$B$8</x:f>
        <x:v>26345476799.999996</x:v>
      </x:c>
      <x:c r="AA187" s="87" t="n">
        <x:f>Z187*'01 Base Costs'!$B$11</x:f>
        <x:v>1317273840</x:v>
      </x:c>
      <x:c r="AB187" s="87" t="n">
        <x:f>Z187-AA187</x:f>
        <x:v>25028202959.999996</x:v>
      </x:c>
      <x:c r="AC187" s="87" t="n">
        <x:f>O187+Y187</x:f>
        <x:v>29879335200</x:v>
      </x:c>
      <x:c r="AD187" s="87" t="n">
        <x:f>AB187-AC187</x:f>
        <x:v>-4851132240.000004</x:v>
      </x:c>
      <x:c r="AE187" s="87" t="n">
        <x:f>AD187/D187</x:f>
        <x:v>-1617044080.0000012</x:v>
      </x:c>
      <x:c r="AF187" s="87" t="n">
        <x:f>AD187/P187</x:f>
        <x:v>-539014693.3333337</x:v>
      </x:c>
      <x:c r="AG187" s="87" t="n">
        <x:f>IF(T187=0,0,AC187/T187/(1-'01 Base Costs'!$B$11))</x:f>
        <x:v>898832069.8866509</x:v>
      </x:c>
      <x:c r="AH187" s="88" t="str">
        <x:f>IF(AD187&gt;0,"PROFIT","LOSS")</x:f>
        <x:v>LOSS</x:v>
      </x:c>
      <x:c r="AI187" s="89" t="str">
        <x:v>Base 3M Omega. MCT sale 40% off. Extractor 3-for-2 sale.</x:v>
      </x:c>
    </x:row>
    <x:row r="188">
      <x:c r="A188" s="86" t="n">
        <x:v>186</x:v>
      </x:c>
      <x:c r="B188" s="88" t="str">
        <x:v>Base</x:v>
      </x:c>
      <x:c r="C188" s="88" t="str">
        <x:v>3M Omega</x:v>
      </x:c>
      <x:c r="D188" s="88" t="n">
        <x:v>3</x:v>
      </x:c>
      <x:c r="E188" s="88" t="n">
        <x:v>3</x:v>
      </x:c>
      <x:c r="F188" s="88" t="str">
        <x:v>NES MCT 40% sale</x:v>
      </x:c>
      <x:c r="G188" s="88" t="str">
        <x:v>NES 2-for-1 extractor sale</x:v>
      </x:c>
      <x:c r="H188" s="87" t="n">
        <x:f>'01 Base Costs'!$B$22</x:f>
        <x:v>1200</x:v>
      </x:c>
      <x:c r="I188" s="87" t="n">
        <x:f>'01 Base Costs'!$B$16*0.6</x:f>
        <x:v>291</x:v>
      </x:c>
      <x:c r="J188" s="87" t="n">
        <x:f>0</x:f>
        <x:v>0</x:v>
      </x:c>
      <x:c r="K188" s="87" t="n">
        <x:f>D188*(E188-1)*I188</x:f>
        <x:v>1746</x:v>
      </x:c>
      <x:c r="L188" s="87" t="n">
        <x:f>D188*(E188-1)*J188</x:f>
        <x:v>0</x:v>
      </x:c>
      <x:c r="M188" s="87" t="n">
        <x:f>0</x:f>
        <x:v>0</x:v>
      </x:c>
      <x:c r="N188" s="87" t="n">
        <x:f>H188+K188+M188</x:f>
        <x:v>2946</x:v>
      </x:c>
      <x:c r="O188" s="87" t="n">
        <x:f>N188*'01 Base Costs'!$B$7+L188</x:f>
        <x:v>14170260000</x:v>
      </x:c>
      <x:c r="P188" s="87" t="n">
        <x:f>D188*E188</x:f>
        <x:v>9</x:v>
      </x:c>
      <x:c r="Q188" s="87" t="n">
        <x:f>P188*'01 Base Costs'!$B$12</x:f>
        <x:v>17496000</x:v>
      </x:c>
      <x:c r="R188" s="87" t="n">
        <x:f>0</x:f>
        <x:v>0</x:v>
      </x:c>
      <x:c r="S188" s="87" t="n">
        <x:f>Q188+R188</x:f>
        <x:v>17496000</x:v>
      </x:c>
      <x:c r="T188" s="141" t="n">
        <x:f>S188/'01 Base Costs'!$B$14</x:f>
        <x:v>34.992</x:v>
      </x:c>
      <x:c r="U188" s="87" t="n">
        <x:f>INT(T188)</x:f>
        <x:v>34</x:v>
      </x:c>
      <x:c r="V188" s="87" t="n">
        <x:f>S188-U188*'01 Base Costs'!$B$14</x:f>
        <x:v>496000</x:v>
      </x:c>
      <x:c r="W188" s="120" t="n">
        <x:f>'01 Base Costs'!$B$17/2</x:f>
        <x:v>70</x:v>
      </x:c>
      <x:c r="X188" s="120" t="n">
        <x:f>0</x:f>
        <x:v>0</x:v>
      </x:c>
      <x:c r="Y188" s="87" t="n">
        <x:f>T188*(W188*'01 Base Costs'!$B$7+X188)</x:f>
        <x:v>11781806400</x:v>
      </x:c>
      <x:c r="Z188" s="87" t="n">
        <x:f>T188*'01 Base Costs'!$B$8</x:f>
        <x:v>26345476799.999996</x:v>
      </x:c>
      <x:c r="AA188" s="87" t="n">
        <x:f>Z188*'01 Base Costs'!$B$11</x:f>
        <x:v>1317273840</x:v>
      </x:c>
      <x:c r="AB188" s="87" t="n">
        <x:f>Z188-AA188</x:f>
        <x:v>25028202959.999996</x:v>
      </x:c>
      <x:c r="AC188" s="87" t="n">
        <x:f>O188+Y188</x:f>
        <x:v>25952066400</x:v>
      </x:c>
      <x:c r="AD188" s="87" t="n">
        <x:f>AB188-AC188</x:f>
        <x:v>-923863440.0000038</x:v>
      </x:c>
      <x:c r="AE188" s="87" t="n">
        <x:f>AD188/D188</x:f>
        <x:v>-307954480.00000125</x:v>
      </x:c>
      <x:c r="AF188" s="87" t="n">
        <x:f>AD188/P188</x:f>
        <x:v>-102651493.33333376</x:v>
      </x:c>
      <x:c r="AG188" s="87" t="n">
        <x:f>IF(T188=0,0,AC188/T188/(1-'01 Base Costs'!$B$11))</x:f>
        <x:v>780691719.009458</x:v>
      </x:c>
      <x:c r="AH188" s="88" t="str">
        <x:f>IF(AD188&gt;0,"PROFIT","LOSS")</x:f>
        <x:v>LOSS</x:v>
      </x:c>
      <x:c r="AI188" s="89" t="str">
        <x:v>Base 3M Omega. MCT sale 40% off. Extractor 2-for-1 sale.</x:v>
      </x:c>
    </x:row>
    <x:row r="189">
      <x:c r="A189" s="86" t="n">
        <x:v>187</x:v>
      </x:c>
      <x:c r="B189" s="88" t="str">
        <x:v>Base</x:v>
      </x:c>
      <x:c r="C189" s="88" t="str">
        <x:v>3M Omega</x:v>
      </x:c>
      <x:c r="D189" s="88" t="n">
        <x:v>3</x:v>
      </x:c>
      <x:c r="E189" s="88" t="n">
        <x:v>3</x:v>
      </x:c>
      <x:c r="F189" s="88" t="str">
        <x:v>NES MCT 40% sale</x:v>
      </x:c>
      <x:c r="G189" s="88" t="str">
        <x:v>NES 10-pack extractor 20% sale</x:v>
      </x:c>
      <x:c r="H189" s="87" t="n">
        <x:f>'01 Base Costs'!$B$22</x:f>
        <x:v>1200</x:v>
      </x:c>
      <x:c r="I189" s="87" t="n">
        <x:f>'01 Base Costs'!$B$16*0.6</x:f>
        <x:v>291</x:v>
      </x:c>
      <x:c r="J189" s="87" t="n">
        <x:f>0</x:f>
        <x:v>0</x:v>
      </x:c>
      <x:c r="K189" s="87" t="n">
        <x:f>D189*(E189-1)*I189</x:f>
        <x:v>1746</x:v>
      </x:c>
      <x:c r="L189" s="87" t="n">
        <x:f>D189*(E189-1)*J189</x:f>
        <x:v>0</x:v>
      </x:c>
      <x:c r="M189" s="87" t="n">
        <x:f>0</x:f>
        <x:v>0</x:v>
      </x:c>
      <x:c r="N189" s="87" t="n">
        <x:f>H189+K189+M189</x:f>
        <x:v>2946</x:v>
      </x:c>
      <x:c r="O189" s="87" t="n">
        <x:f>N189*'01 Base Costs'!$B$7+L189</x:f>
        <x:v>14170260000</x:v>
      </x:c>
      <x:c r="P189" s="87" t="n">
        <x:f>D189*E189</x:f>
        <x:v>9</x:v>
      </x:c>
      <x:c r="Q189" s="87" t="n">
        <x:f>P189*'01 Base Costs'!$B$12</x:f>
        <x:v>17496000</x:v>
      </x:c>
      <x:c r="R189" s="87" t="n">
        <x:f>0</x:f>
        <x:v>0</x:v>
      </x:c>
      <x:c r="S189" s="87" t="n">
        <x:f>Q189+R189</x:f>
        <x:v>17496000</x:v>
      </x:c>
      <x:c r="T189" s="141" t="n">
        <x:f>S189/'01 Base Costs'!$B$14</x:f>
        <x:v>34.992</x:v>
      </x:c>
      <x:c r="U189" s="87" t="n">
        <x:f>INT(T189)</x:f>
        <x:v>34</x:v>
      </x:c>
      <x:c r="V189" s="87" t="n">
        <x:f>S189-U189*'01 Base Costs'!$B$14</x:f>
        <x:v>496000</x:v>
      </x:c>
      <x:c r="W189" s="120" t="n">
        <x:f>'01 Base Costs'!$B$19*0.8/10</x:f>
        <x:v>95.2</x:v>
      </x:c>
      <x:c r="X189" s="120" t="n">
        <x:f>0</x:f>
        <x:v>0</x:v>
      </x:c>
      <x:c r="Y189" s="87" t="n">
        <x:f>T189*(W189*'01 Base Costs'!$B$7+X189)</x:f>
        <x:v>16023256703.999998</x:v>
      </x:c>
      <x:c r="Z189" s="87" t="n">
        <x:f>T189*'01 Base Costs'!$B$8</x:f>
        <x:v>26345476799.999996</x:v>
      </x:c>
      <x:c r="AA189" s="87" t="n">
        <x:f>Z189*'01 Base Costs'!$B$11</x:f>
        <x:v>1317273840</x:v>
      </x:c>
      <x:c r="AB189" s="87" t="n">
        <x:f>Z189-AA189</x:f>
        <x:v>25028202959.999996</x:v>
      </x:c>
      <x:c r="AC189" s="87" t="n">
        <x:f>O189+Y189</x:f>
        <x:v>30193516704</x:v>
      </x:c>
      <x:c r="AD189" s="87" t="n">
        <x:f>AB189-AC189</x:f>
        <x:v>-5165313744.000004</x:v>
      </x:c>
      <x:c r="AE189" s="87" t="n">
        <x:f>AD189/D189</x:f>
        <x:v>-1721771248.0000012</x:v>
      </x:c>
      <x:c r="AF189" s="87" t="n">
        <x:f>AD189/P189</x:f>
        <x:v>-573923749.3333337</x:v>
      </x:c>
      <x:c r="AG189" s="87" t="n">
        <x:f>IF(T189=0,0,AC189/T189/(1-'01 Base Costs'!$B$11))</x:f>
        <x:v>908283297.9568263</x:v>
      </x:c>
      <x:c r="AH189" s="88" t="str">
        <x:f>IF(AD189&gt;0,"PROFIT","LOSS")</x:f>
        <x:v>LOSS</x:v>
      </x:c>
      <x:c r="AI189" s="89" t="str">
        <x:v>Base 3M Omega. MCT sale 40% off. 10-pack at 20% off.</x:v>
      </x:c>
    </x:row>
    <x:row r="190">
      <x:c r="A190" s="86" t="n">
        <x:v>188</x:v>
      </x:c>
      <x:c r="B190" s="88" t="str">
        <x:v>Base</x:v>
      </x:c>
      <x:c r="C190" s="88" t="str">
        <x:v>3M Omega</x:v>
      </x:c>
      <x:c r="D190" s="88" t="n">
        <x:v>3</x:v>
      </x:c>
      <x:c r="E190" s="88" t="n">
        <x:v>3</x:v>
      </x:c>
      <x:c r="F190" s="88" t="str">
        <x:v>NES MCT 40% sale</x:v>
      </x:c>
      <x:c r="G190" s="88" t="str">
        <x:v>NES 50-pack extractor 20% sale</x:v>
      </x:c>
      <x:c r="H190" s="87" t="n">
        <x:f>'01 Base Costs'!$B$22</x:f>
        <x:v>1200</x:v>
      </x:c>
      <x:c r="I190" s="87" t="n">
        <x:f>'01 Base Costs'!$B$16*0.6</x:f>
        <x:v>291</x:v>
      </x:c>
      <x:c r="J190" s="87" t="n">
        <x:f>0</x:f>
        <x:v>0</x:v>
      </x:c>
      <x:c r="K190" s="87" t="n">
        <x:f>D190*(E190-1)*I190</x:f>
        <x:v>1746</x:v>
      </x:c>
      <x:c r="L190" s="87" t="n">
        <x:f>D190*(E190-1)*J190</x:f>
        <x:v>0</x:v>
      </x:c>
      <x:c r="M190" s="87" t="n">
        <x:f>0</x:f>
        <x:v>0</x:v>
      </x:c>
      <x:c r="N190" s="87" t="n">
        <x:f>H190+K190+M190</x:f>
        <x:v>2946</x:v>
      </x:c>
      <x:c r="O190" s="87" t="n">
        <x:f>N190*'01 Base Costs'!$B$7+L190</x:f>
        <x:v>14170260000</x:v>
      </x:c>
      <x:c r="P190" s="87" t="n">
        <x:f>D190*E190</x:f>
        <x:v>9</x:v>
      </x:c>
      <x:c r="Q190" s="87" t="n">
        <x:f>P190*'01 Base Costs'!$B$12</x:f>
        <x:v>17496000</x:v>
      </x:c>
      <x:c r="R190" s="87" t="n">
        <x:f>0</x:f>
        <x:v>0</x:v>
      </x:c>
      <x:c r="S190" s="87" t="n">
        <x:f>Q190+R190</x:f>
        <x:v>17496000</x:v>
      </x:c>
      <x:c r="T190" s="141" t="n">
        <x:f>S190/'01 Base Costs'!$B$14</x:f>
        <x:v>34.992</x:v>
      </x:c>
      <x:c r="U190" s="87" t="n">
        <x:f>INT(T190)</x:f>
        <x:v>34</x:v>
      </x:c>
      <x:c r="V190" s="87" t="n">
        <x:f>S190-U190*'01 Base Costs'!$B$14</x:f>
        <x:v>496000</x:v>
      </x:c>
      <x:c r="W190" s="120" t="n">
        <x:f>'01 Base Costs'!$B$20*0.8/50</x:f>
        <x:v>89.6</x:v>
      </x:c>
      <x:c r="X190" s="120" t="n">
        <x:f>0</x:f>
        <x:v>0</x:v>
      </x:c>
      <x:c r="Y190" s="87" t="n">
        <x:f>T190*(W190*'01 Base Costs'!$B$7+X190)</x:f>
        <x:v>15080712191.999998</x:v>
      </x:c>
      <x:c r="Z190" s="87" t="n">
        <x:f>T190*'01 Base Costs'!$B$8</x:f>
        <x:v>26345476799.999996</x:v>
      </x:c>
      <x:c r="AA190" s="87" t="n">
        <x:f>Z190*'01 Base Costs'!$B$11</x:f>
        <x:v>1317273840</x:v>
      </x:c>
      <x:c r="AB190" s="87" t="n">
        <x:f>Z190-AA190</x:f>
        <x:v>25028202959.999996</x:v>
      </x:c>
      <x:c r="AC190" s="87" t="n">
        <x:f>O190+Y190</x:f>
        <x:v>29250972192</x:v>
      </x:c>
      <x:c r="AD190" s="87" t="n">
        <x:f>AB190-AC190</x:f>
        <x:v>-4222769232.000004</x:v>
      </x:c>
      <x:c r="AE190" s="87" t="n">
        <x:f>AD190/D190</x:f>
        <x:v>-1407589744.0000012</x:v>
      </x:c>
      <x:c r="AF190" s="87" t="n">
        <x:f>AD190/P190</x:f>
        <x:v>-469196581.33333373</x:v>
      </x:c>
      <x:c r="AG190" s="87" t="n">
        <x:f>IF(T190=0,0,AC190/T190/(1-'01 Base Costs'!$B$11))</x:f>
        <x:v>879929613.7463</x:v>
      </x:c>
      <x:c r="AH190" s="88" t="str">
        <x:f>IF(AD190&gt;0,"PROFIT","LOSS")</x:f>
        <x:v>LOSS</x:v>
      </x:c>
      <x:c r="AI190" s="89" t="str">
        <x:v>Base 3M Omega. MCT sale 40% off. 50-pack at 20% off.</x:v>
      </x:c>
    </x:row>
    <x:row r="191">
      <x:c r="A191" s="86" t="n">
        <x:v>189</x:v>
      </x:c>
      <x:c r="B191" s="88" t="str">
        <x:v>Base</x:v>
      </x:c>
      <x:c r="C191" s="88" t="str">
        <x:v>3M Omega</x:v>
      </x:c>
      <x:c r="D191" s="88" t="n">
        <x:v>3</x:v>
      </x:c>
      <x:c r="E191" s="88" t="n">
        <x:v>3</x:v>
      </x:c>
      <x:c r="F191" s="88" t="str">
        <x:v>NES MCT 40% sale</x:v>
      </x:c>
      <x:c r="G191" s="88" t="str">
        <x:v>Market Skill Extractor</x:v>
      </x:c>
      <x:c r="H191" s="87" t="n">
        <x:f>'01 Base Costs'!$B$22</x:f>
        <x:v>1200</x:v>
      </x:c>
      <x:c r="I191" s="87" t="n">
        <x:f>'01 Base Costs'!$B$16*0.6</x:f>
        <x:v>291</x:v>
      </x:c>
      <x:c r="J191" s="87" t="n">
        <x:f>0</x:f>
        <x:v>0</x:v>
      </x:c>
      <x:c r="K191" s="87" t="n">
        <x:f>D191*(E191-1)*I191</x:f>
        <x:v>1746</x:v>
      </x:c>
      <x:c r="L191" s="87" t="n">
        <x:f>D191*(E191-1)*J191</x:f>
        <x:v>0</x:v>
      </x:c>
      <x:c r="M191" s="87" t="n">
        <x:f>0</x:f>
        <x:v>0</x:v>
      </x:c>
      <x:c r="N191" s="87" t="n">
        <x:f>H191+K191+M191</x:f>
        <x:v>2946</x:v>
      </x:c>
      <x:c r="O191" s="87" t="n">
        <x:f>N191*'01 Base Costs'!$B$7+L191</x:f>
        <x:v>14170260000</x:v>
      </x:c>
      <x:c r="P191" s="87" t="n">
        <x:f>D191*E191</x:f>
        <x:v>9</x:v>
      </x:c>
      <x:c r="Q191" s="87" t="n">
        <x:f>P191*'01 Base Costs'!$B$12</x:f>
        <x:v>17496000</x:v>
      </x:c>
      <x:c r="R191" s="87" t="n">
        <x:f>0</x:f>
        <x:v>0</x:v>
      </x:c>
      <x:c r="S191" s="87" t="n">
        <x:f>Q191+R191</x:f>
        <x:v>17496000</x:v>
      </x:c>
      <x:c r="T191" s="141" t="n">
        <x:f>S191/'01 Base Costs'!$B$14</x:f>
        <x:v>34.992</x:v>
      </x:c>
      <x:c r="U191" s="87" t="n">
        <x:f>INT(T191)</x:f>
        <x:v>34</x:v>
      </x:c>
      <x:c r="V191" s="87" t="n">
        <x:f>S191-U191*'01 Base Costs'!$B$14</x:f>
        <x:v>496000</x:v>
      </x:c>
      <x:c r="W191" s="120" t="n">
        <x:f>0</x:f>
        <x:v>0</x:v>
      </x:c>
      <x:c r="X191" s="120" t="n">
        <x:f>'01 Base Costs'!$B$9</x:f>
        <x:v>463500000</x:v>
      </x:c>
      <x:c r="Y191" s="87" t="n">
        <x:f>T191*(W191*'01 Base Costs'!$B$7+X191)</x:f>
        <x:v>16218791999.999998</x:v>
      </x:c>
      <x:c r="Z191" s="87" t="n">
        <x:f>T191*'01 Base Costs'!$B$8</x:f>
        <x:v>26345476799.999996</x:v>
      </x:c>
      <x:c r="AA191" s="87" t="n">
        <x:f>Z191*'01 Base Costs'!$B$11</x:f>
        <x:v>1317273840</x:v>
      </x:c>
      <x:c r="AB191" s="87" t="n">
        <x:f>Z191-AA191</x:f>
        <x:v>25028202959.999996</x:v>
      </x:c>
      <x:c r="AC191" s="87" t="n">
        <x:f>O191+Y191</x:f>
        <x:v>30389052000</x:v>
      </x:c>
      <x:c r="AD191" s="87" t="n">
        <x:f>AB191-AC191</x:f>
        <x:v>-5360849040.000004</x:v>
      </x:c>
      <x:c r="AE191" s="87" t="n">
        <x:f>AD191/D191</x:f>
        <x:v>-1786949680.0000012</x:v>
      </x:c>
      <x:c r="AF191" s="87" t="n">
        <x:f>AD191/P191</x:f>
        <x:v>-595649893.3333337</x:v>
      </x:c>
      <x:c r="AG191" s="87" t="n">
        <x:f>IF(T191=0,0,AC191/T191/(1-'01 Base Costs'!$B$11))</x:f>
        <x:v>914165403.2199843</x:v>
      </x:c>
      <x:c r="AH191" s="88" t="str">
        <x:f>IF(AD191&gt;0,"PROFIT","LOSS")</x:f>
        <x:v>LOSS</x:v>
      </x:c>
      <x:c r="AI191" s="89" t="str">
        <x:v>Base 3M Omega. MCT sale 40% off. Extractor bought on market with ISK.</x:v>
      </x:c>
    </x:row>
    <x:row r="192">
      <x:c r="A192" s="86" t="n">
        <x:v>190</x:v>
      </x:c>
      <x:c r="B192" s="88" t="str">
        <x:v>Base</x:v>
      </x:c>
      <x:c r="C192" s="88" t="str">
        <x:v>3M Omega</x:v>
      </x:c>
      <x:c r="D192" s="88" t="n">
        <x:v>3</x:v>
      </x:c>
      <x:c r="E192" s="88" t="n">
        <x:v>3</x:v>
      </x:c>
      <x:c r="F192" s="88" t="str">
        <x:v>Market MCT certificate</x:v>
      </x:c>
      <x:c r="G192" s="88" t="str">
        <x:v>NES single extractor</x:v>
      </x:c>
      <x:c r="H192" s="87" t="n">
        <x:f>'01 Base Costs'!$B$22</x:f>
        <x:v>1200</x:v>
      </x:c>
      <x:c r="I192" s="87" t="n">
        <x:f>0</x:f>
        <x:v>0</x:v>
      </x:c>
      <x:c r="J192" s="87" t="n">
        <x:f>'01 Base Costs'!$B$10</x:f>
        <x:v>2332850000</x:v>
      </x:c>
      <x:c r="K192" s="87" t="n">
        <x:f>D192*(E192-1)*I192</x:f>
        <x:v>0</x:v>
      </x:c>
      <x:c r="L192" s="87" t="n">
        <x:f>D192*(E192-1)*J192</x:f>
        <x:v>13997100000</x:v>
      </x:c>
      <x:c r="M192" s="87" t="n">
        <x:f>0</x:f>
        <x:v>0</x:v>
      </x:c>
      <x:c r="N192" s="87" t="n">
        <x:f>H192+K192+M192</x:f>
        <x:v>1200</x:v>
      </x:c>
      <x:c r="O192" s="87" t="n">
        <x:f>N192*'01 Base Costs'!$B$7+L192</x:f>
        <x:v>19769100000</x:v>
      </x:c>
      <x:c r="P192" s="87" t="n">
        <x:f>D192*E192</x:f>
        <x:v>9</x:v>
      </x:c>
      <x:c r="Q192" s="87" t="n">
        <x:f>P192*'01 Base Costs'!$B$12</x:f>
        <x:v>17496000</x:v>
      </x:c>
      <x:c r="R192" s="87" t="n">
        <x:f>0</x:f>
        <x:v>0</x:v>
      </x:c>
      <x:c r="S192" s="87" t="n">
        <x:f>Q192+R192</x:f>
        <x:v>17496000</x:v>
      </x:c>
      <x:c r="T192" s="141" t="n">
        <x:f>S192/'01 Base Costs'!$B$14</x:f>
        <x:v>34.992</x:v>
      </x:c>
      <x:c r="U192" s="87" t="n">
        <x:f>INT(T192)</x:f>
        <x:v>34</x:v>
      </x:c>
      <x:c r="V192" s="87" t="n">
        <x:f>S192-U192*'01 Base Costs'!$B$14</x:f>
        <x:v>496000</x:v>
      </x:c>
      <x:c r="W192" s="120" t="n">
        <x:f>'01 Base Costs'!$B$17</x:f>
        <x:v>140</x:v>
      </x:c>
      <x:c r="X192" s="120" t="n">
        <x:f>0</x:f>
        <x:v>0</x:v>
      </x:c>
      <x:c r="Y192" s="87" t="n">
        <x:f>T192*(W192*'01 Base Costs'!$B$7+X192)</x:f>
        <x:v>23563612800</x:v>
      </x:c>
      <x:c r="Z192" s="87" t="n">
        <x:f>T192*'01 Base Costs'!$B$8</x:f>
        <x:v>26345476799.999996</x:v>
      </x:c>
      <x:c r="AA192" s="87" t="n">
        <x:f>Z192*'01 Base Costs'!$B$11</x:f>
        <x:v>1317273840</x:v>
      </x:c>
      <x:c r="AB192" s="87" t="n">
        <x:f>Z192-AA192</x:f>
        <x:v>25028202959.999996</x:v>
      </x:c>
      <x:c r="AC192" s="87" t="n">
        <x:f>O192+Y192</x:f>
        <x:v>43332712800</x:v>
      </x:c>
      <x:c r="AD192" s="87" t="n">
        <x:f>AB192-AC192</x:f>
        <x:v>-18304509840.000004</x:v>
      </x:c>
      <x:c r="AE192" s="87" t="n">
        <x:f>AD192/D192</x:f>
        <x:v>-6101503280.000001</x:v>
      </x:c>
      <x:c r="AF192" s="87" t="n">
        <x:f>AD192/P192</x:f>
        <x:v>-2033834426.666667</x:v>
      </x:c>
      <x:c r="AG192" s="87" t="n">
        <x:f>IF(T192=0,0,AC192/T192/(1-'01 Base Costs'!$B$11))</x:f>
        <x:v>1303537434.1202803</x:v>
      </x:c>
      <x:c r="AH192" s="88" t="str">
        <x:f>IF(AD192&gt;0,"PROFIT","LOSS")</x:f>
        <x:v>LOSS</x:v>
      </x:c>
      <x:c r="AI192" s="89" t="str">
        <x:v>Base 3M Omega. MCT certificate bought with ISK market price. Base single extractor.</x:v>
      </x:c>
    </x:row>
    <x:row r="193">
      <x:c r="A193" s="86" t="n">
        <x:v>191</x:v>
      </x:c>
      <x:c r="B193" s="88" t="str">
        <x:v>Base</x:v>
      </x:c>
      <x:c r="C193" s="88" t="str">
        <x:v>3M Omega</x:v>
      </x:c>
      <x:c r="D193" s="88" t="n">
        <x:v>3</x:v>
      </x:c>
      <x:c r="E193" s="88" t="n">
        <x:v>3</x:v>
      </x:c>
      <x:c r="F193" s="88" t="str">
        <x:v>Market MCT certificate</x:v>
      </x:c>
      <x:c r="G193" s="88" t="str">
        <x:v>NES 5-pack extractor</x:v>
      </x:c>
      <x:c r="H193" s="87" t="n">
        <x:f>'01 Base Costs'!$B$22</x:f>
        <x:v>1200</x:v>
      </x:c>
      <x:c r="I193" s="87" t="n">
        <x:f>0</x:f>
        <x:v>0</x:v>
      </x:c>
      <x:c r="J193" s="87" t="n">
        <x:f>'01 Base Costs'!$B$10</x:f>
        <x:v>2332850000</x:v>
      </x:c>
      <x:c r="K193" s="87" t="n">
        <x:f>D193*(E193-1)*I193</x:f>
        <x:v>0</x:v>
      </x:c>
      <x:c r="L193" s="87" t="n">
        <x:f>D193*(E193-1)*J193</x:f>
        <x:v>13997100000</x:v>
      </x:c>
      <x:c r="M193" s="87" t="n">
        <x:f>0</x:f>
        <x:v>0</x:v>
      </x:c>
      <x:c r="N193" s="87" t="n">
        <x:f>H193+K193+M193</x:f>
        <x:v>1200</x:v>
      </x:c>
      <x:c r="O193" s="87" t="n">
        <x:f>N193*'01 Base Costs'!$B$7+L193</x:f>
        <x:v>19769100000</x:v>
      </x:c>
      <x:c r="P193" s="87" t="n">
        <x:f>D193*E193</x:f>
        <x:v>9</x:v>
      </x:c>
      <x:c r="Q193" s="87" t="n">
        <x:f>P193*'01 Base Costs'!$B$12</x:f>
        <x:v>17496000</x:v>
      </x:c>
      <x:c r="R193" s="87" t="n">
        <x:f>0</x:f>
        <x:v>0</x:v>
      </x:c>
      <x:c r="S193" s="87" t="n">
        <x:f>Q193+R193</x:f>
        <x:v>17496000</x:v>
      </x:c>
      <x:c r="T193" s="141" t="n">
        <x:f>S193/'01 Base Costs'!$B$14</x:f>
        <x:v>34.992</x:v>
      </x:c>
      <x:c r="U193" s="87" t="n">
        <x:f>INT(T193)</x:f>
        <x:v>34</x:v>
      </x:c>
      <x:c r="V193" s="87" t="n">
        <x:f>S193-U193*'01 Base Costs'!$B$14</x:f>
        <x:v>496000</x:v>
      </x:c>
      <x:c r="W193" s="120" t="n">
        <x:f>'01 Base Costs'!$B$18/5</x:f>
        <x:v>126</x:v>
      </x:c>
      <x:c r="X193" s="120" t="n">
        <x:f>0</x:f>
        <x:v>0</x:v>
      </x:c>
      <x:c r="Y193" s="87" t="n">
        <x:f>T193*(W193*'01 Base Costs'!$B$7+X193)</x:f>
        <x:v>21207251520</x:v>
      </x:c>
      <x:c r="Z193" s="87" t="n">
        <x:f>T193*'01 Base Costs'!$B$8</x:f>
        <x:v>26345476799.999996</x:v>
      </x:c>
      <x:c r="AA193" s="87" t="n">
        <x:f>Z193*'01 Base Costs'!$B$11</x:f>
        <x:v>1317273840</x:v>
      </x:c>
      <x:c r="AB193" s="87" t="n">
        <x:f>Z193-AA193</x:f>
        <x:v>25028202959.999996</x:v>
      </x:c>
      <x:c r="AC193" s="87" t="n">
        <x:f>O193+Y193</x:f>
        <x:v>40976351520</x:v>
      </x:c>
      <x:c r="AD193" s="87" t="n">
        <x:f>AB193-AC193</x:f>
        <x:v>-15948148560.000004</x:v>
      </x:c>
      <x:c r="AE193" s="87" t="n">
        <x:f>AD193/D193</x:f>
        <x:v>-5316049520.000001</x:v>
      </x:c>
      <x:c r="AF193" s="87" t="n">
        <x:f>AD193/P193</x:f>
        <x:v>-1772016506.666667</x:v>
      </x:c>
      <x:c r="AG193" s="87" t="n">
        <x:f>IF(T193=0,0,AC193/T193/(1-'01 Base Costs'!$B$11))</x:f>
        <x:v>1232653223.5939643</x:v>
      </x:c>
      <x:c r="AH193" s="88" t="str">
        <x:f>IF(AD193&gt;0,"PROFIT","LOSS")</x:f>
        <x:v>LOSS</x:v>
      </x:c>
      <x:c r="AI193" s="89" t="str">
        <x:v>Base 3M Omega. MCT certificate bought with ISK market price. Base 5-pack average.</x:v>
      </x:c>
    </x:row>
    <x:row r="194">
      <x:c r="A194" s="86" t="n">
        <x:v>192</x:v>
      </x:c>
      <x:c r="B194" s="88" t="str">
        <x:v>Base</x:v>
      </x:c>
      <x:c r="C194" s="88" t="str">
        <x:v>3M Omega</x:v>
      </x:c>
      <x:c r="D194" s="88" t="n">
        <x:v>3</x:v>
      </x:c>
      <x:c r="E194" s="88" t="n">
        <x:v>3</x:v>
      </x:c>
      <x:c r="F194" s="88" t="str">
        <x:v>Market MCT certificate</x:v>
      </x:c>
      <x:c r="G194" s="88" t="str">
        <x:v>NES 10-pack extractor</x:v>
      </x:c>
      <x:c r="H194" s="87" t="n">
        <x:f>'01 Base Costs'!$B$22</x:f>
        <x:v>1200</x:v>
      </x:c>
      <x:c r="I194" s="87" t="n">
        <x:f>0</x:f>
        <x:v>0</x:v>
      </x:c>
      <x:c r="J194" s="87" t="n">
        <x:f>'01 Base Costs'!$B$10</x:f>
        <x:v>2332850000</x:v>
      </x:c>
      <x:c r="K194" s="87" t="n">
        <x:f>D194*(E194-1)*I194</x:f>
        <x:v>0</x:v>
      </x:c>
      <x:c r="L194" s="87" t="n">
        <x:f>D194*(E194-1)*J194</x:f>
        <x:v>13997100000</x:v>
      </x:c>
      <x:c r="M194" s="87" t="n">
        <x:f>0</x:f>
        <x:v>0</x:v>
      </x:c>
      <x:c r="N194" s="87" t="n">
        <x:f>H194+K194+M194</x:f>
        <x:v>1200</x:v>
      </x:c>
      <x:c r="O194" s="87" t="n">
        <x:f>N194*'01 Base Costs'!$B$7+L194</x:f>
        <x:v>19769100000</x:v>
      </x:c>
      <x:c r="P194" s="87" t="n">
        <x:f>D194*E194</x:f>
        <x:v>9</x:v>
      </x:c>
      <x:c r="Q194" s="87" t="n">
        <x:f>P194*'01 Base Costs'!$B$12</x:f>
        <x:v>17496000</x:v>
      </x:c>
      <x:c r="R194" s="87" t="n">
        <x:f>0</x:f>
        <x:v>0</x:v>
      </x:c>
      <x:c r="S194" s="87" t="n">
        <x:f>Q194+R194</x:f>
        <x:v>17496000</x:v>
      </x:c>
      <x:c r="T194" s="141" t="n">
        <x:f>S194/'01 Base Costs'!$B$14</x:f>
        <x:v>34.992</x:v>
      </x:c>
      <x:c r="U194" s="87" t="n">
        <x:f>INT(T194)</x:f>
        <x:v>34</x:v>
      </x:c>
      <x:c r="V194" s="87" t="n">
        <x:f>S194-U194*'01 Base Costs'!$B$14</x:f>
        <x:v>496000</x:v>
      </x:c>
      <x:c r="W194" s="120" t="n">
        <x:f>'01 Base Costs'!$B$19/10</x:f>
        <x:v>119</x:v>
      </x:c>
      <x:c r="X194" s="120" t="n">
        <x:f>0</x:f>
        <x:v>0</x:v>
      </x:c>
      <x:c r="Y194" s="87" t="n">
        <x:f>T194*(W194*'01 Base Costs'!$B$7+X194)</x:f>
        <x:v>20029070880</x:v>
      </x:c>
      <x:c r="Z194" s="87" t="n">
        <x:f>T194*'01 Base Costs'!$B$8</x:f>
        <x:v>26345476799.999996</x:v>
      </x:c>
      <x:c r="AA194" s="87" t="n">
        <x:f>Z194*'01 Base Costs'!$B$11</x:f>
        <x:v>1317273840</x:v>
      </x:c>
      <x:c r="AB194" s="87" t="n">
        <x:f>Z194-AA194</x:f>
        <x:v>25028202959.999996</x:v>
      </x:c>
      <x:c r="AC194" s="87" t="n">
        <x:f>O194+Y194</x:f>
        <x:v>39798170880</x:v>
      </x:c>
      <x:c r="AD194" s="87" t="n">
        <x:f>AB194-AC194</x:f>
        <x:v>-14769967920.000004</x:v>
      </x:c>
      <x:c r="AE194" s="87" t="n">
        <x:f>AD194/D194</x:f>
        <x:v>-4923322640.000001</x:v>
      </x:c>
      <x:c r="AF194" s="87" t="n">
        <x:f>AD194/P194</x:f>
        <x:v>-1641107546.666667</x:v>
      </x:c>
      <x:c r="AG194" s="87" t="n">
        <x:f>IF(T194=0,0,AC194/T194/(1-'01 Base Costs'!$B$11))</x:f>
        <x:v>1197211118.3308065</x:v>
      </x:c>
      <x:c r="AH194" s="88" t="str">
        <x:f>IF(AD194&gt;0,"PROFIT","LOSS")</x:f>
        <x:v>LOSS</x:v>
      </x:c>
      <x:c r="AI194" s="89" t="str">
        <x:v>Base 3M Omega. MCT certificate bought with ISK market price. Base 10-pack average.</x:v>
      </x:c>
    </x:row>
    <x:row r="195">
      <x:c r="A195" s="86" t="n">
        <x:v>193</x:v>
      </x:c>
      <x:c r="B195" s="88" t="str">
        <x:v>Base</x:v>
      </x:c>
      <x:c r="C195" s="88" t="str">
        <x:v>3M Omega</x:v>
      </x:c>
      <x:c r="D195" s="88" t="n">
        <x:v>3</x:v>
      </x:c>
      <x:c r="E195" s="88" t="n">
        <x:v>3</x:v>
      </x:c>
      <x:c r="F195" s="88" t="str">
        <x:v>Market MCT certificate</x:v>
      </x:c>
      <x:c r="G195" s="88" t="str">
        <x:v>NES 50-pack extractor</x:v>
      </x:c>
      <x:c r="H195" s="87" t="n">
        <x:f>'01 Base Costs'!$B$22</x:f>
        <x:v>1200</x:v>
      </x:c>
      <x:c r="I195" s="87" t="n">
        <x:f>0</x:f>
        <x:v>0</x:v>
      </x:c>
      <x:c r="J195" s="87" t="n">
        <x:f>'01 Base Costs'!$B$10</x:f>
        <x:v>2332850000</x:v>
      </x:c>
      <x:c r="K195" s="87" t="n">
        <x:f>D195*(E195-1)*I195</x:f>
        <x:v>0</x:v>
      </x:c>
      <x:c r="L195" s="87" t="n">
        <x:f>D195*(E195-1)*J195</x:f>
        <x:v>13997100000</x:v>
      </x:c>
      <x:c r="M195" s="87" t="n">
        <x:f>0</x:f>
        <x:v>0</x:v>
      </x:c>
      <x:c r="N195" s="87" t="n">
        <x:f>H195+K195+M195</x:f>
        <x:v>1200</x:v>
      </x:c>
      <x:c r="O195" s="87" t="n">
        <x:f>N195*'01 Base Costs'!$B$7+L195</x:f>
        <x:v>19769100000</x:v>
      </x:c>
      <x:c r="P195" s="87" t="n">
        <x:f>D195*E195</x:f>
        <x:v>9</x:v>
      </x:c>
      <x:c r="Q195" s="87" t="n">
        <x:f>P195*'01 Base Costs'!$B$12</x:f>
        <x:v>17496000</x:v>
      </x:c>
      <x:c r="R195" s="87" t="n">
        <x:f>0</x:f>
        <x:v>0</x:v>
      </x:c>
      <x:c r="S195" s="87" t="n">
        <x:f>Q195+R195</x:f>
        <x:v>17496000</x:v>
      </x:c>
      <x:c r="T195" s="141" t="n">
        <x:f>S195/'01 Base Costs'!$B$14</x:f>
        <x:v>34.992</x:v>
      </x:c>
      <x:c r="U195" s="87" t="n">
        <x:f>INT(T195)</x:f>
        <x:v>34</x:v>
      </x:c>
      <x:c r="V195" s="87" t="n">
        <x:f>S195-U195*'01 Base Costs'!$B$14</x:f>
        <x:v>496000</x:v>
      </x:c>
      <x:c r="W195" s="120" t="n">
        <x:f>'01 Base Costs'!$B$20/50</x:f>
        <x:v>112</x:v>
      </x:c>
      <x:c r="X195" s="120" t="n">
        <x:f>0</x:f>
        <x:v>0</x:v>
      </x:c>
      <x:c r="Y195" s="87" t="n">
        <x:f>T195*(W195*'01 Base Costs'!$B$7+X195)</x:f>
        <x:v>18850890240</x:v>
      </x:c>
      <x:c r="Z195" s="87" t="n">
        <x:f>T195*'01 Base Costs'!$B$8</x:f>
        <x:v>26345476799.999996</x:v>
      </x:c>
      <x:c r="AA195" s="87" t="n">
        <x:f>Z195*'01 Base Costs'!$B$11</x:f>
        <x:v>1317273840</x:v>
      </x:c>
      <x:c r="AB195" s="87" t="n">
        <x:f>Z195-AA195</x:f>
        <x:v>25028202959.999996</x:v>
      </x:c>
      <x:c r="AC195" s="87" t="n">
        <x:f>O195+Y195</x:f>
        <x:v>38619990240</x:v>
      </x:c>
      <x:c r="AD195" s="87" t="n">
        <x:f>AB195-AC195</x:f>
        <x:v>-13591787280.000004</x:v>
      </x:c>
      <x:c r="AE195" s="87" t="n">
        <x:f>AD195/D195</x:f>
        <x:v>-4530595760.000001</x:v>
      </x:c>
      <x:c r="AF195" s="87" t="n">
        <x:f>AD195/P195</x:f>
        <x:v>-1510198586.666667</x:v>
      </x:c>
      <x:c r="AG195" s="87" t="n">
        <x:f>IF(T195=0,0,AC195/T195/(1-'01 Base Costs'!$B$11))</x:f>
        <x:v>1161769013.0676486</x:v>
      </x:c>
      <x:c r="AH195" s="88" t="str">
        <x:f>IF(AD195&gt;0,"PROFIT","LOSS")</x:f>
        <x:v>LOSS</x:v>
      </x:c>
      <x:c r="AI195" s="89" t="str">
        <x:v>Base 3M Omega. MCT certificate bought with ISK market price. Base 50-pack average.</x:v>
      </x:c>
    </x:row>
    <x:row r="196">
      <x:c r="A196" s="86" t="n">
        <x:v>194</x:v>
      </x:c>
      <x:c r="B196" s="88" t="str">
        <x:v>Base</x:v>
      </x:c>
      <x:c r="C196" s="88" t="str">
        <x:v>3M Omega</x:v>
      </x:c>
      <x:c r="D196" s="88" t="n">
        <x:v>3</x:v>
      </x:c>
      <x:c r="E196" s="88" t="n">
        <x:v>3</x:v>
      </x:c>
      <x:c r="F196" s="88" t="str">
        <x:v>Market MCT certificate</x:v>
      </x:c>
      <x:c r="G196" s="88" t="str">
        <x:v>NES 3-for-2 extractor sale</x:v>
      </x:c>
      <x:c r="H196" s="87" t="n">
        <x:f>'01 Base Costs'!$B$22</x:f>
        <x:v>1200</x:v>
      </x:c>
      <x:c r="I196" s="87" t="n">
        <x:f>0</x:f>
        <x:v>0</x:v>
      </x:c>
      <x:c r="J196" s="87" t="n">
        <x:f>'01 Base Costs'!$B$10</x:f>
        <x:v>2332850000</x:v>
      </x:c>
      <x:c r="K196" s="87" t="n">
        <x:f>D196*(E196-1)*I196</x:f>
        <x:v>0</x:v>
      </x:c>
      <x:c r="L196" s="87" t="n">
        <x:f>D196*(E196-1)*J196</x:f>
        <x:v>13997100000</x:v>
      </x:c>
      <x:c r="M196" s="87" t="n">
        <x:f>0</x:f>
        <x:v>0</x:v>
      </x:c>
      <x:c r="N196" s="87" t="n">
        <x:f>H196+K196+M196</x:f>
        <x:v>1200</x:v>
      </x:c>
      <x:c r="O196" s="87" t="n">
        <x:f>N196*'01 Base Costs'!$B$7+L196</x:f>
        <x:v>19769100000</x:v>
      </x:c>
      <x:c r="P196" s="87" t="n">
        <x:f>D196*E196</x:f>
        <x:v>9</x:v>
      </x:c>
      <x:c r="Q196" s="87" t="n">
        <x:f>P196*'01 Base Costs'!$B$12</x:f>
        <x:v>17496000</x:v>
      </x:c>
      <x:c r="R196" s="87" t="n">
        <x:f>0</x:f>
        <x:v>0</x:v>
      </x:c>
      <x:c r="S196" s="87" t="n">
        <x:f>Q196+R196</x:f>
        <x:v>17496000</x:v>
      </x:c>
      <x:c r="T196" s="141" t="n">
        <x:f>S196/'01 Base Costs'!$B$14</x:f>
        <x:v>34.992</x:v>
      </x:c>
      <x:c r="U196" s="87" t="n">
        <x:f>INT(T196)</x:f>
        <x:v>34</x:v>
      </x:c>
      <x:c r="V196" s="87" t="n">
        <x:f>S196-U196*'01 Base Costs'!$B$14</x:f>
        <x:v>496000</x:v>
      </x:c>
      <x:c r="W196" s="120" t="n">
        <x:f>'01 Base Costs'!$B$17*2/3</x:f>
        <x:v>93.33333333333333</x:v>
      </x:c>
      <x:c r="X196" s="120" t="n">
        <x:f>0</x:f>
        <x:v>0</x:v>
      </x:c>
      <x:c r="Y196" s="87" t="n">
        <x:f>T196*(W196*'01 Base Costs'!$B$7+X196)</x:f>
        <x:v>15709075199.999998</x:v>
      </x:c>
      <x:c r="Z196" s="87" t="n">
        <x:f>T196*'01 Base Costs'!$B$8</x:f>
        <x:v>26345476799.999996</x:v>
      </x:c>
      <x:c r="AA196" s="87" t="n">
        <x:f>Z196*'01 Base Costs'!$B$11</x:f>
        <x:v>1317273840</x:v>
      </x:c>
      <x:c r="AB196" s="87" t="n">
        <x:f>Z196-AA196</x:f>
        <x:v>25028202959.999996</x:v>
      </x:c>
      <x:c r="AC196" s="87" t="n">
        <x:f>O196+Y196</x:f>
        <x:v>35478175200</x:v>
      </x:c>
      <x:c r="AD196" s="87" t="n">
        <x:f>AB196-AC196</x:f>
        <x:v>-10449972240.000004</x:v>
      </x:c>
      <x:c r="AE196" s="87" t="n">
        <x:f>AD196/D196</x:f>
        <x:v>-3483324080.0000014</x:v>
      </x:c>
      <x:c r="AF196" s="87" t="n">
        <x:f>AD196/P196</x:f>
        <x:v>-1161108026.666667</x:v>
      </x:c>
      <x:c r="AG196" s="87" t="n">
        <x:f>IF(T196=0,0,AC196/T196/(1-'01 Base Costs'!$B$11))</x:f>
        <x:v>1067256732.3658942</x:v>
      </x:c>
      <x:c r="AH196" s="88" t="str">
        <x:f>IF(AD196&gt;0,"PROFIT","LOSS")</x:f>
        <x:v>LOSS</x:v>
      </x:c>
      <x:c r="AI196" s="89" t="str">
        <x:v>Base 3M Omega. MCT certificate bought with ISK market price. Extractor 3-for-2 sale.</x:v>
      </x:c>
    </x:row>
    <x:row r="197">
      <x:c r="A197" s="86" t="n">
        <x:v>195</x:v>
      </x:c>
      <x:c r="B197" s="88" t="str">
        <x:v>Base</x:v>
      </x:c>
      <x:c r="C197" s="88" t="str">
        <x:v>3M Omega</x:v>
      </x:c>
      <x:c r="D197" s="88" t="n">
        <x:v>3</x:v>
      </x:c>
      <x:c r="E197" s="88" t="n">
        <x:v>3</x:v>
      </x:c>
      <x:c r="F197" s="88" t="str">
        <x:v>Market MCT certificate</x:v>
      </x:c>
      <x:c r="G197" s="88" t="str">
        <x:v>NES 2-for-1 extractor sale</x:v>
      </x:c>
      <x:c r="H197" s="87" t="n">
        <x:f>'01 Base Costs'!$B$22</x:f>
        <x:v>1200</x:v>
      </x:c>
      <x:c r="I197" s="87" t="n">
        <x:f>0</x:f>
        <x:v>0</x:v>
      </x:c>
      <x:c r="J197" s="87" t="n">
        <x:f>'01 Base Costs'!$B$10</x:f>
        <x:v>2332850000</x:v>
      </x:c>
      <x:c r="K197" s="87" t="n">
        <x:f>D197*(E197-1)*I197</x:f>
        <x:v>0</x:v>
      </x:c>
      <x:c r="L197" s="87" t="n">
        <x:f>D197*(E197-1)*J197</x:f>
        <x:v>13997100000</x:v>
      </x:c>
      <x:c r="M197" s="87" t="n">
        <x:f>0</x:f>
        <x:v>0</x:v>
      </x:c>
      <x:c r="N197" s="87" t="n">
        <x:f>H197+K197+M197</x:f>
        <x:v>1200</x:v>
      </x:c>
      <x:c r="O197" s="87" t="n">
        <x:f>N197*'01 Base Costs'!$B$7+L197</x:f>
        <x:v>19769100000</x:v>
      </x:c>
      <x:c r="P197" s="87" t="n">
        <x:f>D197*E197</x:f>
        <x:v>9</x:v>
      </x:c>
      <x:c r="Q197" s="87" t="n">
        <x:f>P197*'01 Base Costs'!$B$12</x:f>
        <x:v>17496000</x:v>
      </x:c>
      <x:c r="R197" s="87" t="n">
        <x:f>0</x:f>
        <x:v>0</x:v>
      </x:c>
      <x:c r="S197" s="87" t="n">
        <x:f>Q197+R197</x:f>
        <x:v>17496000</x:v>
      </x:c>
      <x:c r="T197" s="141" t="n">
        <x:f>S197/'01 Base Costs'!$B$14</x:f>
        <x:v>34.992</x:v>
      </x:c>
      <x:c r="U197" s="87" t="n">
        <x:f>INT(T197)</x:f>
        <x:v>34</x:v>
      </x:c>
      <x:c r="V197" s="87" t="n">
        <x:f>S197-U197*'01 Base Costs'!$B$14</x:f>
        <x:v>496000</x:v>
      </x:c>
      <x:c r="W197" s="120" t="n">
        <x:f>'01 Base Costs'!$B$17/2</x:f>
        <x:v>70</x:v>
      </x:c>
      <x:c r="X197" s="120" t="n">
        <x:f>0</x:f>
        <x:v>0</x:v>
      </x:c>
      <x:c r="Y197" s="87" t="n">
        <x:f>T197*(W197*'01 Base Costs'!$B$7+X197)</x:f>
        <x:v>11781806400</x:v>
      </x:c>
      <x:c r="Z197" s="87" t="n">
        <x:f>T197*'01 Base Costs'!$B$8</x:f>
        <x:v>26345476799.999996</x:v>
      </x:c>
      <x:c r="AA197" s="87" t="n">
        <x:f>Z197*'01 Base Costs'!$B$11</x:f>
        <x:v>1317273840</x:v>
      </x:c>
      <x:c r="AB197" s="87" t="n">
        <x:f>Z197-AA197</x:f>
        <x:v>25028202959.999996</x:v>
      </x:c>
      <x:c r="AC197" s="87" t="n">
        <x:f>O197+Y197</x:f>
        <x:v>31550906400</x:v>
      </x:c>
      <x:c r="AD197" s="87" t="n">
        <x:f>AB197-AC197</x:f>
        <x:v>-6522703440.000004</x:v>
      </x:c>
      <x:c r="AE197" s="87" t="n">
        <x:f>AD197/D197</x:f>
        <x:v>-2174234480.0000014</x:v>
      </x:c>
      <x:c r="AF197" s="87" t="n">
        <x:f>AD197/P197</x:f>
        <x:v>-724744826.6666671</x:v>
      </x:c>
      <x:c r="AG197" s="87" t="n">
        <x:f>IF(T197=0,0,AC197/T197/(1-'01 Base Costs'!$B$11))</x:f>
        <x:v>949116381.4887013</x:v>
      </x:c>
      <x:c r="AH197" s="88" t="str">
        <x:f>IF(AD197&gt;0,"PROFIT","LOSS")</x:f>
        <x:v>LOSS</x:v>
      </x:c>
      <x:c r="AI197" s="89" t="str">
        <x:v>Base 3M Omega. MCT certificate bought with ISK market price. Extractor 2-for-1 sale.</x:v>
      </x:c>
    </x:row>
    <x:row r="198">
      <x:c r="A198" s="86" t="n">
        <x:v>196</x:v>
      </x:c>
      <x:c r="B198" s="88" t="str">
        <x:v>Base</x:v>
      </x:c>
      <x:c r="C198" s="88" t="str">
        <x:v>3M Omega</x:v>
      </x:c>
      <x:c r="D198" s="88" t="n">
        <x:v>3</x:v>
      </x:c>
      <x:c r="E198" s="88" t="n">
        <x:v>3</x:v>
      </x:c>
      <x:c r="F198" s="88" t="str">
        <x:v>Market MCT certificate</x:v>
      </x:c>
      <x:c r="G198" s="88" t="str">
        <x:v>NES 10-pack extractor 20% sale</x:v>
      </x:c>
      <x:c r="H198" s="87" t="n">
        <x:f>'01 Base Costs'!$B$22</x:f>
        <x:v>1200</x:v>
      </x:c>
      <x:c r="I198" s="87" t="n">
        <x:f>0</x:f>
        <x:v>0</x:v>
      </x:c>
      <x:c r="J198" s="87" t="n">
        <x:f>'01 Base Costs'!$B$10</x:f>
        <x:v>2332850000</x:v>
      </x:c>
      <x:c r="K198" s="87" t="n">
        <x:f>D198*(E198-1)*I198</x:f>
        <x:v>0</x:v>
      </x:c>
      <x:c r="L198" s="87" t="n">
        <x:f>D198*(E198-1)*J198</x:f>
        <x:v>13997100000</x:v>
      </x:c>
      <x:c r="M198" s="87" t="n">
        <x:f>0</x:f>
        <x:v>0</x:v>
      </x:c>
      <x:c r="N198" s="87" t="n">
        <x:f>H198+K198+M198</x:f>
        <x:v>1200</x:v>
      </x:c>
      <x:c r="O198" s="87" t="n">
        <x:f>N198*'01 Base Costs'!$B$7+L198</x:f>
        <x:v>19769100000</x:v>
      </x:c>
      <x:c r="P198" s="87" t="n">
        <x:f>D198*E198</x:f>
        <x:v>9</x:v>
      </x:c>
      <x:c r="Q198" s="87" t="n">
        <x:f>P198*'01 Base Costs'!$B$12</x:f>
        <x:v>17496000</x:v>
      </x:c>
      <x:c r="R198" s="87" t="n">
        <x:f>0</x:f>
        <x:v>0</x:v>
      </x:c>
      <x:c r="S198" s="87" t="n">
        <x:f>Q198+R198</x:f>
        <x:v>17496000</x:v>
      </x:c>
      <x:c r="T198" s="141" t="n">
        <x:f>S198/'01 Base Costs'!$B$14</x:f>
        <x:v>34.992</x:v>
      </x:c>
      <x:c r="U198" s="87" t="n">
        <x:f>INT(T198)</x:f>
        <x:v>34</x:v>
      </x:c>
      <x:c r="V198" s="87" t="n">
        <x:f>S198-U198*'01 Base Costs'!$B$14</x:f>
        <x:v>496000</x:v>
      </x:c>
      <x:c r="W198" s="120" t="n">
        <x:f>'01 Base Costs'!$B$19*0.8/10</x:f>
        <x:v>95.2</x:v>
      </x:c>
      <x:c r="X198" s="120" t="n">
        <x:f>0</x:f>
        <x:v>0</x:v>
      </x:c>
      <x:c r="Y198" s="87" t="n">
        <x:f>T198*(W198*'01 Base Costs'!$B$7+X198)</x:f>
        <x:v>16023256703.999998</x:v>
      </x:c>
      <x:c r="Z198" s="87" t="n">
        <x:f>T198*'01 Base Costs'!$B$8</x:f>
        <x:v>26345476799.999996</x:v>
      </x:c>
      <x:c r="AA198" s="87" t="n">
        <x:f>Z198*'01 Base Costs'!$B$11</x:f>
        <x:v>1317273840</x:v>
      </x:c>
      <x:c r="AB198" s="87" t="n">
        <x:f>Z198-AA198</x:f>
        <x:v>25028202959.999996</x:v>
      </x:c>
      <x:c r="AC198" s="87" t="n">
        <x:f>O198+Y198</x:f>
        <x:v>35792356704</x:v>
      </x:c>
      <x:c r="AD198" s="87" t="n">
        <x:f>AB198-AC198</x:f>
        <x:v>-10764153744.000004</x:v>
      </x:c>
      <x:c r="AE198" s="87" t="n">
        <x:f>AD198/D198</x:f>
        <x:v>-3588051248.0000014</x:v>
      </x:c>
      <x:c r="AF198" s="87" t="n">
        <x:f>AD198/P198</x:f>
        <x:v>-1196017082.666667</x:v>
      </x:c>
      <x:c r="AG198" s="87" t="n">
        <x:f>IF(T198=0,0,AC198/T198/(1-'01 Base Costs'!$B$11))</x:f>
        <x:v>1076707960.4360697</x:v>
      </x:c>
      <x:c r="AH198" s="88" t="str">
        <x:f>IF(AD198&gt;0,"PROFIT","LOSS")</x:f>
        <x:v>LOSS</x:v>
      </x:c>
      <x:c r="AI198" s="89" t="str">
        <x:v>Base 3M Omega. MCT certificate bought with ISK market price. 10-pack at 20% off.</x:v>
      </x:c>
    </x:row>
    <x:row r="199">
      <x:c r="A199" s="86" t="n">
        <x:v>197</x:v>
      </x:c>
      <x:c r="B199" s="88" t="str">
        <x:v>Base</x:v>
      </x:c>
      <x:c r="C199" s="88" t="str">
        <x:v>3M Omega</x:v>
      </x:c>
      <x:c r="D199" s="88" t="n">
        <x:v>3</x:v>
      </x:c>
      <x:c r="E199" s="88" t="n">
        <x:v>3</x:v>
      </x:c>
      <x:c r="F199" s="88" t="str">
        <x:v>Market MCT certificate</x:v>
      </x:c>
      <x:c r="G199" s="88" t="str">
        <x:v>NES 50-pack extractor 20% sale</x:v>
      </x:c>
      <x:c r="H199" s="87" t="n">
        <x:f>'01 Base Costs'!$B$22</x:f>
        <x:v>1200</x:v>
      </x:c>
      <x:c r="I199" s="87" t="n">
        <x:f>0</x:f>
        <x:v>0</x:v>
      </x:c>
      <x:c r="J199" s="87" t="n">
        <x:f>'01 Base Costs'!$B$10</x:f>
        <x:v>2332850000</x:v>
      </x:c>
      <x:c r="K199" s="87" t="n">
        <x:f>D199*(E199-1)*I199</x:f>
        <x:v>0</x:v>
      </x:c>
      <x:c r="L199" s="87" t="n">
        <x:f>D199*(E199-1)*J199</x:f>
        <x:v>13997100000</x:v>
      </x:c>
      <x:c r="M199" s="87" t="n">
        <x:f>0</x:f>
        <x:v>0</x:v>
      </x:c>
      <x:c r="N199" s="87" t="n">
        <x:f>H199+K199+M199</x:f>
        <x:v>1200</x:v>
      </x:c>
      <x:c r="O199" s="87" t="n">
        <x:f>N199*'01 Base Costs'!$B$7+L199</x:f>
        <x:v>19769100000</x:v>
      </x:c>
      <x:c r="P199" s="87" t="n">
        <x:f>D199*E199</x:f>
        <x:v>9</x:v>
      </x:c>
      <x:c r="Q199" s="87" t="n">
        <x:f>P199*'01 Base Costs'!$B$12</x:f>
        <x:v>17496000</x:v>
      </x:c>
      <x:c r="R199" s="87" t="n">
        <x:f>0</x:f>
        <x:v>0</x:v>
      </x:c>
      <x:c r="S199" s="87" t="n">
        <x:f>Q199+R199</x:f>
        <x:v>17496000</x:v>
      </x:c>
      <x:c r="T199" s="141" t="n">
        <x:f>S199/'01 Base Costs'!$B$14</x:f>
        <x:v>34.992</x:v>
      </x:c>
      <x:c r="U199" s="87" t="n">
        <x:f>INT(T199)</x:f>
        <x:v>34</x:v>
      </x:c>
      <x:c r="V199" s="87" t="n">
        <x:f>S199-U199*'01 Base Costs'!$B$14</x:f>
        <x:v>496000</x:v>
      </x:c>
      <x:c r="W199" s="120" t="n">
        <x:f>'01 Base Costs'!$B$20*0.8/50</x:f>
        <x:v>89.6</x:v>
      </x:c>
      <x:c r="X199" s="120" t="n">
        <x:f>0</x:f>
        <x:v>0</x:v>
      </x:c>
      <x:c r="Y199" s="87" t="n">
        <x:f>T199*(W199*'01 Base Costs'!$B$7+X199)</x:f>
        <x:v>15080712191.999998</x:v>
      </x:c>
      <x:c r="Z199" s="87" t="n">
        <x:f>T199*'01 Base Costs'!$B$8</x:f>
        <x:v>26345476799.999996</x:v>
      </x:c>
      <x:c r="AA199" s="87" t="n">
        <x:f>Z199*'01 Base Costs'!$B$11</x:f>
        <x:v>1317273840</x:v>
      </x:c>
      <x:c r="AB199" s="87" t="n">
        <x:f>Z199-AA199</x:f>
        <x:v>25028202959.999996</x:v>
      </x:c>
      <x:c r="AC199" s="87" t="n">
        <x:f>O199+Y199</x:f>
        <x:v>34849812192</x:v>
      </x:c>
      <x:c r="AD199" s="87" t="n">
        <x:f>AB199-AC199</x:f>
        <x:v>-9821609232.000004</x:v>
      </x:c>
      <x:c r="AE199" s="87" t="n">
        <x:f>AD199/D199</x:f>
        <x:v>-3273869744.0000014</x:v>
      </x:c>
      <x:c r="AF199" s="87" t="n">
        <x:f>AD199/P199</x:f>
        <x:v>-1091289914.666667</x:v>
      </x:c>
      <x:c r="AG199" s="87" t="n">
        <x:f>IF(T199=0,0,AC199/T199/(1-'01 Base Costs'!$B$11))</x:f>
        <x:v>1048354276.2255435</x:v>
      </x:c>
      <x:c r="AH199" s="88" t="str">
        <x:f>IF(AD199&gt;0,"PROFIT","LOSS")</x:f>
        <x:v>LOSS</x:v>
      </x:c>
      <x:c r="AI199" s="89" t="str">
        <x:v>Base 3M Omega. MCT certificate bought with ISK market price. 50-pack at 20% off.</x:v>
      </x:c>
    </x:row>
    <x:row r="200">
      <x:c r="A200" s="86" t="n">
        <x:v>198</x:v>
      </x:c>
      <x:c r="B200" s="88" t="str">
        <x:v>Base</x:v>
      </x:c>
      <x:c r="C200" s="88" t="str">
        <x:v>3M Omega</x:v>
      </x:c>
      <x:c r="D200" s="88" t="n">
        <x:v>3</x:v>
      </x:c>
      <x:c r="E200" s="88" t="n">
        <x:v>3</x:v>
      </x:c>
      <x:c r="F200" s="88" t="str">
        <x:v>Market MCT certificate</x:v>
      </x:c>
      <x:c r="G200" s="88" t="str">
        <x:v>Market Skill Extractor</x:v>
      </x:c>
      <x:c r="H200" s="87" t="n">
        <x:f>'01 Base Costs'!$B$22</x:f>
        <x:v>1200</x:v>
      </x:c>
      <x:c r="I200" s="87" t="n">
        <x:f>0</x:f>
        <x:v>0</x:v>
      </x:c>
      <x:c r="J200" s="87" t="n">
        <x:f>'01 Base Costs'!$B$10</x:f>
        <x:v>2332850000</x:v>
      </x:c>
      <x:c r="K200" s="87" t="n">
        <x:f>D200*(E200-1)*I200</x:f>
        <x:v>0</x:v>
      </x:c>
      <x:c r="L200" s="87" t="n">
        <x:f>D200*(E200-1)*J200</x:f>
        <x:v>13997100000</x:v>
      </x:c>
      <x:c r="M200" s="87" t="n">
        <x:f>0</x:f>
        <x:v>0</x:v>
      </x:c>
      <x:c r="N200" s="87" t="n">
        <x:f>H200+K200+M200</x:f>
        <x:v>1200</x:v>
      </x:c>
      <x:c r="O200" s="87" t="n">
        <x:f>N200*'01 Base Costs'!$B$7+L200</x:f>
        <x:v>19769100000</x:v>
      </x:c>
      <x:c r="P200" s="87" t="n">
        <x:f>D200*E200</x:f>
        <x:v>9</x:v>
      </x:c>
      <x:c r="Q200" s="87" t="n">
        <x:f>P200*'01 Base Costs'!$B$12</x:f>
        <x:v>17496000</x:v>
      </x:c>
      <x:c r="R200" s="87" t="n">
        <x:f>0</x:f>
        <x:v>0</x:v>
      </x:c>
      <x:c r="S200" s="87" t="n">
        <x:f>Q200+R200</x:f>
        <x:v>17496000</x:v>
      </x:c>
      <x:c r="T200" s="141" t="n">
        <x:f>S200/'01 Base Costs'!$B$14</x:f>
        <x:v>34.992</x:v>
      </x:c>
      <x:c r="U200" s="87" t="n">
        <x:f>INT(T200)</x:f>
        <x:v>34</x:v>
      </x:c>
      <x:c r="V200" s="87" t="n">
        <x:f>S200-U200*'01 Base Costs'!$B$14</x:f>
        <x:v>496000</x:v>
      </x:c>
      <x:c r="W200" s="120" t="n">
        <x:f>0</x:f>
        <x:v>0</x:v>
      </x:c>
      <x:c r="X200" s="120" t="n">
        <x:f>'01 Base Costs'!$B$9</x:f>
        <x:v>463500000</x:v>
      </x:c>
      <x:c r="Y200" s="87" t="n">
        <x:f>T200*(W200*'01 Base Costs'!$B$7+X200)</x:f>
        <x:v>16218791999.999998</x:v>
      </x:c>
      <x:c r="Z200" s="87" t="n">
        <x:f>T200*'01 Base Costs'!$B$8</x:f>
        <x:v>26345476799.999996</x:v>
      </x:c>
      <x:c r="AA200" s="87" t="n">
        <x:f>Z200*'01 Base Costs'!$B$11</x:f>
        <x:v>1317273840</x:v>
      </x:c>
      <x:c r="AB200" s="87" t="n">
        <x:f>Z200-AA200</x:f>
        <x:v>25028202959.999996</x:v>
      </x:c>
      <x:c r="AC200" s="87" t="n">
        <x:f>O200+Y200</x:f>
        <x:v>35987892000</x:v>
      </x:c>
      <x:c r="AD200" s="87" t="n">
        <x:f>AB200-AC200</x:f>
        <x:v>-10959689040.000004</x:v>
      </x:c>
      <x:c r="AE200" s="87" t="n">
        <x:f>AD200/D200</x:f>
        <x:v>-3653229680.0000014</x:v>
      </x:c>
      <x:c r="AF200" s="87" t="n">
        <x:f>AD200/P200</x:f>
        <x:v>-1217743226.666667</x:v>
      </x:c>
      <x:c r="AG200" s="87" t="n">
        <x:f>IF(T200=0,0,AC200/T200/(1-'01 Base Costs'!$B$11))</x:f>
        <x:v>1082590065.6992276</x:v>
      </x:c>
      <x:c r="AH200" s="88" t="str">
        <x:f>IF(AD200&gt;0,"PROFIT","LOSS")</x:f>
        <x:v>LOSS</x:v>
      </x:c>
      <x:c r="AI200" s="89" t="str">
        <x:v>Base 3M Omega. MCT certificate bought with ISK market price. Extractor bought on market with ISK.</x:v>
      </x:c>
    </x:row>
    <x:row r="201">
      <x:c r="A201" s="86" t="n">
        <x:v>199</x:v>
      </x:c>
      <x:c r="B201" s="88" t="str">
        <x:v>Base</x:v>
      </x:c>
      <x:c r="C201" s="88" t="str">
        <x:v>6M Omega</x:v>
      </x:c>
      <x:c r="D201" s="88" t="n">
        <x:v>6</x:v>
      </x:c>
      <x:c r="E201" s="88" t="n">
        <x:v>1</x:v>
      </x:c>
      <x:c r="F201" s="88" t="str">
        <x:v>No MCT</x:v>
      </x:c>
      <x:c r="G201" s="88" t="str">
        <x:v>NES single extractor</x:v>
      </x:c>
      <x:c r="H201" s="87" t="n">
        <x:f>'01 Base Costs'!$B$23</x:f>
        <x:v>2100</x:v>
      </x:c>
      <x:c r="I201" s="87" t="n">
        <x:f>0</x:f>
        <x:v>0</x:v>
      </x:c>
      <x:c r="J201" s="87" t="n">
        <x:f>0</x:f>
        <x:v>0</x:v>
      </x:c>
      <x:c r="K201" s="87" t="n">
        <x:f>D201*(E201-1)*I201</x:f>
        <x:v>0</x:v>
      </x:c>
      <x:c r="L201" s="87" t="n">
        <x:f>D201*(E201-1)*J201</x:f>
        <x:v>0</x:v>
      </x:c>
      <x:c r="M201" s="87" t="n">
        <x:f>0</x:f>
        <x:v>0</x:v>
      </x:c>
      <x:c r="N201" s="87" t="n">
        <x:f>H201+K201+M201</x:f>
        <x:v>2100</x:v>
      </x:c>
      <x:c r="O201" s="87" t="n">
        <x:f>N201*'01 Base Costs'!$B$7+L201</x:f>
        <x:v>10101000000</x:v>
      </x:c>
      <x:c r="P201" s="87" t="n">
        <x:f>D201*E201</x:f>
        <x:v>6</x:v>
      </x:c>
      <x:c r="Q201" s="87" t="n">
        <x:f>P201*'01 Base Costs'!$B$12</x:f>
        <x:v>11664000</x:v>
      </x:c>
      <x:c r="R201" s="87" t="n">
        <x:f>0</x:f>
        <x:v>0</x:v>
      </x:c>
      <x:c r="S201" s="87" t="n">
        <x:f>Q201+R201</x:f>
        <x:v>11664000</x:v>
      </x:c>
      <x:c r="T201" s="141" t="n">
        <x:f>S201/'01 Base Costs'!$B$14</x:f>
        <x:v>23.328</x:v>
      </x:c>
      <x:c r="U201" s="87" t="n">
        <x:f>INT(T201)</x:f>
        <x:v>23</x:v>
      </x:c>
      <x:c r="V201" s="87" t="n">
        <x:f>S201-U201*'01 Base Costs'!$B$14</x:f>
        <x:v>164000</x:v>
      </x:c>
      <x:c r="W201" s="120" t="n">
        <x:f>'01 Base Costs'!$B$17</x:f>
        <x:v>140</x:v>
      </x:c>
      <x:c r="X201" s="120" t="n">
        <x:f>0</x:f>
        <x:v>0</x:v>
      </x:c>
      <x:c r="Y201" s="87" t="n">
        <x:f>T201*(W201*'01 Base Costs'!$B$7+X201)</x:f>
        <x:v>15709075200</x:v>
      </x:c>
      <x:c r="Z201" s="87" t="n">
        <x:f>T201*'01 Base Costs'!$B$8</x:f>
        <x:v>17563651200</x:v>
      </x:c>
      <x:c r="AA201" s="87" t="n">
        <x:f>Z201*'01 Base Costs'!$B$11</x:f>
        <x:v>878182560</x:v>
      </x:c>
      <x:c r="AB201" s="87" t="n">
        <x:f>Z201-AA201</x:f>
        <x:v>16685468640</x:v>
      </x:c>
      <x:c r="AC201" s="87" t="n">
        <x:f>O201+Y201</x:f>
        <x:v>25810075200</x:v>
      </x:c>
      <x:c r="AD201" s="87" t="n">
        <x:f>AB201-AC201</x:f>
        <x:v>-9124606560</x:v>
      </x:c>
      <x:c r="AE201" s="87" t="n">
        <x:f>AD201/D201</x:f>
        <x:v>-1520767760</x:v>
      </x:c>
      <x:c r="AF201" s="87" t="n">
        <x:f>AD201/P201</x:f>
        <x:v>-1520767760</x:v>
      </x:c>
      <x:c r="AG201" s="87" t="n">
        <x:f>IF(T201=0,0,AC201/T201/(1-'01 Base Costs'!$B$11))</x:f>
        <x:v>1164630495.9930692</x:v>
      </x:c>
      <x:c r="AH201" s="88" t="str">
        <x:f>IF(AD201&gt;0,"PROFIT","LOSS")</x:f>
        <x:v>LOSS</x:v>
      </x:c>
      <x:c r="AI201" s="89" t="str">
        <x:v>Base 6M Omega. One training queue only. Base single extractor.</x:v>
      </x:c>
    </x:row>
    <x:row r="202">
      <x:c r="A202" s="86" t="n">
        <x:v>200</x:v>
      </x:c>
      <x:c r="B202" s="88" t="str">
        <x:v>Base</x:v>
      </x:c>
      <x:c r="C202" s="88" t="str">
        <x:v>6M Omega</x:v>
      </x:c>
      <x:c r="D202" s="88" t="n">
        <x:v>6</x:v>
      </x:c>
      <x:c r="E202" s="88" t="n">
        <x:v>1</x:v>
      </x:c>
      <x:c r="F202" s="88" t="str">
        <x:v>No MCT</x:v>
      </x:c>
      <x:c r="G202" s="88" t="str">
        <x:v>NES 5-pack extractor</x:v>
      </x:c>
      <x:c r="H202" s="87" t="n">
        <x:f>'01 Base Costs'!$B$23</x:f>
        <x:v>2100</x:v>
      </x:c>
      <x:c r="I202" s="87" t="n">
        <x:f>0</x:f>
        <x:v>0</x:v>
      </x:c>
      <x:c r="J202" s="87" t="n">
        <x:f>0</x:f>
        <x:v>0</x:v>
      </x:c>
      <x:c r="K202" s="87" t="n">
        <x:f>D202*(E202-1)*I202</x:f>
        <x:v>0</x:v>
      </x:c>
      <x:c r="L202" s="87" t="n">
        <x:f>D202*(E202-1)*J202</x:f>
        <x:v>0</x:v>
      </x:c>
      <x:c r="M202" s="87" t="n">
        <x:f>0</x:f>
        <x:v>0</x:v>
      </x:c>
      <x:c r="N202" s="87" t="n">
        <x:f>H202+K202+M202</x:f>
        <x:v>2100</x:v>
      </x:c>
      <x:c r="O202" s="87" t="n">
        <x:f>N202*'01 Base Costs'!$B$7+L202</x:f>
        <x:v>10101000000</x:v>
      </x:c>
      <x:c r="P202" s="87" t="n">
        <x:f>D202*E202</x:f>
        <x:v>6</x:v>
      </x:c>
      <x:c r="Q202" s="87" t="n">
        <x:f>P202*'01 Base Costs'!$B$12</x:f>
        <x:v>11664000</x:v>
      </x:c>
      <x:c r="R202" s="87" t="n">
        <x:f>0</x:f>
        <x:v>0</x:v>
      </x:c>
      <x:c r="S202" s="87" t="n">
        <x:f>Q202+R202</x:f>
        <x:v>11664000</x:v>
      </x:c>
      <x:c r="T202" s="141" t="n">
        <x:f>S202/'01 Base Costs'!$B$14</x:f>
        <x:v>23.328</x:v>
      </x:c>
      <x:c r="U202" s="87" t="n">
        <x:f>INT(T202)</x:f>
        <x:v>23</x:v>
      </x:c>
      <x:c r="V202" s="87" t="n">
        <x:f>S202-U202*'01 Base Costs'!$B$14</x:f>
        <x:v>164000</x:v>
      </x:c>
      <x:c r="W202" s="120" t="n">
        <x:f>'01 Base Costs'!$B$18/5</x:f>
        <x:v>126</x:v>
      </x:c>
      <x:c r="X202" s="120" t="n">
        <x:f>0</x:f>
        <x:v>0</x:v>
      </x:c>
      <x:c r="Y202" s="87" t="n">
        <x:f>T202*(W202*'01 Base Costs'!$B$7+X202)</x:f>
        <x:v>14138167680</x:v>
      </x:c>
      <x:c r="Z202" s="87" t="n">
        <x:f>T202*'01 Base Costs'!$B$8</x:f>
        <x:v>17563651200</x:v>
      </x:c>
      <x:c r="AA202" s="87" t="n">
        <x:f>Z202*'01 Base Costs'!$B$11</x:f>
        <x:v>878182560</x:v>
      </x:c>
      <x:c r="AB202" s="87" t="n">
        <x:f>Z202-AA202</x:f>
        <x:v>16685468640</x:v>
      </x:c>
      <x:c r="AC202" s="87" t="n">
        <x:f>O202+Y202</x:f>
        <x:v>24239167680</x:v>
      </x:c>
      <x:c r="AD202" s="87" t="n">
        <x:f>AB202-AC202</x:f>
        <x:v>-7553699040</x:v>
      </x:c>
      <x:c r="AE202" s="87" t="n">
        <x:f>AD202/D202</x:f>
        <x:v>-1258949840</x:v>
      </x:c>
      <x:c r="AF202" s="87" t="n">
        <x:f>AD202/P202</x:f>
        <x:v>-1258949840</x:v>
      </x:c>
      <x:c r="AG202" s="87" t="n">
        <x:f>IF(T202=0,0,AC202/T202/(1-'01 Base Costs'!$B$11))</x:f>
        <x:v>1093746285.4667532</x:v>
      </x:c>
      <x:c r="AH202" s="88" t="str">
        <x:f>IF(AD202&gt;0,"PROFIT","LOSS")</x:f>
        <x:v>LOSS</x:v>
      </x:c>
      <x:c r="AI202" s="89" t="str">
        <x:v>Base 6M Omega. One training queue only. Base 5-pack average.</x:v>
      </x:c>
    </x:row>
    <x:row r="203">
      <x:c r="A203" s="86" t="n">
        <x:v>201</x:v>
      </x:c>
      <x:c r="B203" s="88" t="str">
        <x:v>Base</x:v>
      </x:c>
      <x:c r="C203" s="88" t="str">
        <x:v>6M Omega</x:v>
      </x:c>
      <x:c r="D203" s="88" t="n">
        <x:v>6</x:v>
      </x:c>
      <x:c r="E203" s="88" t="n">
        <x:v>1</x:v>
      </x:c>
      <x:c r="F203" s="88" t="str">
        <x:v>No MCT</x:v>
      </x:c>
      <x:c r="G203" s="88" t="str">
        <x:v>NES 10-pack extractor</x:v>
      </x:c>
      <x:c r="H203" s="87" t="n">
        <x:f>'01 Base Costs'!$B$23</x:f>
        <x:v>2100</x:v>
      </x:c>
      <x:c r="I203" s="87" t="n">
        <x:f>0</x:f>
        <x:v>0</x:v>
      </x:c>
      <x:c r="J203" s="87" t="n">
        <x:f>0</x:f>
        <x:v>0</x:v>
      </x:c>
      <x:c r="K203" s="87" t="n">
        <x:f>D203*(E203-1)*I203</x:f>
        <x:v>0</x:v>
      </x:c>
      <x:c r="L203" s="87" t="n">
        <x:f>D203*(E203-1)*J203</x:f>
        <x:v>0</x:v>
      </x:c>
      <x:c r="M203" s="87" t="n">
        <x:f>0</x:f>
        <x:v>0</x:v>
      </x:c>
      <x:c r="N203" s="87" t="n">
        <x:f>H203+K203+M203</x:f>
        <x:v>2100</x:v>
      </x:c>
      <x:c r="O203" s="87" t="n">
        <x:f>N203*'01 Base Costs'!$B$7+L203</x:f>
        <x:v>10101000000</x:v>
      </x:c>
      <x:c r="P203" s="87" t="n">
        <x:f>D203*E203</x:f>
        <x:v>6</x:v>
      </x:c>
      <x:c r="Q203" s="87" t="n">
        <x:f>P203*'01 Base Costs'!$B$12</x:f>
        <x:v>11664000</x:v>
      </x:c>
      <x:c r="R203" s="87" t="n">
        <x:f>0</x:f>
        <x:v>0</x:v>
      </x:c>
      <x:c r="S203" s="87" t="n">
        <x:f>Q203+R203</x:f>
        <x:v>11664000</x:v>
      </x:c>
      <x:c r="T203" s="141" t="n">
        <x:f>S203/'01 Base Costs'!$B$14</x:f>
        <x:v>23.328</x:v>
      </x:c>
      <x:c r="U203" s="87" t="n">
        <x:f>INT(T203)</x:f>
        <x:v>23</x:v>
      </x:c>
      <x:c r="V203" s="87" t="n">
        <x:f>S203-U203*'01 Base Costs'!$B$14</x:f>
        <x:v>164000</x:v>
      </x:c>
      <x:c r="W203" s="120" t="n">
        <x:f>'01 Base Costs'!$B$19/10</x:f>
        <x:v>119</x:v>
      </x:c>
      <x:c r="X203" s="120" t="n">
        <x:f>0</x:f>
        <x:v>0</x:v>
      </x:c>
      <x:c r="Y203" s="87" t="n">
        <x:f>T203*(W203*'01 Base Costs'!$B$7+X203)</x:f>
        <x:v>13352713920</x:v>
      </x:c>
      <x:c r="Z203" s="87" t="n">
        <x:f>T203*'01 Base Costs'!$B$8</x:f>
        <x:v>17563651200</x:v>
      </x:c>
      <x:c r="AA203" s="87" t="n">
        <x:f>Z203*'01 Base Costs'!$B$11</x:f>
        <x:v>878182560</x:v>
      </x:c>
      <x:c r="AB203" s="87" t="n">
        <x:f>Z203-AA203</x:f>
        <x:v>16685468640</x:v>
      </x:c>
      <x:c r="AC203" s="87" t="n">
        <x:f>O203+Y203</x:f>
        <x:v>23453713920</x:v>
      </x:c>
      <x:c r="AD203" s="87" t="n">
        <x:f>AB203-AC203</x:f>
        <x:v>-6768245280</x:v>
      </x:c>
      <x:c r="AE203" s="87" t="n">
        <x:f>AD203/D203</x:f>
        <x:v>-1128040880</x:v>
      </x:c>
      <x:c r="AF203" s="87" t="n">
        <x:f>AD203/P203</x:f>
        <x:v>-1128040880</x:v>
      </x:c>
      <x:c r="AG203" s="87" t="n">
        <x:f>IF(T203=0,0,AC203/T203/(1-'01 Base Costs'!$B$11))</x:f>
        <x:v>1058304180.2035955</x:v>
      </x:c>
      <x:c r="AH203" s="88" t="str">
        <x:f>IF(AD203&gt;0,"PROFIT","LOSS")</x:f>
        <x:v>LOSS</x:v>
      </x:c>
      <x:c r="AI203" s="89" t="str">
        <x:v>Base 6M Omega. One training queue only. Base 10-pack average.</x:v>
      </x:c>
    </x:row>
    <x:row r="204">
      <x:c r="A204" s="86" t="n">
        <x:v>202</x:v>
      </x:c>
      <x:c r="B204" s="88" t="str">
        <x:v>Base</x:v>
      </x:c>
      <x:c r="C204" s="88" t="str">
        <x:v>6M Omega</x:v>
      </x:c>
      <x:c r="D204" s="88" t="n">
        <x:v>6</x:v>
      </x:c>
      <x:c r="E204" s="88" t="n">
        <x:v>1</x:v>
      </x:c>
      <x:c r="F204" s="88" t="str">
        <x:v>No MCT</x:v>
      </x:c>
      <x:c r="G204" s="88" t="str">
        <x:v>NES 50-pack extractor</x:v>
      </x:c>
      <x:c r="H204" s="87" t="n">
        <x:f>'01 Base Costs'!$B$23</x:f>
        <x:v>2100</x:v>
      </x:c>
      <x:c r="I204" s="87" t="n">
        <x:f>0</x:f>
        <x:v>0</x:v>
      </x:c>
      <x:c r="J204" s="87" t="n">
        <x:f>0</x:f>
        <x:v>0</x:v>
      </x:c>
      <x:c r="K204" s="87" t="n">
        <x:f>D204*(E204-1)*I204</x:f>
        <x:v>0</x:v>
      </x:c>
      <x:c r="L204" s="87" t="n">
        <x:f>D204*(E204-1)*J204</x:f>
        <x:v>0</x:v>
      </x:c>
      <x:c r="M204" s="87" t="n">
        <x:f>0</x:f>
        <x:v>0</x:v>
      </x:c>
      <x:c r="N204" s="87" t="n">
        <x:f>H204+K204+M204</x:f>
        <x:v>2100</x:v>
      </x:c>
      <x:c r="O204" s="87" t="n">
        <x:f>N204*'01 Base Costs'!$B$7+L204</x:f>
        <x:v>10101000000</x:v>
      </x:c>
      <x:c r="P204" s="87" t="n">
        <x:f>D204*E204</x:f>
        <x:v>6</x:v>
      </x:c>
      <x:c r="Q204" s="87" t="n">
        <x:f>P204*'01 Base Costs'!$B$12</x:f>
        <x:v>11664000</x:v>
      </x:c>
      <x:c r="R204" s="87" t="n">
        <x:f>0</x:f>
        <x:v>0</x:v>
      </x:c>
      <x:c r="S204" s="87" t="n">
        <x:f>Q204+R204</x:f>
        <x:v>11664000</x:v>
      </x:c>
      <x:c r="T204" s="141" t="n">
        <x:f>S204/'01 Base Costs'!$B$14</x:f>
        <x:v>23.328</x:v>
      </x:c>
      <x:c r="U204" s="87" t="n">
        <x:f>INT(T204)</x:f>
        <x:v>23</x:v>
      </x:c>
      <x:c r="V204" s="87" t="n">
        <x:f>S204-U204*'01 Base Costs'!$B$14</x:f>
        <x:v>164000</x:v>
      </x:c>
      <x:c r="W204" s="120" t="n">
        <x:f>'01 Base Costs'!$B$20/50</x:f>
        <x:v>112</x:v>
      </x:c>
      <x:c r="X204" s="120" t="n">
        <x:f>0</x:f>
        <x:v>0</x:v>
      </x:c>
      <x:c r="Y204" s="87" t="n">
        <x:f>T204*(W204*'01 Base Costs'!$B$7+X204)</x:f>
        <x:v>12567260160</x:v>
      </x:c>
      <x:c r="Z204" s="87" t="n">
        <x:f>T204*'01 Base Costs'!$B$8</x:f>
        <x:v>17563651200</x:v>
      </x:c>
      <x:c r="AA204" s="87" t="n">
        <x:f>Z204*'01 Base Costs'!$B$11</x:f>
        <x:v>878182560</x:v>
      </x:c>
      <x:c r="AB204" s="87" t="n">
        <x:f>Z204-AA204</x:f>
        <x:v>16685468640</x:v>
      </x:c>
      <x:c r="AC204" s="87" t="n">
        <x:f>O204+Y204</x:f>
        <x:v>22668260160</x:v>
      </x:c>
      <x:c r="AD204" s="87" t="n">
        <x:f>AB204-AC204</x:f>
        <x:v>-5982791520</x:v>
      </x:c>
      <x:c r="AE204" s="87" t="n">
        <x:f>AD204/D204</x:f>
        <x:v>-997131920</x:v>
      </x:c>
      <x:c r="AF204" s="87" t="n">
        <x:f>AD204/P204</x:f>
        <x:v>-997131920</x:v>
      </x:c>
      <x:c r="AG204" s="87" t="n">
        <x:f>IF(T204=0,0,AC204/T204/(1-'01 Base Costs'!$B$11))</x:f>
        <x:v>1022862074.9404376</x:v>
      </x:c>
      <x:c r="AH204" s="88" t="str">
        <x:f>IF(AD204&gt;0,"PROFIT","LOSS")</x:f>
        <x:v>LOSS</x:v>
      </x:c>
      <x:c r="AI204" s="89" t="str">
        <x:v>Base 6M Omega. One training queue only. Base 50-pack average.</x:v>
      </x:c>
    </x:row>
    <x:row r="205">
      <x:c r="A205" s="86" t="n">
        <x:v>203</x:v>
      </x:c>
      <x:c r="B205" s="88" t="str">
        <x:v>Base</x:v>
      </x:c>
      <x:c r="C205" s="88" t="str">
        <x:v>6M Omega</x:v>
      </x:c>
      <x:c r="D205" s="88" t="n">
        <x:v>6</x:v>
      </x:c>
      <x:c r="E205" s="88" t="n">
        <x:v>1</x:v>
      </x:c>
      <x:c r="F205" s="88" t="str">
        <x:v>No MCT</x:v>
      </x:c>
      <x:c r="G205" s="88" t="str">
        <x:v>NES 3-for-2 extractor sale</x:v>
      </x:c>
      <x:c r="H205" s="87" t="n">
        <x:f>'01 Base Costs'!$B$23</x:f>
        <x:v>2100</x:v>
      </x:c>
      <x:c r="I205" s="87" t="n">
        <x:f>0</x:f>
        <x:v>0</x:v>
      </x:c>
      <x:c r="J205" s="87" t="n">
        <x:f>0</x:f>
        <x:v>0</x:v>
      </x:c>
      <x:c r="K205" s="87" t="n">
        <x:f>D205*(E205-1)*I205</x:f>
        <x:v>0</x:v>
      </x:c>
      <x:c r="L205" s="87" t="n">
        <x:f>D205*(E205-1)*J205</x:f>
        <x:v>0</x:v>
      </x:c>
      <x:c r="M205" s="87" t="n">
        <x:f>0</x:f>
        <x:v>0</x:v>
      </x:c>
      <x:c r="N205" s="87" t="n">
        <x:f>H205+K205+M205</x:f>
        <x:v>2100</x:v>
      </x:c>
      <x:c r="O205" s="87" t="n">
        <x:f>N205*'01 Base Costs'!$B$7+L205</x:f>
        <x:v>10101000000</x:v>
      </x:c>
      <x:c r="P205" s="87" t="n">
        <x:f>D205*E205</x:f>
        <x:v>6</x:v>
      </x:c>
      <x:c r="Q205" s="87" t="n">
        <x:f>P205*'01 Base Costs'!$B$12</x:f>
        <x:v>11664000</x:v>
      </x:c>
      <x:c r="R205" s="87" t="n">
        <x:f>0</x:f>
        <x:v>0</x:v>
      </x:c>
      <x:c r="S205" s="87" t="n">
        <x:f>Q205+R205</x:f>
        <x:v>11664000</x:v>
      </x:c>
      <x:c r="T205" s="141" t="n">
        <x:f>S205/'01 Base Costs'!$B$14</x:f>
        <x:v>23.328</x:v>
      </x:c>
      <x:c r="U205" s="87" t="n">
        <x:f>INT(T205)</x:f>
        <x:v>23</x:v>
      </x:c>
      <x:c r="V205" s="87" t="n">
        <x:f>S205-U205*'01 Base Costs'!$B$14</x:f>
        <x:v>164000</x:v>
      </x:c>
      <x:c r="W205" s="120" t="n">
        <x:f>'01 Base Costs'!$B$17*2/3</x:f>
        <x:v>93.33333333333333</x:v>
      </x:c>
      <x:c r="X205" s="120" t="n">
        <x:f>0</x:f>
        <x:v>0</x:v>
      </x:c>
      <x:c r="Y205" s="87" t="n">
        <x:f>T205*(W205*'01 Base Costs'!$B$7+X205)</x:f>
        <x:v>10472716800</x:v>
      </x:c>
      <x:c r="Z205" s="87" t="n">
        <x:f>T205*'01 Base Costs'!$B$8</x:f>
        <x:v>17563651200</x:v>
      </x:c>
      <x:c r="AA205" s="87" t="n">
        <x:f>Z205*'01 Base Costs'!$B$11</x:f>
        <x:v>878182560</x:v>
      </x:c>
      <x:c r="AB205" s="87" t="n">
        <x:f>Z205-AA205</x:f>
        <x:v>16685468640</x:v>
      </x:c>
      <x:c r="AC205" s="87" t="n">
        <x:f>O205+Y205</x:f>
        <x:v>20573716800</x:v>
      </x:c>
      <x:c r="AD205" s="87" t="n">
        <x:f>AB205-AC205</x:f>
        <x:v>-3888248160</x:v>
      </x:c>
      <x:c r="AE205" s="87" t="n">
        <x:f>AD205/D205</x:f>
        <x:v>-648041360</x:v>
      </x:c>
      <x:c r="AF205" s="87" t="n">
        <x:f>AD205/P205</x:f>
        <x:v>-648041360</x:v>
      </x:c>
      <x:c r="AG205" s="87" t="n">
        <x:f>IF(T205=0,0,AC205/T205/(1-'01 Base Costs'!$B$11))</x:f>
        <x:v>928349794.2386832</x:v>
      </x:c>
      <x:c r="AH205" s="88" t="str">
        <x:f>IF(AD205&gt;0,"PROFIT","LOSS")</x:f>
        <x:v>LOSS</x:v>
      </x:c>
      <x:c r="AI205" s="89" t="str">
        <x:v>Base 6M Omega. One training queue only. Extractor 3-for-2 sale.</x:v>
      </x:c>
    </x:row>
    <x:row r="206">
      <x:c r="A206" s="86" t="n">
        <x:v>204</x:v>
      </x:c>
      <x:c r="B206" s="88" t="str">
        <x:v>Base</x:v>
      </x:c>
      <x:c r="C206" s="88" t="str">
        <x:v>6M Omega</x:v>
      </x:c>
      <x:c r="D206" s="88" t="n">
        <x:v>6</x:v>
      </x:c>
      <x:c r="E206" s="88" t="n">
        <x:v>1</x:v>
      </x:c>
      <x:c r="F206" s="88" t="str">
        <x:v>No MCT</x:v>
      </x:c>
      <x:c r="G206" s="88" t="str">
        <x:v>NES 2-for-1 extractor sale</x:v>
      </x:c>
      <x:c r="H206" s="87" t="n">
        <x:f>'01 Base Costs'!$B$23</x:f>
        <x:v>2100</x:v>
      </x:c>
      <x:c r="I206" s="87" t="n">
        <x:f>0</x:f>
        <x:v>0</x:v>
      </x:c>
      <x:c r="J206" s="87" t="n">
        <x:f>0</x:f>
        <x:v>0</x:v>
      </x:c>
      <x:c r="K206" s="87" t="n">
        <x:f>D206*(E206-1)*I206</x:f>
        <x:v>0</x:v>
      </x:c>
      <x:c r="L206" s="87" t="n">
        <x:f>D206*(E206-1)*J206</x:f>
        <x:v>0</x:v>
      </x:c>
      <x:c r="M206" s="87" t="n">
        <x:f>0</x:f>
        <x:v>0</x:v>
      </x:c>
      <x:c r="N206" s="87" t="n">
        <x:f>H206+K206+M206</x:f>
        <x:v>2100</x:v>
      </x:c>
      <x:c r="O206" s="87" t="n">
        <x:f>N206*'01 Base Costs'!$B$7+L206</x:f>
        <x:v>10101000000</x:v>
      </x:c>
      <x:c r="P206" s="87" t="n">
        <x:f>D206*E206</x:f>
        <x:v>6</x:v>
      </x:c>
      <x:c r="Q206" s="87" t="n">
        <x:f>P206*'01 Base Costs'!$B$12</x:f>
        <x:v>11664000</x:v>
      </x:c>
      <x:c r="R206" s="87" t="n">
        <x:f>0</x:f>
        <x:v>0</x:v>
      </x:c>
      <x:c r="S206" s="87" t="n">
        <x:f>Q206+R206</x:f>
        <x:v>11664000</x:v>
      </x:c>
      <x:c r="T206" s="141" t="n">
        <x:f>S206/'01 Base Costs'!$B$14</x:f>
        <x:v>23.328</x:v>
      </x:c>
      <x:c r="U206" s="87" t="n">
        <x:f>INT(T206)</x:f>
        <x:v>23</x:v>
      </x:c>
      <x:c r="V206" s="87" t="n">
        <x:f>S206-U206*'01 Base Costs'!$B$14</x:f>
        <x:v>164000</x:v>
      </x:c>
      <x:c r="W206" s="120" t="n">
        <x:f>'01 Base Costs'!$B$17/2</x:f>
        <x:v>70</x:v>
      </x:c>
      <x:c r="X206" s="120" t="n">
        <x:f>0</x:f>
        <x:v>0</x:v>
      </x:c>
      <x:c r="Y206" s="87" t="n">
        <x:f>T206*(W206*'01 Base Costs'!$B$7+X206)</x:f>
        <x:v>7854537600</x:v>
      </x:c>
      <x:c r="Z206" s="87" t="n">
        <x:f>T206*'01 Base Costs'!$B$8</x:f>
        <x:v>17563651200</x:v>
      </x:c>
      <x:c r="AA206" s="87" t="n">
        <x:f>Z206*'01 Base Costs'!$B$11</x:f>
        <x:v>878182560</x:v>
      </x:c>
      <x:c r="AB206" s="87" t="n">
        <x:f>Z206-AA206</x:f>
        <x:v>16685468640</x:v>
      </x:c>
      <x:c r="AC206" s="87" t="n">
        <x:f>O206+Y206</x:f>
        <x:v>17955537600</x:v>
      </x:c>
      <x:c r="AD206" s="87" t="n">
        <x:f>AB206-AC206</x:f>
        <x:v>-1270068960</x:v>
      </x:c>
      <x:c r="AE206" s="87" t="n">
        <x:f>AD206/D206</x:f>
        <x:v>-211678160</x:v>
      </x:c>
      <x:c r="AF206" s="87" t="n">
        <x:f>AD206/P206</x:f>
        <x:v>-211678160</x:v>
      </x:c>
      <x:c r="AG206" s="87" t="n">
        <x:f>IF(T206=0,0,AC206/T206/(1-'01 Base Costs'!$B$11))</x:f>
        <x:v>810209443.3614901</x:v>
      </x:c>
      <x:c r="AH206" s="88" t="str">
        <x:f>IF(AD206&gt;0,"PROFIT","LOSS")</x:f>
        <x:v>LOSS</x:v>
      </x:c>
      <x:c r="AI206" s="89" t="str">
        <x:v>Base 6M Omega. One training queue only. Extractor 2-for-1 sale.</x:v>
      </x:c>
    </x:row>
    <x:row r="207">
      <x:c r="A207" s="86" t="n">
        <x:v>205</x:v>
      </x:c>
      <x:c r="B207" s="88" t="str">
        <x:v>Base</x:v>
      </x:c>
      <x:c r="C207" s="88" t="str">
        <x:v>6M Omega</x:v>
      </x:c>
      <x:c r="D207" s="88" t="n">
        <x:v>6</x:v>
      </x:c>
      <x:c r="E207" s="88" t="n">
        <x:v>1</x:v>
      </x:c>
      <x:c r="F207" s="88" t="str">
        <x:v>No MCT</x:v>
      </x:c>
      <x:c r="G207" s="88" t="str">
        <x:v>NES 10-pack extractor 20% sale</x:v>
      </x:c>
      <x:c r="H207" s="87" t="n">
        <x:f>'01 Base Costs'!$B$23</x:f>
        <x:v>2100</x:v>
      </x:c>
      <x:c r="I207" s="87" t="n">
        <x:f>0</x:f>
        <x:v>0</x:v>
      </x:c>
      <x:c r="J207" s="87" t="n">
        <x:f>0</x:f>
        <x:v>0</x:v>
      </x:c>
      <x:c r="K207" s="87" t="n">
        <x:f>D207*(E207-1)*I207</x:f>
        <x:v>0</x:v>
      </x:c>
      <x:c r="L207" s="87" t="n">
        <x:f>D207*(E207-1)*J207</x:f>
        <x:v>0</x:v>
      </x:c>
      <x:c r="M207" s="87" t="n">
        <x:f>0</x:f>
        <x:v>0</x:v>
      </x:c>
      <x:c r="N207" s="87" t="n">
        <x:f>H207+K207+M207</x:f>
        <x:v>2100</x:v>
      </x:c>
      <x:c r="O207" s="87" t="n">
        <x:f>N207*'01 Base Costs'!$B$7+L207</x:f>
        <x:v>10101000000</x:v>
      </x:c>
      <x:c r="P207" s="87" t="n">
        <x:f>D207*E207</x:f>
        <x:v>6</x:v>
      </x:c>
      <x:c r="Q207" s="87" t="n">
        <x:f>P207*'01 Base Costs'!$B$12</x:f>
        <x:v>11664000</x:v>
      </x:c>
      <x:c r="R207" s="87" t="n">
        <x:f>0</x:f>
        <x:v>0</x:v>
      </x:c>
      <x:c r="S207" s="87" t="n">
        <x:f>Q207+R207</x:f>
        <x:v>11664000</x:v>
      </x:c>
      <x:c r="T207" s="141" t="n">
        <x:f>S207/'01 Base Costs'!$B$14</x:f>
        <x:v>23.328</x:v>
      </x:c>
      <x:c r="U207" s="87" t="n">
        <x:f>INT(T207)</x:f>
        <x:v>23</x:v>
      </x:c>
      <x:c r="V207" s="87" t="n">
        <x:f>S207-U207*'01 Base Costs'!$B$14</x:f>
        <x:v>164000</x:v>
      </x:c>
      <x:c r="W207" s="120" t="n">
        <x:f>'01 Base Costs'!$B$19*0.8/10</x:f>
        <x:v>95.2</x:v>
      </x:c>
      <x:c r="X207" s="120" t="n">
        <x:f>0</x:f>
        <x:v>0</x:v>
      </x:c>
      <x:c r="Y207" s="87" t="n">
        <x:f>T207*(W207*'01 Base Costs'!$B$7+X207)</x:f>
        <x:v>10682171136</x:v>
      </x:c>
      <x:c r="Z207" s="87" t="n">
        <x:f>T207*'01 Base Costs'!$B$8</x:f>
        <x:v>17563651200</x:v>
      </x:c>
      <x:c r="AA207" s="87" t="n">
        <x:f>Z207*'01 Base Costs'!$B$11</x:f>
        <x:v>878182560</x:v>
      </x:c>
      <x:c r="AB207" s="87" t="n">
        <x:f>Z207-AA207</x:f>
        <x:v>16685468640</x:v>
      </x:c>
      <x:c r="AC207" s="87" t="n">
        <x:f>O207+Y207</x:f>
        <x:v>20783171136</x:v>
      </x:c>
      <x:c r="AD207" s="87" t="n">
        <x:f>AB207-AC207</x:f>
        <x:v>-4097702496</x:v>
      </x:c>
      <x:c r="AE207" s="87" t="n">
        <x:f>AD207/D207</x:f>
        <x:v>-682950416</x:v>
      </x:c>
      <x:c r="AF207" s="87" t="n">
        <x:f>AD207/P207</x:f>
        <x:v>-682950416</x:v>
      </x:c>
      <x:c r="AG207" s="87" t="n">
        <x:f>IF(T207=0,0,AC207/T207/(1-'01 Base Costs'!$B$11))</x:f>
        <x:v>937801022.3088586</x:v>
      </x:c>
      <x:c r="AH207" s="88" t="str">
        <x:f>IF(AD207&gt;0,"PROFIT","LOSS")</x:f>
        <x:v>LOSS</x:v>
      </x:c>
      <x:c r="AI207" s="89" t="str">
        <x:v>Base 6M Omega. One training queue only. 10-pack at 20% off.</x:v>
      </x:c>
    </x:row>
    <x:row r="208">
      <x:c r="A208" s="86" t="n">
        <x:v>206</x:v>
      </x:c>
      <x:c r="B208" s="88" t="str">
        <x:v>Base</x:v>
      </x:c>
      <x:c r="C208" s="88" t="str">
        <x:v>6M Omega</x:v>
      </x:c>
      <x:c r="D208" s="88" t="n">
        <x:v>6</x:v>
      </x:c>
      <x:c r="E208" s="88" t="n">
        <x:v>1</x:v>
      </x:c>
      <x:c r="F208" s="88" t="str">
        <x:v>No MCT</x:v>
      </x:c>
      <x:c r="G208" s="88" t="str">
        <x:v>NES 50-pack extractor 20% sale</x:v>
      </x:c>
      <x:c r="H208" s="87" t="n">
        <x:f>'01 Base Costs'!$B$23</x:f>
        <x:v>2100</x:v>
      </x:c>
      <x:c r="I208" s="87" t="n">
        <x:f>0</x:f>
        <x:v>0</x:v>
      </x:c>
      <x:c r="J208" s="87" t="n">
        <x:f>0</x:f>
        <x:v>0</x:v>
      </x:c>
      <x:c r="K208" s="87" t="n">
        <x:f>D208*(E208-1)*I208</x:f>
        <x:v>0</x:v>
      </x:c>
      <x:c r="L208" s="87" t="n">
        <x:f>D208*(E208-1)*J208</x:f>
        <x:v>0</x:v>
      </x:c>
      <x:c r="M208" s="87" t="n">
        <x:f>0</x:f>
        <x:v>0</x:v>
      </x:c>
      <x:c r="N208" s="87" t="n">
        <x:f>H208+K208+M208</x:f>
        <x:v>2100</x:v>
      </x:c>
      <x:c r="O208" s="87" t="n">
        <x:f>N208*'01 Base Costs'!$B$7+L208</x:f>
        <x:v>10101000000</x:v>
      </x:c>
      <x:c r="P208" s="87" t="n">
        <x:f>D208*E208</x:f>
        <x:v>6</x:v>
      </x:c>
      <x:c r="Q208" s="87" t="n">
        <x:f>P208*'01 Base Costs'!$B$12</x:f>
        <x:v>11664000</x:v>
      </x:c>
      <x:c r="R208" s="87" t="n">
        <x:f>0</x:f>
        <x:v>0</x:v>
      </x:c>
      <x:c r="S208" s="87" t="n">
        <x:f>Q208+R208</x:f>
        <x:v>11664000</x:v>
      </x:c>
      <x:c r="T208" s="141" t="n">
        <x:f>S208/'01 Base Costs'!$B$14</x:f>
        <x:v>23.328</x:v>
      </x:c>
      <x:c r="U208" s="87" t="n">
        <x:f>INT(T208)</x:f>
        <x:v>23</x:v>
      </x:c>
      <x:c r="V208" s="87" t="n">
        <x:f>S208-U208*'01 Base Costs'!$B$14</x:f>
        <x:v>164000</x:v>
      </x:c>
      <x:c r="W208" s="120" t="n">
        <x:f>'01 Base Costs'!$B$20*0.8/50</x:f>
        <x:v>89.6</x:v>
      </x:c>
      <x:c r="X208" s="120" t="n">
        <x:f>0</x:f>
        <x:v>0</x:v>
      </x:c>
      <x:c r="Y208" s="87" t="n">
        <x:f>T208*(W208*'01 Base Costs'!$B$7+X208)</x:f>
        <x:v>10053808128</x:v>
      </x:c>
      <x:c r="Z208" s="87" t="n">
        <x:f>T208*'01 Base Costs'!$B$8</x:f>
        <x:v>17563651200</x:v>
      </x:c>
      <x:c r="AA208" s="87" t="n">
        <x:f>Z208*'01 Base Costs'!$B$11</x:f>
        <x:v>878182560</x:v>
      </x:c>
      <x:c r="AB208" s="87" t="n">
        <x:f>Z208-AA208</x:f>
        <x:v>16685468640</x:v>
      </x:c>
      <x:c r="AC208" s="87" t="n">
        <x:f>O208+Y208</x:f>
        <x:v>20154808128</x:v>
      </x:c>
      <x:c r="AD208" s="87" t="n">
        <x:f>AB208-AC208</x:f>
        <x:v>-3469339488</x:v>
      </x:c>
      <x:c r="AE208" s="87" t="n">
        <x:f>AD208/D208</x:f>
        <x:v>-578223248</x:v>
      </x:c>
      <x:c r="AF208" s="87" t="n">
        <x:f>AD208/P208</x:f>
        <x:v>-578223248</x:v>
      </x:c>
      <x:c r="AG208" s="87" t="n">
        <x:f>IF(T208=0,0,AC208/T208/(1-'01 Base Costs'!$B$11))</x:f>
        <x:v>909447338.0983323</x:v>
      </x:c>
      <x:c r="AH208" s="88" t="str">
        <x:f>IF(AD208&gt;0,"PROFIT","LOSS")</x:f>
        <x:v>LOSS</x:v>
      </x:c>
      <x:c r="AI208" s="89" t="str">
        <x:v>Base 6M Omega. One training queue only. 50-pack at 20% off.</x:v>
      </x:c>
    </x:row>
    <x:row r="209">
      <x:c r="A209" s="86" t="n">
        <x:v>207</x:v>
      </x:c>
      <x:c r="B209" s="88" t="str">
        <x:v>Base</x:v>
      </x:c>
      <x:c r="C209" s="88" t="str">
        <x:v>6M Omega</x:v>
      </x:c>
      <x:c r="D209" s="88" t="n">
        <x:v>6</x:v>
      </x:c>
      <x:c r="E209" s="88" t="n">
        <x:v>1</x:v>
      </x:c>
      <x:c r="F209" s="88" t="str">
        <x:v>No MCT</x:v>
      </x:c>
      <x:c r="G209" s="88" t="str">
        <x:v>Market Skill Extractor</x:v>
      </x:c>
      <x:c r="H209" s="87" t="n">
        <x:f>'01 Base Costs'!$B$23</x:f>
        <x:v>2100</x:v>
      </x:c>
      <x:c r="I209" s="87" t="n">
        <x:f>0</x:f>
        <x:v>0</x:v>
      </x:c>
      <x:c r="J209" s="87" t="n">
        <x:f>0</x:f>
        <x:v>0</x:v>
      </x:c>
      <x:c r="K209" s="87" t="n">
        <x:f>D209*(E209-1)*I209</x:f>
        <x:v>0</x:v>
      </x:c>
      <x:c r="L209" s="87" t="n">
        <x:f>D209*(E209-1)*J209</x:f>
        <x:v>0</x:v>
      </x:c>
      <x:c r="M209" s="87" t="n">
        <x:f>0</x:f>
        <x:v>0</x:v>
      </x:c>
      <x:c r="N209" s="87" t="n">
        <x:f>H209+K209+M209</x:f>
        <x:v>2100</x:v>
      </x:c>
      <x:c r="O209" s="87" t="n">
        <x:f>N209*'01 Base Costs'!$B$7+L209</x:f>
        <x:v>10101000000</x:v>
      </x:c>
      <x:c r="P209" s="87" t="n">
        <x:f>D209*E209</x:f>
        <x:v>6</x:v>
      </x:c>
      <x:c r="Q209" s="87" t="n">
        <x:f>P209*'01 Base Costs'!$B$12</x:f>
        <x:v>11664000</x:v>
      </x:c>
      <x:c r="R209" s="87" t="n">
        <x:f>0</x:f>
        <x:v>0</x:v>
      </x:c>
      <x:c r="S209" s="87" t="n">
        <x:f>Q209+R209</x:f>
        <x:v>11664000</x:v>
      </x:c>
      <x:c r="T209" s="141" t="n">
        <x:f>S209/'01 Base Costs'!$B$14</x:f>
        <x:v>23.328</x:v>
      </x:c>
      <x:c r="U209" s="87" t="n">
        <x:f>INT(T209)</x:f>
        <x:v>23</x:v>
      </x:c>
      <x:c r="V209" s="87" t="n">
        <x:f>S209-U209*'01 Base Costs'!$B$14</x:f>
        <x:v>164000</x:v>
      </x:c>
      <x:c r="W209" s="120" t="n">
        <x:f>0</x:f>
        <x:v>0</x:v>
      </x:c>
      <x:c r="X209" s="120" t="n">
        <x:f>'01 Base Costs'!$B$9</x:f>
        <x:v>463500000</x:v>
      </x:c>
      <x:c r="Y209" s="87" t="n">
        <x:f>T209*(W209*'01 Base Costs'!$B$7+X209)</x:f>
        <x:v>10812528000</x:v>
      </x:c>
      <x:c r="Z209" s="87" t="n">
        <x:f>T209*'01 Base Costs'!$B$8</x:f>
        <x:v>17563651200</x:v>
      </x:c>
      <x:c r="AA209" s="87" t="n">
        <x:f>Z209*'01 Base Costs'!$B$11</x:f>
        <x:v>878182560</x:v>
      </x:c>
      <x:c r="AB209" s="87" t="n">
        <x:f>Z209-AA209</x:f>
        <x:v>16685468640</x:v>
      </x:c>
      <x:c r="AC209" s="87" t="n">
        <x:f>O209+Y209</x:f>
        <x:v>20913528000</x:v>
      </x:c>
      <x:c r="AD209" s="87" t="n">
        <x:f>AB209-AC209</x:f>
        <x:v>-4228059360</x:v>
      </x:c>
      <x:c r="AE209" s="87" t="n">
        <x:f>AD209/D209</x:f>
        <x:v>-704676560</x:v>
      </x:c>
      <x:c r="AF209" s="87" t="n">
        <x:f>AD209/P209</x:f>
        <x:v>-704676560</x:v>
      </x:c>
      <x:c r="AG209" s="87" t="n">
        <x:f>IF(T209=0,0,AC209/T209/(1-'01 Base Costs'!$B$11))</x:f>
        <x:v>943683127.5720165</x:v>
      </x:c>
      <x:c r="AH209" s="88" t="str">
        <x:f>IF(AD209&gt;0,"PROFIT","LOSS")</x:f>
        <x:v>LOSS</x:v>
      </x:c>
      <x:c r="AI209" s="89" t="str">
        <x:v>Base 6M Omega. One training queue only. Extractor bought on market with ISK.</x:v>
      </x:c>
    </x:row>
    <x:row r="210">
      <x:c r="A210" s="86" t="n">
        <x:v>208</x:v>
      </x:c>
      <x:c r="B210" s="88" t="str">
        <x:v>Base</x:v>
      </x:c>
      <x:c r="C210" s="88" t="str">
        <x:v>6M Omega</x:v>
      </x:c>
      <x:c r="D210" s="88" t="n">
        <x:v>6</x:v>
      </x:c>
      <x:c r="E210" s="88" t="n">
        <x:v>2</x:v>
      </x:c>
      <x:c r="F210" s="88" t="str">
        <x:v>NES base MCT</x:v>
      </x:c>
      <x:c r="G210" s="88" t="str">
        <x:v>NES single extractor</x:v>
      </x:c>
      <x:c r="H210" s="87" t="n">
        <x:f>'01 Base Costs'!$B$23</x:f>
        <x:v>2100</x:v>
      </x:c>
      <x:c r="I210" s="87" t="n">
        <x:f>'01 Base Costs'!$B$16</x:f>
        <x:v>485</x:v>
      </x:c>
      <x:c r="J210" s="87" t="n">
        <x:f>0</x:f>
        <x:v>0</x:v>
      </x:c>
      <x:c r="K210" s="87" t="n">
        <x:f>D210*(E210-1)*I210</x:f>
        <x:v>2910</x:v>
      </x:c>
      <x:c r="L210" s="87" t="n">
        <x:f>D210*(E210-1)*J210</x:f>
        <x:v>0</x:v>
      </x:c>
      <x:c r="M210" s="87" t="n">
        <x:f>0</x:f>
        <x:v>0</x:v>
      </x:c>
      <x:c r="N210" s="87" t="n">
        <x:f>H210+K210+M210</x:f>
        <x:v>5010</x:v>
      </x:c>
      <x:c r="O210" s="87" t="n">
        <x:f>N210*'01 Base Costs'!$B$7+L210</x:f>
        <x:v>24098100000</x:v>
      </x:c>
      <x:c r="P210" s="87" t="n">
        <x:f>D210*E210</x:f>
        <x:v>12</x:v>
      </x:c>
      <x:c r="Q210" s="87" t="n">
        <x:f>P210*'01 Base Costs'!$B$12</x:f>
        <x:v>23328000</x:v>
      </x:c>
      <x:c r="R210" s="87" t="n">
        <x:f>0</x:f>
        <x:v>0</x:v>
      </x:c>
      <x:c r="S210" s="87" t="n">
        <x:f>Q210+R210</x:f>
        <x:v>23328000</x:v>
      </x:c>
      <x:c r="T210" s="141" t="n">
        <x:f>S210/'01 Base Costs'!$B$14</x:f>
        <x:v>46.656</x:v>
      </x:c>
      <x:c r="U210" s="87" t="n">
        <x:f>INT(T210)</x:f>
        <x:v>46</x:v>
      </x:c>
      <x:c r="V210" s="87" t="n">
        <x:f>S210-U210*'01 Base Costs'!$B$14</x:f>
        <x:v>328000</x:v>
      </x:c>
      <x:c r="W210" s="120" t="n">
        <x:f>'01 Base Costs'!$B$17</x:f>
        <x:v>140</x:v>
      </x:c>
      <x:c r="X210" s="120" t="n">
        <x:f>0</x:f>
        <x:v>0</x:v>
      </x:c>
      <x:c r="Y210" s="87" t="n">
        <x:f>T210*(W210*'01 Base Costs'!$B$7+X210)</x:f>
        <x:v>31418150400</x:v>
      </x:c>
      <x:c r="Z210" s="87" t="n">
        <x:f>T210*'01 Base Costs'!$B$8</x:f>
        <x:v>35127302400</x:v>
      </x:c>
      <x:c r="AA210" s="87" t="n">
        <x:f>Z210*'01 Base Costs'!$B$11</x:f>
        <x:v>1756365120</x:v>
      </x:c>
      <x:c r="AB210" s="87" t="n">
        <x:f>Z210-AA210</x:f>
        <x:v>33370937280</x:v>
      </x:c>
      <x:c r="AC210" s="87" t="n">
        <x:f>O210+Y210</x:f>
        <x:v>55516250400</x:v>
      </x:c>
      <x:c r="AD210" s="87" t="n">
        <x:f>AB210-AC210</x:f>
        <x:v>-22145313120</x:v>
      </x:c>
      <x:c r="AE210" s="87" t="n">
        <x:f>AD210/D210</x:f>
        <x:v>-3690885520</x:v>
      </x:c>
      <x:c r="AF210" s="87" t="n">
        <x:f>AD210/P210</x:f>
        <x:v>-1845442760</x:v>
      </x:c>
      <x:c r="AG210" s="87" t="n">
        <x:f>IF(T210=0,0,AC210/T210/(1-'01 Base Costs'!$B$11))</x:f>
        <x:v>1252532542.7766948</x:v>
      </x:c>
      <x:c r="AH210" s="88" t="str">
        <x:f>IF(AD210&gt;0,"PROFIT","LOSS")</x:f>
        <x:v>LOSS</x:v>
      </x:c>
      <x:c r="AI210" s="89" t="str">
        <x:v>Base 6M Omega. MCT purchased with PLEX in NES. Base single extractor.</x:v>
      </x:c>
    </x:row>
    <x:row r="211">
      <x:c r="A211" s="86" t="n">
        <x:v>209</x:v>
      </x:c>
      <x:c r="B211" s="88" t="str">
        <x:v>Base</x:v>
      </x:c>
      <x:c r="C211" s="88" t="str">
        <x:v>6M Omega</x:v>
      </x:c>
      <x:c r="D211" s="88" t="n">
        <x:v>6</x:v>
      </x:c>
      <x:c r="E211" s="88" t="n">
        <x:v>2</x:v>
      </x:c>
      <x:c r="F211" s="88" t="str">
        <x:v>NES base MCT</x:v>
      </x:c>
      <x:c r="G211" s="88" t="str">
        <x:v>NES 5-pack extractor</x:v>
      </x:c>
      <x:c r="H211" s="87" t="n">
        <x:f>'01 Base Costs'!$B$23</x:f>
        <x:v>2100</x:v>
      </x:c>
      <x:c r="I211" s="87" t="n">
        <x:f>'01 Base Costs'!$B$16</x:f>
        <x:v>485</x:v>
      </x:c>
      <x:c r="J211" s="87" t="n">
        <x:f>0</x:f>
        <x:v>0</x:v>
      </x:c>
      <x:c r="K211" s="87" t="n">
        <x:f>D211*(E211-1)*I211</x:f>
        <x:v>2910</x:v>
      </x:c>
      <x:c r="L211" s="87" t="n">
        <x:f>D211*(E211-1)*J211</x:f>
        <x:v>0</x:v>
      </x:c>
      <x:c r="M211" s="87" t="n">
        <x:f>0</x:f>
        <x:v>0</x:v>
      </x:c>
      <x:c r="N211" s="87" t="n">
        <x:f>H211+K211+M211</x:f>
        <x:v>5010</x:v>
      </x:c>
      <x:c r="O211" s="87" t="n">
        <x:f>N211*'01 Base Costs'!$B$7+L211</x:f>
        <x:v>24098100000</x:v>
      </x:c>
      <x:c r="P211" s="87" t="n">
        <x:f>D211*E211</x:f>
        <x:v>12</x:v>
      </x:c>
      <x:c r="Q211" s="87" t="n">
        <x:f>P211*'01 Base Costs'!$B$12</x:f>
        <x:v>23328000</x:v>
      </x:c>
      <x:c r="R211" s="87" t="n">
        <x:f>0</x:f>
        <x:v>0</x:v>
      </x:c>
      <x:c r="S211" s="87" t="n">
        <x:f>Q211+R211</x:f>
        <x:v>23328000</x:v>
      </x:c>
      <x:c r="T211" s="141" t="n">
        <x:f>S211/'01 Base Costs'!$B$14</x:f>
        <x:v>46.656</x:v>
      </x:c>
      <x:c r="U211" s="87" t="n">
        <x:f>INT(T211)</x:f>
        <x:v>46</x:v>
      </x:c>
      <x:c r="V211" s="87" t="n">
        <x:f>S211-U211*'01 Base Costs'!$B$14</x:f>
        <x:v>328000</x:v>
      </x:c>
      <x:c r="W211" s="120" t="n">
        <x:f>'01 Base Costs'!$B$18/5</x:f>
        <x:v>126</x:v>
      </x:c>
      <x:c r="X211" s="120" t="n">
        <x:f>0</x:f>
        <x:v>0</x:v>
      </x:c>
      <x:c r="Y211" s="87" t="n">
        <x:f>T211*(W211*'01 Base Costs'!$B$7+X211)</x:f>
        <x:v>28276335360</x:v>
      </x:c>
      <x:c r="Z211" s="87" t="n">
        <x:f>T211*'01 Base Costs'!$B$8</x:f>
        <x:v>35127302400</x:v>
      </x:c>
      <x:c r="AA211" s="87" t="n">
        <x:f>Z211*'01 Base Costs'!$B$11</x:f>
        <x:v>1756365120</x:v>
      </x:c>
      <x:c r="AB211" s="87" t="n">
        <x:f>Z211-AA211</x:f>
        <x:v>33370937280</x:v>
      </x:c>
      <x:c r="AC211" s="87" t="n">
        <x:f>O211+Y211</x:f>
        <x:v>52374435360</x:v>
      </x:c>
      <x:c r="AD211" s="87" t="n">
        <x:f>AB211-AC211</x:f>
        <x:v>-19003498080</x:v>
      </x:c>
      <x:c r="AE211" s="87" t="n">
        <x:f>AD211/D211</x:f>
        <x:v>-3167249680</x:v>
      </x:c>
      <x:c r="AF211" s="87" t="n">
        <x:f>AD211/P211</x:f>
        <x:v>-1583624840</x:v>
      </x:c>
      <x:c r="AG211" s="87" t="n">
        <x:f>IF(T211=0,0,AC211/T211/(1-'01 Base Costs'!$B$11))</x:f>
        <x:v>1181648332.250379</x:v>
      </x:c>
      <x:c r="AH211" s="88" t="str">
        <x:f>IF(AD211&gt;0,"PROFIT","LOSS")</x:f>
        <x:v>LOSS</x:v>
      </x:c>
      <x:c r="AI211" s="89" t="str">
        <x:v>Base 6M Omega. MCT purchased with PLEX in NES. Base 5-pack average.</x:v>
      </x:c>
    </x:row>
    <x:row r="212">
      <x:c r="A212" s="86" t="n">
        <x:v>210</x:v>
      </x:c>
      <x:c r="B212" s="88" t="str">
        <x:v>Base</x:v>
      </x:c>
      <x:c r="C212" s="88" t="str">
        <x:v>6M Omega</x:v>
      </x:c>
      <x:c r="D212" s="88" t="n">
        <x:v>6</x:v>
      </x:c>
      <x:c r="E212" s="88" t="n">
        <x:v>2</x:v>
      </x:c>
      <x:c r="F212" s="88" t="str">
        <x:v>NES base MCT</x:v>
      </x:c>
      <x:c r="G212" s="88" t="str">
        <x:v>NES 10-pack extractor</x:v>
      </x:c>
      <x:c r="H212" s="87" t="n">
        <x:f>'01 Base Costs'!$B$23</x:f>
        <x:v>2100</x:v>
      </x:c>
      <x:c r="I212" s="87" t="n">
        <x:f>'01 Base Costs'!$B$16</x:f>
        <x:v>485</x:v>
      </x:c>
      <x:c r="J212" s="87" t="n">
        <x:f>0</x:f>
        <x:v>0</x:v>
      </x:c>
      <x:c r="K212" s="87" t="n">
        <x:f>D212*(E212-1)*I212</x:f>
        <x:v>2910</x:v>
      </x:c>
      <x:c r="L212" s="87" t="n">
        <x:f>D212*(E212-1)*J212</x:f>
        <x:v>0</x:v>
      </x:c>
      <x:c r="M212" s="87" t="n">
        <x:f>0</x:f>
        <x:v>0</x:v>
      </x:c>
      <x:c r="N212" s="87" t="n">
        <x:f>H212+K212+M212</x:f>
        <x:v>5010</x:v>
      </x:c>
      <x:c r="O212" s="87" t="n">
        <x:f>N212*'01 Base Costs'!$B$7+L212</x:f>
        <x:v>24098100000</x:v>
      </x:c>
      <x:c r="P212" s="87" t="n">
        <x:f>D212*E212</x:f>
        <x:v>12</x:v>
      </x:c>
      <x:c r="Q212" s="87" t="n">
        <x:f>P212*'01 Base Costs'!$B$12</x:f>
        <x:v>23328000</x:v>
      </x:c>
      <x:c r="R212" s="87" t="n">
        <x:f>0</x:f>
        <x:v>0</x:v>
      </x:c>
      <x:c r="S212" s="87" t="n">
        <x:f>Q212+R212</x:f>
        <x:v>23328000</x:v>
      </x:c>
      <x:c r="T212" s="141" t="n">
        <x:f>S212/'01 Base Costs'!$B$14</x:f>
        <x:v>46.656</x:v>
      </x:c>
      <x:c r="U212" s="87" t="n">
        <x:f>INT(T212)</x:f>
        <x:v>46</x:v>
      </x:c>
      <x:c r="V212" s="87" t="n">
        <x:f>S212-U212*'01 Base Costs'!$B$14</x:f>
        <x:v>328000</x:v>
      </x:c>
      <x:c r="W212" s="120" t="n">
        <x:f>'01 Base Costs'!$B$19/10</x:f>
        <x:v>119</x:v>
      </x:c>
      <x:c r="X212" s="120" t="n">
        <x:f>0</x:f>
        <x:v>0</x:v>
      </x:c>
      <x:c r="Y212" s="87" t="n">
        <x:f>T212*(W212*'01 Base Costs'!$B$7+X212)</x:f>
        <x:v>26705427840</x:v>
      </x:c>
      <x:c r="Z212" s="87" t="n">
        <x:f>T212*'01 Base Costs'!$B$8</x:f>
        <x:v>35127302400</x:v>
      </x:c>
      <x:c r="AA212" s="87" t="n">
        <x:f>Z212*'01 Base Costs'!$B$11</x:f>
        <x:v>1756365120</x:v>
      </x:c>
      <x:c r="AB212" s="87" t="n">
        <x:f>Z212-AA212</x:f>
        <x:v>33370937280</x:v>
      </x:c>
      <x:c r="AC212" s="87" t="n">
        <x:f>O212+Y212</x:f>
        <x:v>50803527840</x:v>
      </x:c>
      <x:c r="AD212" s="87" t="n">
        <x:f>AB212-AC212</x:f>
        <x:v>-17432590560</x:v>
      </x:c>
      <x:c r="AE212" s="87" t="n">
        <x:f>AD212/D212</x:f>
        <x:v>-2905431760</x:v>
      </x:c>
      <x:c r="AF212" s="87" t="n">
        <x:f>AD212/P212</x:f>
        <x:v>-1452715880</x:v>
      </x:c>
      <x:c r="AG212" s="87" t="n">
        <x:f>IF(T212=0,0,AC212/T212/(1-'01 Base Costs'!$B$11))</x:f>
        <x:v>1146206226.9872212</x:v>
      </x:c>
      <x:c r="AH212" s="88" t="str">
        <x:f>IF(AD212&gt;0,"PROFIT","LOSS")</x:f>
        <x:v>LOSS</x:v>
      </x:c>
      <x:c r="AI212" s="89" t="str">
        <x:v>Base 6M Omega. MCT purchased with PLEX in NES. Base 10-pack average.</x:v>
      </x:c>
    </x:row>
    <x:row r="213">
      <x:c r="A213" s="86" t="n">
        <x:v>211</x:v>
      </x:c>
      <x:c r="B213" s="88" t="str">
        <x:v>Base</x:v>
      </x:c>
      <x:c r="C213" s="88" t="str">
        <x:v>6M Omega</x:v>
      </x:c>
      <x:c r="D213" s="88" t="n">
        <x:v>6</x:v>
      </x:c>
      <x:c r="E213" s="88" t="n">
        <x:v>2</x:v>
      </x:c>
      <x:c r="F213" s="88" t="str">
        <x:v>NES base MCT</x:v>
      </x:c>
      <x:c r="G213" s="88" t="str">
        <x:v>NES 50-pack extractor</x:v>
      </x:c>
      <x:c r="H213" s="87" t="n">
        <x:f>'01 Base Costs'!$B$23</x:f>
        <x:v>2100</x:v>
      </x:c>
      <x:c r="I213" s="87" t="n">
        <x:f>'01 Base Costs'!$B$16</x:f>
        <x:v>485</x:v>
      </x:c>
      <x:c r="J213" s="87" t="n">
        <x:f>0</x:f>
        <x:v>0</x:v>
      </x:c>
      <x:c r="K213" s="87" t="n">
        <x:f>D213*(E213-1)*I213</x:f>
        <x:v>2910</x:v>
      </x:c>
      <x:c r="L213" s="87" t="n">
        <x:f>D213*(E213-1)*J213</x:f>
        <x:v>0</x:v>
      </x:c>
      <x:c r="M213" s="87" t="n">
        <x:f>0</x:f>
        <x:v>0</x:v>
      </x:c>
      <x:c r="N213" s="87" t="n">
        <x:f>H213+K213+M213</x:f>
        <x:v>5010</x:v>
      </x:c>
      <x:c r="O213" s="87" t="n">
        <x:f>N213*'01 Base Costs'!$B$7+L213</x:f>
        <x:v>24098100000</x:v>
      </x:c>
      <x:c r="P213" s="87" t="n">
        <x:f>D213*E213</x:f>
        <x:v>12</x:v>
      </x:c>
      <x:c r="Q213" s="87" t="n">
        <x:f>P213*'01 Base Costs'!$B$12</x:f>
        <x:v>23328000</x:v>
      </x:c>
      <x:c r="R213" s="87" t="n">
        <x:f>0</x:f>
        <x:v>0</x:v>
      </x:c>
      <x:c r="S213" s="87" t="n">
        <x:f>Q213+R213</x:f>
        <x:v>23328000</x:v>
      </x:c>
      <x:c r="T213" s="141" t="n">
        <x:f>S213/'01 Base Costs'!$B$14</x:f>
        <x:v>46.656</x:v>
      </x:c>
      <x:c r="U213" s="87" t="n">
        <x:f>INT(T213)</x:f>
        <x:v>46</x:v>
      </x:c>
      <x:c r="V213" s="87" t="n">
        <x:f>S213-U213*'01 Base Costs'!$B$14</x:f>
        <x:v>328000</x:v>
      </x:c>
      <x:c r="W213" s="120" t="n">
        <x:f>'01 Base Costs'!$B$20/50</x:f>
        <x:v>112</x:v>
      </x:c>
      <x:c r="X213" s="120" t="n">
        <x:f>0</x:f>
        <x:v>0</x:v>
      </x:c>
      <x:c r="Y213" s="87" t="n">
        <x:f>T213*(W213*'01 Base Costs'!$B$7+X213)</x:f>
        <x:v>25134520320</x:v>
      </x:c>
      <x:c r="Z213" s="87" t="n">
        <x:f>T213*'01 Base Costs'!$B$8</x:f>
        <x:v>35127302400</x:v>
      </x:c>
      <x:c r="AA213" s="87" t="n">
        <x:f>Z213*'01 Base Costs'!$B$11</x:f>
        <x:v>1756365120</x:v>
      </x:c>
      <x:c r="AB213" s="87" t="n">
        <x:f>Z213-AA213</x:f>
        <x:v>33370937280</x:v>
      </x:c>
      <x:c r="AC213" s="87" t="n">
        <x:f>O213+Y213</x:f>
        <x:v>49232620320</x:v>
      </x:c>
      <x:c r="AD213" s="87" t="n">
        <x:f>AB213-AC213</x:f>
        <x:v>-15861683040</x:v>
      </x:c>
      <x:c r="AE213" s="87" t="n">
        <x:f>AD213/D213</x:f>
        <x:v>-2643613840</x:v>
      </x:c>
      <x:c r="AF213" s="87" t="n">
        <x:f>AD213/P213</x:f>
        <x:v>-1321806920</x:v>
      </x:c>
      <x:c r="AG213" s="87" t="n">
        <x:f>IF(T213=0,0,AC213/T213/(1-'01 Base Costs'!$B$11))</x:f>
        <x:v>1110764121.7240632</x:v>
      </x:c>
      <x:c r="AH213" s="88" t="str">
        <x:f>IF(AD213&gt;0,"PROFIT","LOSS")</x:f>
        <x:v>LOSS</x:v>
      </x:c>
      <x:c r="AI213" s="89" t="str">
        <x:v>Base 6M Omega. MCT purchased with PLEX in NES. Base 50-pack average.</x:v>
      </x:c>
    </x:row>
    <x:row r="214">
      <x:c r="A214" s="86" t="n">
        <x:v>212</x:v>
      </x:c>
      <x:c r="B214" s="88" t="str">
        <x:v>Base</x:v>
      </x:c>
      <x:c r="C214" s="88" t="str">
        <x:v>6M Omega</x:v>
      </x:c>
      <x:c r="D214" s="88" t="n">
        <x:v>6</x:v>
      </x:c>
      <x:c r="E214" s="88" t="n">
        <x:v>2</x:v>
      </x:c>
      <x:c r="F214" s="88" t="str">
        <x:v>NES base MCT</x:v>
      </x:c>
      <x:c r="G214" s="88" t="str">
        <x:v>NES 3-for-2 extractor sale</x:v>
      </x:c>
      <x:c r="H214" s="87" t="n">
        <x:f>'01 Base Costs'!$B$23</x:f>
        <x:v>2100</x:v>
      </x:c>
      <x:c r="I214" s="87" t="n">
        <x:f>'01 Base Costs'!$B$16</x:f>
        <x:v>485</x:v>
      </x:c>
      <x:c r="J214" s="87" t="n">
        <x:f>0</x:f>
        <x:v>0</x:v>
      </x:c>
      <x:c r="K214" s="87" t="n">
        <x:f>D214*(E214-1)*I214</x:f>
        <x:v>2910</x:v>
      </x:c>
      <x:c r="L214" s="87" t="n">
        <x:f>D214*(E214-1)*J214</x:f>
        <x:v>0</x:v>
      </x:c>
      <x:c r="M214" s="87" t="n">
        <x:f>0</x:f>
        <x:v>0</x:v>
      </x:c>
      <x:c r="N214" s="87" t="n">
        <x:f>H214+K214+M214</x:f>
        <x:v>5010</x:v>
      </x:c>
      <x:c r="O214" s="87" t="n">
        <x:f>N214*'01 Base Costs'!$B$7+L214</x:f>
        <x:v>24098100000</x:v>
      </x:c>
      <x:c r="P214" s="87" t="n">
        <x:f>D214*E214</x:f>
        <x:v>12</x:v>
      </x:c>
      <x:c r="Q214" s="87" t="n">
        <x:f>P214*'01 Base Costs'!$B$12</x:f>
        <x:v>23328000</x:v>
      </x:c>
      <x:c r="R214" s="87" t="n">
        <x:f>0</x:f>
        <x:v>0</x:v>
      </x:c>
      <x:c r="S214" s="87" t="n">
        <x:f>Q214+R214</x:f>
        <x:v>23328000</x:v>
      </x:c>
      <x:c r="T214" s="141" t="n">
        <x:f>S214/'01 Base Costs'!$B$14</x:f>
        <x:v>46.656</x:v>
      </x:c>
      <x:c r="U214" s="87" t="n">
        <x:f>INT(T214)</x:f>
        <x:v>46</x:v>
      </x:c>
      <x:c r="V214" s="87" t="n">
        <x:f>S214-U214*'01 Base Costs'!$B$14</x:f>
        <x:v>328000</x:v>
      </x:c>
      <x:c r="W214" s="120" t="n">
        <x:f>'01 Base Costs'!$B$17*2/3</x:f>
        <x:v>93.33333333333333</x:v>
      </x:c>
      <x:c r="X214" s="120" t="n">
        <x:f>0</x:f>
        <x:v>0</x:v>
      </x:c>
      <x:c r="Y214" s="87" t="n">
        <x:f>T214*(W214*'01 Base Costs'!$B$7+X214)</x:f>
        <x:v>20945433600</x:v>
      </x:c>
      <x:c r="Z214" s="87" t="n">
        <x:f>T214*'01 Base Costs'!$B$8</x:f>
        <x:v>35127302400</x:v>
      </x:c>
      <x:c r="AA214" s="87" t="n">
        <x:f>Z214*'01 Base Costs'!$B$11</x:f>
        <x:v>1756365120</x:v>
      </x:c>
      <x:c r="AB214" s="87" t="n">
        <x:f>Z214-AA214</x:f>
        <x:v>33370937280</x:v>
      </x:c>
      <x:c r="AC214" s="87" t="n">
        <x:f>O214+Y214</x:f>
        <x:v>45043533600</x:v>
      </x:c>
      <x:c r="AD214" s="87" t="n">
        <x:f>AB214-AC214</x:f>
        <x:v>-11672596320</x:v>
      </x:c>
      <x:c r="AE214" s="87" t="n">
        <x:f>AD214/D214</x:f>
        <x:v>-1945432720</x:v>
      </x:c>
      <x:c r="AF214" s="87" t="n">
        <x:f>AD214/P214</x:f>
        <x:v>-972716360</x:v>
      </x:c>
      <x:c r="AG214" s="87" t="n">
        <x:f>IF(T214=0,0,AC214/T214/(1-'01 Base Costs'!$B$11))</x:f>
        <x:v>1016251841.022309</x:v>
      </x:c>
      <x:c r="AH214" s="88" t="str">
        <x:f>IF(AD214&gt;0,"PROFIT","LOSS")</x:f>
        <x:v>LOSS</x:v>
      </x:c>
      <x:c r="AI214" s="89" t="str">
        <x:v>Base 6M Omega. MCT purchased with PLEX in NES. Extractor 3-for-2 sale.</x:v>
      </x:c>
    </x:row>
    <x:row r="215">
      <x:c r="A215" s="86" t="n">
        <x:v>213</x:v>
      </x:c>
      <x:c r="B215" s="88" t="str">
        <x:v>Base</x:v>
      </x:c>
      <x:c r="C215" s="88" t="str">
        <x:v>6M Omega</x:v>
      </x:c>
      <x:c r="D215" s="88" t="n">
        <x:v>6</x:v>
      </x:c>
      <x:c r="E215" s="88" t="n">
        <x:v>2</x:v>
      </x:c>
      <x:c r="F215" s="88" t="str">
        <x:v>NES base MCT</x:v>
      </x:c>
      <x:c r="G215" s="88" t="str">
        <x:v>NES 2-for-1 extractor sale</x:v>
      </x:c>
      <x:c r="H215" s="87" t="n">
        <x:f>'01 Base Costs'!$B$23</x:f>
        <x:v>2100</x:v>
      </x:c>
      <x:c r="I215" s="87" t="n">
        <x:f>'01 Base Costs'!$B$16</x:f>
        <x:v>485</x:v>
      </x:c>
      <x:c r="J215" s="87" t="n">
        <x:f>0</x:f>
        <x:v>0</x:v>
      </x:c>
      <x:c r="K215" s="87" t="n">
        <x:f>D215*(E215-1)*I215</x:f>
        <x:v>2910</x:v>
      </x:c>
      <x:c r="L215" s="87" t="n">
        <x:f>D215*(E215-1)*J215</x:f>
        <x:v>0</x:v>
      </x:c>
      <x:c r="M215" s="87" t="n">
        <x:f>0</x:f>
        <x:v>0</x:v>
      </x:c>
      <x:c r="N215" s="87" t="n">
        <x:f>H215+K215+M215</x:f>
        <x:v>5010</x:v>
      </x:c>
      <x:c r="O215" s="87" t="n">
        <x:f>N215*'01 Base Costs'!$B$7+L215</x:f>
        <x:v>24098100000</x:v>
      </x:c>
      <x:c r="P215" s="87" t="n">
        <x:f>D215*E215</x:f>
        <x:v>12</x:v>
      </x:c>
      <x:c r="Q215" s="87" t="n">
        <x:f>P215*'01 Base Costs'!$B$12</x:f>
        <x:v>23328000</x:v>
      </x:c>
      <x:c r="R215" s="87" t="n">
        <x:f>0</x:f>
        <x:v>0</x:v>
      </x:c>
      <x:c r="S215" s="87" t="n">
        <x:f>Q215+R215</x:f>
        <x:v>23328000</x:v>
      </x:c>
      <x:c r="T215" s="141" t="n">
        <x:f>S215/'01 Base Costs'!$B$14</x:f>
        <x:v>46.656</x:v>
      </x:c>
      <x:c r="U215" s="87" t="n">
        <x:f>INT(T215)</x:f>
        <x:v>46</x:v>
      </x:c>
      <x:c r="V215" s="87" t="n">
        <x:f>S215-U215*'01 Base Costs'!$B$14</x:f>
        <x:v>328000</x:v>
      </x:c>
      <x:c r="W215" s="120" t="n">
        <x:f>'01 Base Costs'!$B$17/2</x:f>
        <x:v>70</x:v>
      </x:c>
      <x:c r="X215" s="120" t="n">
        <x:f>0</x:f>
        <x:v>0</x:v>
      </x:c>
      <x:c r="Y215" s="87" t="n">
        <x:f>T215*(W215*'01 Base Costs'!$B$7+X215)</x:f>
        <x:v>15709075200</x:v>
      </x:c>
      <x:c r="Z215" s="87" t="n">
        <x:f>T215*'01 Base Costs'!$B$8</x:f>
        <x:v>35127302400</x:v>
      </x:c>
      <x:c r="AA215" s="87" t="n">
        <x:f>Z215*'01 Base Costs'!$B$11</x:f>
        <x:v>1756365120</x:v>
      </x:c>
      <x:c r="AB215" s="87" t="n">
        <x:f>Z215-AA215</x:f>
        <x:v>33370937280</x:v>
      </x:c>
      <x:c r="AC215" s="87" t="n">
        <x:f>O215+Y215</x:f>
        <x:v>39807175200</x:v>
      </x:c>
      <x:c r="AD215" s="87" t="n">
        <x:f>AB215-AC215</x:f>
        <x:v>-6436237920</x:v>
      </x:c>
      <x:c r="AE215" s="87" t="n">
        <x:f>AD215/D215</x:f>
        <x:v>-1072706320</x:v>
      </x:c>
      <x:c r="AF215" s="87" t="n">
        <x:f>AD215/P215</x:f>
        <x:v>-536353160</x:v>
      </x:c>
      <x:c r="AG215" s="87" t="n">
        <x:f>IF(T215=0,0,AC215/T215/(1-'01 Base Costs'!$B$11))</x:f>
        <x:v>898111490.1451159</x:v>
      </x:c>
      <x:c r="AH215" s="88" t="str">
        <x:f>IF(AD215&gt;0,"PROFIT","LOSS")</x:f>
        <x:v>LOSS</x:v>
      </x:c>
      <x:c r="AI215" s="89" t="str">
        <x:v>Base 6M Omega. MCT purchased with PLEX in NES. Extractor 2-for-1 sale.</x:v>
      </x:c>
    </x:row>
    <x:row r="216">
      <x:c r="A216" s="86" t="n">
        <x:v>214</x:v>
      </x:c>
      <x:c r="B216" s="88" t="str">
        <x:v>Base</x:v>
      </x:c>
      <x:c r="C216" s="88" t="str">
        <x:v>6M Omega</x:v>
      </x:c>
      <x:c r="D216" s="88" t="n">
        <x:v>6</x:v>
      </x:c>
      <x:c r="E216" s="88" t="n">
        <x:v>2</x:v>
      </x:c>
      <x:c r="F216" s="88" t="str">
        <x:v>NES base MCT</x:v>
      </x:c>
      <x:c r="G216" s="88" t="str">
        <x:v>NES 10-pack extractor 20% sale</x:v>
      </x:c>
      <x:c r="H216" s="87" t="n">
        <x:f>'01 Base Costs'!$B$23</x:f>
        <x:v>2100</x:v>
      </x:c>
      <x:c r="I216" s="87" t="n">
        <x:f>'01 Base Costs'!$B$16</x:f>
        <x:v>485</x:v>
      </x:c>
      <x:c r="J216" s="87" t="n">
        <x:f>0</x:f>
        <x:v>0</x:v>
      </x:c>
      <x:c r="K216" s="87" t="n">
        <x:f>D216*(E216-1)*I216</x:f>
        <x:v>2910</x:v>
      </x:c>
      <x:c r="L216" s="87" t="n">
        <x:f>D216*(E216-1)*J216</x:f>
        <x:v>0</x:v>
      </x:c>
      <x:c r="M216" s="87" t="n">
        <x:f>0</x:f>
        <x:v>0</x:v>
      </x:c>
      <x:c r="N216" s="87" t="n">
        <x:f>H216+K216+M216</x:f>
        <x:v>5010</x:v>
      </x:c>
      <x:c r="O216" s="87" t="n">
        <x:f>N216*'01 Base Costs'!$B$7+L216</x:f>
        <x:v>24098100000</x:v>
      </x:c>
      <x:c r="P216" s="87" t="n">
        <x:f>D216*E216</x:f>
        <x:v>12</x:v>
      </x:c>
      <x:c r="Q216" s="87" t="n">
        <x:f>P216*'01 Base Costs'!$B$12</x:f>
        <x:v>23328000</x:v>
      </x:c>
      <x:c r="R216" s="87" t="n">
        <x:f>0</x:f>
        <x:v>0</x:v>
      </x:c>
      <x:c r="S216" s="87" t="n">
        <x:f>Q216+R216</x:f>
        <x:v>23328000</x:v>
      </x:c>
      <x:c r="T216" s="141" t="n">
        <x:f>S216/'01 Base Costs'!$B$14</x:f>
        <x:v>46.656</x:v>
      </x:c>
      <x:c r="U216" s="87" t="n">
        <x:f>INT(T216)</x:f>
        <x:v>46</x:v>
      </x:c>
      <x:c r="V216" s="87" t="n">
        <x:f>S216-U216*'01 Base Costs'!$B$14</x:f>
        <x:v>328000</x:v>
      </x:c>
      <x:c r="W216" s="120" t="n">
        <x:f>'01 Base Costs'!$B$19*0.8/10</x:f>
        <x:v>95.2</x:v>
      </x:c>
      <x:c r="X216" s="120" t="n">
        <x:f>0</x:f>
        <x:v>0</x:v>
      </x:c>
      <x:c r="Y216" s="87" t="n">
        <x:f>T216*(W216*'01 Base Costs'!$B$7+X216)</x:f>
        <x:v>21364342272</x:v>
      </x:c>
      <x:c r="Z216" s="87" t="n">
        <x:f>T216*'01 Base Costs'!$B$8</x:f>
        <x:v>35127302400</x:v>
      </x:c>
      <x:c r="AA216" s="87" t="n">
        <x:f>Z216*'01 Base Costs'!$B$11</x:f>
        <x:v>1756365120</x:v>
      </x:c>
      <x:c r="AB216" s="87" t="n">
        <x:f>Z216-AA216</x:f>
        <x:v>33370937280</x:v>
      </x:c>
      <x:c r="AC216" s="87" t="n">
        <x:f>O216+Y216</x:f>
        <x:v>45462442272</x:v>
      </x:c>
      <x:c r="AD216" s="87" t="n">
        <x:f>AB216-AC216</x:f>
        <x:v>-12091504992</x:v>
      </x:c>
      <x:c r="AE216" s="87" t="n">
        <x:f>AD216/D216</x:f>
        <x:v>-2015250832</x:v>
      </x:c>
      <x:c r="AF216" s="87" t="n">
        <x:f>AD216/P216</x:f>
        <x:v>-1007625416</x:v>
      </x:c>
      <x:c r="AG216" s="87" t="n">
        <x:f>IF(T216=0,0,AC216/T216/(1-'01 Base Costs'!$B$11))</x:f>
        <x:v>1025703069.0924844</x:v>
      </x:c>
      <x:c r="AH216" s="88" t="str">
        <x:f>IF(AD216&gt;0,"PROFIT","LOSS")</x:f>
        <x:v>LOSS</x:v>
      </x:c>
      <x:c r="AI216" s="89" t="str">
        <x:v>Base 6M Omega. MCT purchased with PLEX in NES. 10-pack at 20% off.</x:v>
      </x:c>
    </x:row>
    <x:row r="217">
      <x:c r="A217" s="86" t="n">
        <x:v>215</x:v>
      </x:c>
      <x:c r="B217" s="88" t="str">
        <x:v>Base</x:v>
      </x:c>
      <x:c r="C217" s="88" t="str">
        <x:v>6M Omega</x:v>
      </x:c>
      <x:c r="D217" s="88" t="n">
        <x:v>6</x:v>
      </x:c>
      <x:c r="E217" s="88" t="n">
        <x:v>2</x:v>
      </x:c>
      <x:c r="F217" s="88" t="str">
        <x:v>NES base MCT</x:v>
      </x:c>
      <x:c r="G217" s="88" t="str">
        <x:v>NES 50-pack extractor 20% sale</x:v>
      </x:c>
      <x:c r="H217" s="87" t="n">
        <x:f>'01 Base Costs'!$B$23</x:f>
        <x:v>2100</x:v>
      </x:c>
      <x:c r="I217" s="87" t="n">
        <x:f>'01 Base Costs'!$B$16</x:f>
        <x:v>485</x:v>
      </x:c>
      <x:c r="J217" s="87" t="n">
        <x:f>0</x:f>
        <x:v>0</x:v>
      </x:c>
      <x:c r="K217" s="87" t="n">
        <x:f>D217*(E217-1)*I217</x:f>
        <x:v>2910</x:v>
      </x:c>
      <x:c r="L217" s="87" t="n">
        <x:f>D217*(E217-1)*J217</x:f>
        <x:v>0</x:v>
      </x:c>
      <x:c r="M217" s="87" t="n">
        <x:f>0</x:f>
        <x:v>0</x:v>
      </x:c>
      <x:c r="N217" s="87" t="n">
        <x:f>H217+K217+M217</x:f>
        <x:v>5010</x:v>
      </x:c>
      <x:c r="O217" s="87" t="n">
        <x:f>N217*'01 Base Costs'!$B$7+L217</x:f>
        <x:v>24098100000</x:v>
      </x:c>
      <x:c r="P217" s="87" t="n">
        <x:f>D217*E217</x:f>
        <x:v>12</x:v>
      </x:c>
      <x:c r="Q217" s="87" t="n">
        <x:f>P217*'01 Base Costs'!$B$12</x:f>
        <x:v>23328000</x:v>
      </x:c>
      <x:c r="R217" s="87" t="n">
        <x:f>0</x:f>
        <x:v>0</x:v>
      </x:c>
      <x:c r="S217" s="87" t="n">
        <x:f>Q217+R217</x:f>
        <x:v>23328000</x:v>
      </x:c>
      <x:c r="T217" s="141" t="n">
        <x:f>S217/'01 Base Costs'!$B$14</x:f>
        <x:v>46.656</x:v>
      </x:c>
      <x:c r="U217" s="87" t="n">
        <x:f>INT(T217)</x:f>
        <x:v>46</x:v>
      </x:c>
      <x:c r="V217" s="87" t="n">
        <x:f>S217-U217*'01 Base Costs'!$B$14</x:f>
        <x:v>328000</x:v>
      </x:c>
      <x:c r="W217" s="120" t="n">
        <x:f>'01 Base Costs'!$B$20*0.8/50</x:f>
        <x:v>89.6</x:v>
      </x:c>
      <x:c r="X217" s="120" t="n">
        <x:f>0</x:f>
        <x:v>0</x:v>
      </x:c>
      <x:c r="Y217" s="87" t="n">
        <x:f>T217*(W217*'01 Base Costs'!$B$7+X217)</x:f>
        <x:v>20107616256</x:v>
      </x:c>
      <x:c r="Z217" s="87" t="n">
        <x:f>T217*'01 Base Costs'!$B$8</x:f>
        <x:v>35127302400</x:v>
      </x:c>
      <x:c r="AA217" s="87" t="n">
        <x:f>Z217*'01 Base Costs'!$B$11</x:f>
        <x:v>1756365120</x:v>
      </x:c>
      <x:c r="AB217" s="87" t="n">
        <x:f>Z217-AA217</x:f>
        <x:v>33370937280</x:v>
      </x:c>
      <x:c r="AC217" s="87" t="n">
        <x:f>O217+Y217</x:f>
        <x:v>44205716256</x:v>
      </x:c>
      <x:c r="AD217" s="87" t="n">
        <x:f>AB217-AC217</x:f>
        <x:v>-10834778976</x:v>
      </x:c>
      <x:c r="AE217" s="87" t="n">
        <x:f>AD217/D217</x:f>
        <x:v>-1805796496</x:v>
      </x:c>
      <x:c r="AF217" s="87" t="n">
        <x:f>AD217/P217</x:f>
        <x:v>-902898248</x:v>
      </x:c>
      <x:c r="AG217" s="87" t="n">
        <x:f>IF(T217=0,0,AC217/T217/(1-'01 Base Costs'!$B$11))</x:f>
        <x:v>997349384.881958</x:v>
      </x:c>
      <x:c r="AH217" s="88" t="str">
        <x:f>IF(AD217&gt;0,"PROFIT","LOSS")</x:f>
        <x:v>LOSS</x:v>
      </x:c>
      <x:c r="AI217" s="89" t="str">
        <x:v>Base 6M Omega. MCT purchased with PLEX in NES. 50-pack at 20% off.</x:v>
      </x:c>
    </x:row>
    <x:row r="218">
      <x:c r="A218" s="86" t="n">
        <x:v>216</x:v>
      </x:c>
      <x:c r="B218" s="88" t="str">
        <x:v>Base</x:v>
      </x:c>
      <x:c r="C218" s="88" t="str">
        <x:v>6M Omega</x:v>
      </x:c>
      <x:c r="D218" s="88" t="n">
        <x:v>6</x:v>
      </x:c>
      <x:c r="E218" s="88" t="n">
        <x:v>2</x:v>
      </x:c>
      <x:c r="F218" s="88" t="str">
        <x:v>NES base MCT</x:v>
      </x:c>
      <x:c r="G218" s="88" t="str">
        <x:v>Market Skill Extractor</x:v>
      </x:c>
      <x:c r="H218" s="87" t="n">
        <x:f>'01 Base Costs'!$B$23</x:f>
        <x:v>2100</x:v>
      </x:c>
      <x:c r="I218" s="87" t="n">
        <x:f>'01 Base Costs'!$B$16</x:f>
        <x:v>485</x:v>
      </x:c>
      <x:c r="J218" s="87" t="n">
        <x:f>0</x:f>
        <x:v>0</x:v>
      </x:c>
      <x:c r="K218" s="87" t="n">
        <x:f>D218*(E218-1)*I218</x:f>
        <x:v>2910</x:v>
      </x:c>
      <x:c r="L218" s="87" t="n">
        <x:f>D218*(E218-1)*J218</x:f>
        <x:v>0</x:v>
      </x:c>
      <x:c r="M218" s="87" t="n">
        <x:f>0</x:f>
        <x:v>0</x:v>
      </x:c>
      <x:c r="N218" s="87" t="n">
        <x:f>H218+K218+M218</x:f>
        <x:v>5010</x:v>
      </x:c>
      <x:c r="O218" s="87" t="n">
        <x:f>N218*'01 Base Costs'!$B$7+L218</x:f>
        <x:v>24098100000</x:v>
      </x:c>
      <x:c r="P218" s="87" t="n">
        <x:f>D218*E218</x:f>
        <x:v>12</x:v>
      </x:c>
      <x:c r="Q218" s="87" t="n">
        <x:f>P218*'01 Base Costs'!$B$12</x:f>
        <x:v>23328000</x:v>
      </x:c>
      <x:c r="R218" s="87" t="n">
        <x:f>0</x:f>
        <x:v>0</x:v>
      </x:c>
      <x:c r="S218" s="87" t="n">
        <x:f>Q218+R218</x:f>
        <x:v>23328000</x:v>
      </x:c>
      <x:c r="T218" s="141" t="n">
        <x:f>S218/'01 Base Costs'!$B$14</x:f>
        <x:v>46.656</x:v>
      </x:c>
      <x:c r="U218" s="87" t="n">
        <x:f>INT(T218)</x:f>
        <x:v>46</x:v>
      </x:c>
      <x:c r="V218" s="87" t="n">
        <x:f>S218-U218*'01 Base Costs'!$B$14</x:f>
        <x:v>328000</x:v>
      </x:c>
      <x:c r="W218" s="120" t="n">
        <x:f>0</x:f>
        <x:v>0</x:v>
      </x:c>
      <x:c r="X218" s="120" t="n">
        <x:f>'01 Base Costs'!$B$9</x:f>
        <x:v>463500000</x:v>
      </x:c>
      <x:c r="Y218" s="87" t="n">
        <x:f>T218*(W218*'01 Base Costs'!$B$7+X218)</x:f>
        <x:v>21625056000</x:v>
      </x:c>
      <x:c r="Z218" s="87" t="n">
        <x:f>T218*'01 Base Costs'!$B$8</x:f>
        <x:v>35127302400</x:v>
      </x:c>
      <x:c r="AA218" s="87" t="n">
        <x:f>Z218*'01 Base Costs'!$B$11</x:f>
        <x:v>1756365120</x:v>
      </x:c>
      <x:c r="AB218" s="87" t="n">
        <x:f>Z218-AA218</x:f>
        <x:v>33370937280</x:v>
      </x:c>
      <x:c r="AC218" s="87" t="n">
        <x:f>O218+Y218</x:f>
        <x:v>45723156000</x:v>
      </x:c>
      <x:c r="AD218" s="87" t="n">
        <x:f>AB218-AC218</x:f>
        <x:v>-12352218720</x:v>
      </x:c>
      <x:c r="AE218" s="87" t="n">
        <x:f>AD218/D218</x:f>
        <x:v>-2058703120</x:v>
      </x:c>
      <x:c r="AF218" s="87" t="n">
        <x:f>AD218/P218</x:f>
        <x:v>-1029351560</x:v>
      </x:c>
      <x:c r="AG218" s="87" t="n">
        <x:f>IF(T218=0,0,AC218/T218/(1-'01 Base Costs'!$B$11))</x:f>
        <x:v>1031585174.3556422</x:v>
      </x:c>
      <x:c r="AH218" s="88" t="str">
        <x:f>IF(AD218&gt;0,"PROFIT","LOSS")</x:f>
        <x:v>LOSS</x:v>
      </x:c>
      <x:c r="AI218" s="89" t="str">
        <x:v>Base 6M Omega. MCT purchased with PLEX in NES. Extractor bought on market with ISK.</x:v>
      </x:c>
    </x:row>
    <x:row r="219">
      <x:c r="A219" s="86" t="n">
        <x:v>217</x:v>
      </x:c>
      <x:c r="B219" s="88" t="str">
        <x:v>Base</x:v>
      </x:c>
      <x:c r="C219" s="88" t="str">
        <x:v>6M Omega</x:v>
      </x:c>
      <x:c r="D219" s="88" t="n">
        <x:v>6</x:v>
      </x:c>
      <x:c r="E219" s="88" t="n">
        <x:v>2</x:v>
      </x:c>
      <x:c r="F219" s="88" t="str">
        <x:v>NES MCT 20% sale</x:v>
      </x:c>
      <x:c r="G219" s="88" t="str">
        <x:v>NES single extractor</x:v>
      </x:c>
      <x:c r="H219" s="87" t="n">
        <x:f>'01 Base Costs'!$B$23</x:f>
        <x:v>2100</x:v>
      </x:c>
      <x:c r="I219" s="87" t="n">
        <x:f>'01 Base Costs'!$B$16*0.8</x:f>
        <x:v>388</x:v>
      </x:c>
      <x:c r="J219" s="87" t="n">
        <x:f>0</x:f>
        <x:v>0</x:v>
      </x:c>
      <x:c r="K219" s="87" t="n">
        <x:f>D219*(E219-1)*I219</x:f>
        <x:v>2328</x:v>
      </x:c>
      <x:c r="L219" s="87" t="n">
        <x:f>D219*(E219-1)*J219</x:f>
        <x:v>0</x:v>
      </x:c>
      <x:c r="M219" s="87" t="n">
        <x:f>0</x:f>
        <x:v>0</x:v>
      </x:c>
      <x:c r="N219" s="87" t="n">
        <x:f>H219+K219+M219</x:f>
        <x:v>4428</x:v>
      </x:c>
      <x:c r="O219" s="87" t="n">
        <x:f>N219*'01 Base Costs'!$B$7+L219</x:f>
        <x:v>21298680000</x:v>
      </x:c>
      <x:c r="P219" s="87" t="n">
        <x:f>D219*E219</x:f>
        <x:v>12</x:v>
      </x:c>
      <x:c r="Q219" s="87" t="n">
        <x:f>P219*'01 Base Costs'!$B$12</x:f>
        <x:v>23328000</x:v>
      </x:c>
      <x:c r="R219" s="87" t="n">
        <x:f>0</x:f>
        <x:v>0</x:v>
      </x:c>
      <x:c r="S219" s="87" t="n">
        <x:f>Q219+R219</x:f>
        <x:v>23328000</x:v>
      </x:c>
      <x:c r="T219" s="141" t="n">
        <x:f>S219/'01 Base Costs'!$B$14</x:f>
        <x:v>46.656</x:v>
      </x:c>
      <x:c r="U219" s="87" t="n">
        <x:f>INT(T219)</x:f>
        <x:v>46</x:v>
      </x:c>
      <x:c r="V219" s="87" t="n">
        <x:f>S219-U219*'01 Base Costs'!$B$14</x:f>
        <x:v>328000</x:v>
      </x:c>
      <x:c r="W219" s="120" t="n">
        <x:f>'01 Base Costs'!$B$17</x:f>
        <x:v>140</x:v>
      </x:c>
      <x:c r="X219" s="120" t="n">
        <x:f>0</x:f>
        <x:v>0</x:v>
      </x:c>
      <x:c r="Y219" s="87" t="n">
        <x:f>T219*(W219*'01 Base Costs'!$B$7+X219)</x:f>
        <x:v>31418150400</x:v>
      </x:c>
      <x:c r="Z219" s="87" t="n">
        <x:f>T219*'01 Base Costs'!$B$8</x:f>
        <x:v>35127302400</x:v>
      </x:c>
      <x:c r="AA219" s="87" t="n">
        <x:f>Z219*'01 Base Costs'!$B$11</x:f>
        <x:v>1756365120</x:v>
      </x:c>
      <x:c r="AB219" s="87" t="n">
        <x:f>Z219-AA219</x:f>
        <x:v>33370937280</x:v>
      </x:c>
      <x:c r="AC219" s="87" t="n">
        <x:f>O219+Y219</x:f>
        <x:v>52716830400</x:v>
      </x:c>
      <x:c r="AD219" s="87" t="n">
        <x:f>AB219-AC219</x:f>
        <x:v>-19345893120</x:v>
      </x:c>
      <x:c r="AE219" s="87" t="n">
        <x:f>AD219/D219</x:f>
        <x:v>-3224315520</x:v>
      </x:c>
      <x:c r="AF219" s="87" t="n">
        <x:f>AD219/P219</x:f>
        <x:v>-1612157760</x:v>
      </x:c>
      <x:c r="AG219" s="87" t="n">
        <x:f>IF(T219=0,0,AC219/T219/(1-'01 Base Costs'!$B$11))</x:f>
        <x:v>1189373294.3469787</x:v>
      </x:c>
      <x:c r="AH219" s="88" t="str">
        <x:f>IF(AD219&gt;0,"PROFIT","LOSS")</x:f>
        <x:v>LOSS</x:v>
      </x:c>
      <x:c r="AI219" s="89" t="str">
        <x:v>Base 6M Omega. MCT sale 20% off. Base single extractor.</x:v>
      </x:c>
    </x:row>
    <x:row r="220">
      <x:c r="A220" s="86" t="n">
        <x:v>218</x:v>
      </x:c>
      <x:c r="B220" s="88" t="str">
        <x:v>Base</x:v>
      </x:c>
      <x:c r="C220" s="88" t="str">
        <x:v>6M Omega</x:v>
      </x:c>
      <x:c r="D220" s="88" t="n">
        <x:v>6</x:v>
      </x:c>
      <x:c r="E220" s="88" t="n">
        <x:v>2</x:v>
      </x:c>
      <x:c r="F220" s="88" t="str">
        <x:v>NES MCT 20% sale</x:v>
      </x:c>
      <x:c r="G220" s="88" t="str">
        <x:v>NES 5-pack extractor</x:v>
      </x:c>
      <x:c r="H220" s="87" t="n">
        <x:f>'01 Base Costs'!$B$23</x:f>
        <x:v>2100</x:v>
      </x:c>
      <x:c r="I220" s="87" t="n">
        <x:f>'01 Base Costs'!$B$16*0.8</x:f>
        <x:v>388</x:v>
      </x:c>
      <x:c r="J220" s="87" t="n">
        <x:f>0</x:f>
        <x:v>0</x:v>
      </x:c>
      <x:c r="K220" s="87" t="n">
        <x:f>D220*(E220-1)*I220</x:f>
        <x:v>2328</x:v>
      </x:c>
      <x:c r="L220" s="87" t="n">
        <x:f>D220*(E220-1)*J220</x:f>
        <x:v>0</x:v>
      </x:c>
      <x:c r="M220" s="87" t="n">
        <x:f>0</x:f>
        <x:v>0</x:v>
      </x:c>
      <x:c r="N220" s="87" t="n">
        <x:f>H220+K220+M220</x:f>
        <x:v>4428</x:v>
      </x:c>
      <x:c r="O220" s="87" t="n">
        <x:f>N220*'01 Base Costs'!$B$7+L220</x:f>
        <x:v>21298680000</x:v>
      </x:c>
      <x:c r="P220" s="87" t="n">
        <x:f>D220*E220</x:f>
        <x:v>12</x:v>
      </x:c>
      <x:c r="Q220" s="87" t="n">
        <x:f>P220*'01 Base Costs'!$B$12</x:f>
        <x:v>23328000</x:v>
      </x:c>
      <x:c r="R220" s="87" t="n">
        <x:f>0</x:f>
        <x:v>0</x:v>
      </x:c>
      <x:c r="S220" s="87" t="n">
        <x:f>Q220+R220</x:f>
        <x:v>23328000</x:v>
      </x:c>
      <x:c r="T220" s="141" t="n">
        <x:f>S220/'01 Base Costs'!$B$14</x:f>
        <x:v>46.656</x:v>
      </x:c>
      <x:c r="U220" s="87" t="n">
        <x:f>INT(T220)</x:f>
        <x:v>46</x:v>
      </x:c>
      <x:c r="V220" s="87" t="n">
        <x:f>S220-U220*'01 Base Costs'!$B$14</x:f>
        <x:v>328000</x:v>
      </x:c>
      <x:c r="W220" s="120" t="n">
        <x:f>'01 Base Costs'!$B$18/5</x:f>
        <x:v>126</x:v>
      </x:c>
      <x:c r="X220" s="120" t="n">
        <x:f>0</x:f>
        <x:v>0</x:v>
      </x:c>
      <x:c r="Y220" s="87" t="n">
        <x:f>T220*(W220*'01 Base Costs'!$B$7+X220)</x:f>
        <x:v>28276335360</x:v>
      </x:c>
      <x:c r="Z220" s="87" t="n">
        <x:f>T220*'01 Base Costs'!$B$8</x:f>
        <x:v>35127302400</x:v>
      </x:c>
      <x:c r="AA220" s="87" t="n">
        <x:f>Z220*'01 Base Costs'!$B$11</x:f>
        <x:v>1756365120</x:v>
      </x:c>
      <x:c r="AB220" s="87" t="n">
        <x:f>Z220-AA220</x:f>
        <x:v>33370937280</x:v>
      </x:c>
      <x:c r="AC220" s="87" t="n">
        <x:f>O220+Y220</x:f>
        <x:v>49575015360</x:v>
      </x:c>
      <x:c r="AD220" s="87" t="n">
        <x:f>AB220-AC220</x:f>
        <x:v>-16204078080</x:v>
      </x:c>
      <x:c r="AE220" s="87" t="n">
        <x:f>AD220/D220</x:f>
        <x:v>-2700679680</x:v>
      </x:c>
      <x:c r="AF220" s="87" t="n">
        <x:f>AD220/P220</x:f>
        <x:v>-1350339840</x:v>
      </x:c>
      <x:c r="AG220" s="87" t="n">
        <x:f>IF(T220=0,0,AC220/T220/(1-'01 Base Costs'!$B$11))</x:f>
        <x:v>1118489083.8206627</x:v>
      </x:c>
      <x:c r="AH220" s="88" t="str">
        <x:f>IF(AD220&gt;0,"PROFIT","LOSS")</x:f>
        <x:v>LOSS</x:v>
      </x:c>
      <x:c r="AI220" s="89" t="str">
        <x:v>Base 6M Omega. MCT sale 20% off. Base 5-pack average.</x:v>
      </x:c>
    </x:row>
    <x:row r="221">
      <x:c r="A221" s="86" t="n">
        <x:v>219</x:v>
      </x:c>
      <x:c r="B221" s="88" t="str">
        <x:v>Base</x:v>
      </x:c>
      <x:c r="C221" s="88" t="str">
        <x:v>6M Omega</x:v>
      </x:c>
      <x:c r="D221" s="88" t="n">
        <x:v>6</x:v>
      </x:c>
      <x:c r="E221" s="88" t="n">
        <x:v>2</x:v>
      </x:c>
      <x:c r="F221" s="88" t="str">
        <x:v>NES MCT 20% sale</x:v>
      </x:c>
      <x:c r="G221" s="88" t="str">
        <x:v>NES 10-pack extractor</x:v>
      </x:c>
      <x:c r="H221" s="87" t="n">
        <x:f>'01 Base Costs'!$B$23</x:f>
        <x:v>2100</x:v>
      </x:c>
      <x:c r="I221" s="87" t="n">
        <x:f>'01 Base Costs'!$B$16*0.8</x:f>
        <x:v>388</x:v>
      </x:c>
      <x:c r="J221" s="87" t="n">
        <x:f>0</x:f>
        <x:v>0</x:v>
      </x:c>
      <x:c r="K221" s="87" t="n">
        <x:f>D221*(E221-1)*I221</x:f>
        <x:v>2328</x:v>
      </x:c>
      <x:c r="L221" s="87" t="n">
        <x:f>D221*(E221-1)*J221</x:f>
        <x:v>0</x:v>
      </x:c>
      <x:c r="M221" s="87" t="n">
        <x:f>0</x:f>
        <x:v>0</x:v>
      </x:c>
      <x:c r="N221" s="87" t="n">
        <x:f>H221+K221+M221</x:f>
        <x:v>4428</x:v>
      </x:c>
      <x:c r="O221" s="87" t="n">
        <x:f>N221*'01 Base Costs'!$B$7+L221</x:f>
        <x:v>21298680000</x:v>
      </x:c>
      <x:c r="P221" s="87" t="n">
        <x:f>D221*E221</x:f>
        <x:v>12</x:v>
      </x:c>
      <x:c r="Q221" s="87" t="n">
        <x:f>P221*'01 Base Costs'!$B$12</x:f>
        <x:v>23328000</x:v>
      </x:c>
      <x:c r="R221" s="87" t="n">
        <x:f>0</x:f>
        <x:v>0</x:v>
      </x:c>
      <x:c r="S221" s="87" t="n">
        <x:f>Q221+R221</x:f>
        <x:v>23328000</x:v>
      </x:c>
      <x:c r="T221" s="141" t="n">
        <x:f>S221/'01 Base Costs'!$B$14</x:f>
        <x:v>46.656</x:v>
      </x:c>
      <x:c r="U221" s="87" t="n">
        <x:f>INT(T221)</x:f>
        <x:v>46</x:v>
      </x:c>
      <x:c r="V221" s="87" t="n">
        <x:f>S221-U221*'01 Base Costs'!$B$14</x:f>
        <x:v>328000</x:v>
      </x:c>
      <x:c r="W221" s="120" t="n">
        <x:f>'01 Base Costs'!$B$19/10</x:f>
        <x:v>119</x:v>
      </x:c>
      <x:c r="X221" s="120" t="n">
        <x:f>0</x:f>
        <x:v>0</x:v>
      </x:c>
      <x:c r="Y221" s="87" t="n">
        <x:f>T221*(W221*'01 Base Costs'!$B$7+X221)</x:f>
        <x:v>26705427840</x:v>
      </x:c>
      <x:c r="Z221" s="87" t="n">
        <x:f>T221*'01 Base Costs'!$B$8</x:f>
        <x:v>35127302400</x:v>
      </x:c>
      <x:c r="AA221" s="87" t="n">
        <x:f>Z221*'01 Base Costs'!$B$11</x:f>
        <x:v>1756365120</x:v>
      </x:c>
      <x:c r="AB221" s="87" t="n">
        <x:f>Z221-AA221</x:f>
        <x:v>33370937280</x:v>
      </x:c>
      <x:c r="AC221" s="87" t="n">
        <x:f>O221+Y221</x:f>
        <x:v>48004107840</x:v>
      </x:c>
      <x:c r="AD221" s="87" t="n">
        <x:f>AB221-AC221</x:f>
        <x:v>-14633170560</x:v>
      </x:c>
      <x:c r="AE221" s="87" t="n">
        <x:f>AD221/D221</x:f>
        <x:v>-2438861760</x:v>
      </x:c>
      <x:c r="AF221" s="87" t="n">
        <x:f>AD221/P221</x:f>
        <x:v>-1219430880</x:v>
      </x:c>
      <x:c r="AG221" s="87" t="n">
        <x:f>IF(T221=0,0,AC221/T221/(1-'01 Base Costs'!$B$11))</x:f>
        <x:v>1083046978.557505</x:v>
      </x:c>
      <x:c r="AH221" s="88" t="str">
        <x:f>IF(AD221&gt;0,"PROFIT","LOSS")</x:f>
        <x:v>LOSS</x:v>
      </x:c>
      <x:c r="AI221" s="89" t="str">
        <x:v>Base 6M Omega. MCT sale 20% off. Base 10-pack average.</x:v>
      </x:c>
    </x:row>
    <x:row r="222">
      <x:c r="A222" s="86" t="n">
        <x:v>220</x:v>
      </x:c>
      <x:c r="B222" s="88" t="str">
        <x:v>Base</x:v>
      </x:c>
      <x:c r="C222" s="88" t="str">
        <x:v>6M Omega</x:v>
      </x:c>
      <x:c r="D222" s="88" t="n">
        <x:v>6</x:v>
      </x:c>
      <x:c r="E222" s="88" t="n">
        <x:v>2</x:v>
      </x:c>
      <x:c r="F222" s="88" t="str">
        <x:v>NES MCT 20% sale</x:v>
      </x:c>
      <x:c r="G222" s="88" t="str">
        <x:v>NES 50-pack extractor</x:v>
      </x:c>
      <x:c r="H222" s="87" t="n">
        <x:f>'01 Base Costs'!$B$23</x:f>
        <x:v>2100</x:v>
      </x:c>
      <x:c r="I222" s="87" t="n">
        <x:f>'01 Base Costs'!$B$16*0.8</x:f>
        <x:v>388</x:v>
      </x:c>
      <x:c r="J222" s="87" t="n">
        <x:f>0</x:f>
        <x:v>0</x:v>
      </x:c>
      <x:c r="K222" s="87" t="n">
        <x:f>D222*(E222-1)*I222</x:f>
        <x:v>2328</x:v>
      </x:c>
      <x:c r="L222" s="87" t="n">
        <x:f>D222*(E222-1)*J222</x:f>
        <x:v>0</x:v>
      </x:c>
      <x:c r="M222" s="87" t="n">
        <x:f>0</x:f>
        <x:v>0</x:v>
      </x:c>
      <x:c r="N222" s="87" t="n">
        <x:f>H222+K222+M222</x:f>
        <x:v>4428</x:v>
      </x:c>
      <x:c r="O222" s="87" t="n">
        <x:f>N222*'01 Base Costs'!$B$7+L222</x:f>
        <x:v>21298680000</x:v>
      </x:c>
      <x:c r="P222" s="87" t="n">
        <x:f>D222*E222</x:f>
        <x:v>12</x:v>
      </x:c>
      <x:c r="Q222" s="87" t="n">
        <x:f>P222*'01 Base Costs'!$B$12</x:f>
        <x:v>23328000</x:v>
      </x:c>
      <x:c r="R222" s="87" t="n">
        <x:f>0</x:f>
        <x:v>0</x:v>
      </x:c>
      <x:c r="S222" s="87" t="n">
        <x:f>Q222+R222</x:f>
        <x:v>23328000</x:v>
      </x:c>
      <x:c r="T222" s="141" t="n">
        <x:f>S222/'01 Base Costs'!$B$14</x:f>
        <x:v>46.656</x:v>
      </x:c>
      <x:c r="U222" s="87" t="n">
        <x:f>INT(T222)</x:f>
        <x:v>46</x:v>
      </x:c>
      <x:c r="V222" s="87" t="n">
        <x:f>S222-U222*'01 Base Costs'!$B$14</x:f>
        <x:v>328000</x:v>
      </x:c>
      <x:c r="W222" s="120" t="n">
        <x:f>'01 Base Costs'!$B$20/50</x:f>
        <x:v>112</x:v>
      </x:c>
      <x:c r="X222" s="120" t="n">
        <x:f>0</x:f>
        <x:v>0</x:v>
      </x:c>
      <x:c r="Y222" s="87" t="n">
        <x:f>T222*(W222*'01 Base Costs'!$B$7+X222)</x:f>
        <x:v>25134520320</x:v>
      </x:c>
      <x:c r="Z222" s="87" t="n">
        <x:f>T222*'01 Base Costs'!$B$8</x:f>
        <x:v>35127302400</x:v>
      </x:c>
      <x:c r="AA222" s="87" t="n">
        <x:f>Z222*'01 Base Costs'!$B$11</x:f>
        <x:v>1756365120</x:v>
      </x:c>
      <x:c r="AB222" s="87" t="n">
        <x:f>Z222-AA222</x:f>
        <x:v>33370937280</x:v>
      </x:c>
      <x:c r="AC222" s="87" t="n">
        <x:f>O222+Y222</x:f>
        <x:v>46433200320</x:v>
      </x:c>
      <x:c r="AD222" s="87" t="n">
        <x:f>AB222-AC222</x:f>
        <x:v>-13062263040</x:v>
      </x:c>
      <x:c r="AE222" s="87" t="n">
        <x:f>AD222/D222</x:f>
        <x:v>-2177043840</x:v>
      </x:c>
      <x:c r="AF222" s="87" t="n">
        <x:f>AD222/P222</x:f>
        <x:v>-1088521920</x:v>
      </x:c>
      <x:c r="AG222" s="87" t="n">
        <x:f>IF(T222=0,0,AC222/T222/(1-'01 Base Costs'!$B$11))</x:f>
        <x:v>1047604873.294347</x:v>
      </x:c>
      <x:c r="AH222" s="88" t="str">
        <x:f>IF(AD222&gt;0,"PROFIT","LOSS")</x:f>
        <x:v>LOSS</x:v>
      </x:c>
      <x:c r="AI222" s="89" t="str">
        <x:v>Base 6M Omega. MCT sale 20% off. Base 50-pack average.</x:v>
      </x:c>
    </x:row>
    <x:row r="223">
      <x:c r="A223" s="86" t="n">
        <x:v>221</x:v>
      </x:c>
      <x:c r="B223" s="88" t="str">
        <x:v>Base</x:v>
      </x:c>
      <x:c r="C223" s="88" t="str">
        <x:v>6M Omega</x:v>
      </x:c>
      <x:c r="D223" s="88" t="n">
        <x:v>6</x:v>
      </x:c>
      <x:c r="E223" s="88" t="n">
        <x:v>2</x:v>
      </x:c>
      <x:c r="F223" s="88" t="str">
        <x:v>NES MCT 20% sale</x:v>
      </x:c>
      <x:c r="G223" s="88" t="str">
        <x:v>NES 3-for-2 extractor sale</x:v>
      </x:c>
      <x:c r="H223" s="87" t="n">
        <x:f>'01 Base Costs'!$B$23</x:f>
        <x:v>2100</x:v>
      </x:c>
      <x:c r="I223" s="87" t="n">
        <x:f>'01 Base Costs'!$B$16*0.8</x:f>
        <x:v>388</x:v>
      </x:c>
      <x:c r="J223" s="87" t="n">
        <x:f>0</x:f>
        <x:v>0</x:v>
      </x:c>
      <x:c r="K223" s="87" t="n">
        <x:f>D223*(E223-1)*I223</x:f>
        <x:v>2328</x:v>
      </x:c>
      <x:c r="L223" s="87" t="n">
        <x:f>D223*(E223-1)*J223</x:f>
        <x:v>0</x:v>
      </x:c>
      <x:c r="M223" s="87" t="n">
        <x:f>0</x:f>
        <x:v>0</x:v>
      </x:c>
      <x:c r="N223" s="87" t="n">
        <x:f>H223+K223+M223</x:f>
        <x:v>4428</x:v>
      </x:c>
      <x:c r="O223" s="87" t="n">
        <x:f>N223*'01 Base Costs'!$B$7+L223</x:f>
        <x:v>21298680000</x:v>
      </x:c>
      <x:c r="P223" s="87" t="n">
        <x:f>D223*E223</x:f>
        <x:v>12</x:v>
      </x:c>
      <x:c r="Q223" s="87" t="n">
        <x:f>P223*'01 Base Costs'!$B$12</x:f>
        <x:v>23328000</x:v>
      </x:c>
      <x:c r="R223" s="87" t="n">
        <x:f>0</x:f>
        <x:v>0</x:v>
      </x:c>
      <x:c r="S223" s="87" t="n">
        <x:f>Q223+R223</x:f>
        <x:v>23328000</x:v>
      </x:c>
      <x:c r="T223" s="141" t="n">
        <x:f>S223/'01 Base Costs'!$B$14</x:f>
        <x:v>46.656</x:v>
      </x:c>
      <x:c r="U223" s="87" t="n">
        <x:f>INT(T223)</x:f>
        <x:v>46</x:v>
      </x:c>
      <x:c r="V223" s="87" t="n">
        <x:f>S223-U223*'01 Base Costs'!$B$14</x:f>
        <x:v>328000</x:v>
      </x:c>
      <x:c r="W223" s="120" t="n">
        <x:f>'01 Base Costs'!$B$17*2/3</x:f>
        <x:v>93.33333333333333</x:v>
      </x:c>
      <x:c r="X223" s="120" t="n">
        <x:f>0</x:f>
        <x:v>0</x:v>
      </x:c>
      <x:c r="Y223" s="87" t="n">
        <x:f>T223*(W223*'01 Base Costs'!$B$7+X223)</x:f>
        <x:v>20945433600</x:v>
      </x:c>
      <x:c r="Z223" s="87" t="n">
        <x:f>T223*'01 Base Costs'!$B$8</x:f>
        <x:v>35127302400</x:v>
      </x:c>
      <x:c r="AA223" s="87" t="n">
        <x:f>Z223*'01 Base Costs'!$B$11</x:f>
        <x:v>1756365120</x:v>
      </x:c>
      <x:c r="AB223" s="87" t="n">
        <x:f>Z223-AA223</x:f>
        <x:v>33370937280</x:v>
      </x:c>
      <x:c r="AC223" s="87" t="n">
        <x:f>O223+Y223</x:f>
        <x:v>42244113600</x:v>
      </x:c>
      <x:c r="AD223" s="87" t="n">
        <x:f>AB223-AC223</x:f>
        <x:v>-8873176320</x:v>
      </x:c>
      <x:c r="AE223" s="87" t="n">
        <x:f>AD223/D223</x:f>
        <x:v>-1478862720</x:v>
      </x:c>
      <x:c r="AF223" s="87" t="n">
        <x:f>AD223/P223</x:f>
        <x:v>-739431360</x:v>
      </x:c>
      <x:c r="AG223" s="87" t="n">
        <x:f>IF(T223=0,0,AC223/T223/(1-'01 Base Costs'!$B$11))</x:f>
        <x:v>953092592.5925927</x:v>
      </x:c>
      <x:c r="AH223" s="88" t="str">
        <x:f>IF(AD223&gt;0,"PROFIT","LOSS")</x:f>
        <x:v>LOSS</x:v>
      </x:c>
      <x:c r="AI223" s="89" t="str">
        <x:v>Base 6M Omega. MCT sale 20% off. Extractor 3-for-2 sale.</x:v>
      </x:c>
    </x:row>
    <x:row r="224">
      <x:c r="A224" s="86" t="n">
        <x:v>222</x:v>
      </x:c>
      <x:c r="B224" s="88" t="str">
        <x:v>Base</x:v>
      </x:c>
      <x:c r="C224" s="88" t="str">
        <x:v>6M Omega</x:v>
      </x:c>
      <x:c r="D224" s="88" t="n">
        <x:v>6</x:v>
      </x:c>
      <x:c r="E224" s="88" t="n">
        <x:v>2</x:v>
      </x:c>
      <x:c r="F224" s="88" t="str">
        <x:v>NES MCT 20% sale</x:v>
      </x:c>
      <x:c r="G224" s="88" t="str">
        <x:v>NES 2-for-1 extractor sale</x:v>
      </x:c>
      <x:c r="H224" s="87" t="n">
        <x:f>'01 Base Costs'!$B$23</x:f>
        <x:v>2100</x:v>
      </x:c>
      <x:c r="I224" s="87" t="n">
        <x:f>'01 Base Costs'!$B$16*0.8</x:f>
        <x:v>388</x:v>
      </x:c>
      <x:c r="J224" s="87" t="n">
        <x:f>0</x:f>
        <x:v>0</x:v>
      </x:c>
      <x:c r="K224" s="87" t="n">
        <x:f>D224*(E224-1)*I224</x:f>
        <x:v>2328</x:v>
      </x:c>
      <x:c r="L224" s="87" t="n">
        <x:f>D224*(E224-1)*J224</x:f>
        <x:v>0</x:v>
      </x:c>
      <x:c r="M224" s="87" t="n">
        <x:f>0</x:f>
        <x:v>0</x:v>
      </x:c>
      <x:c r="N224" s="87" t="n">
        <x:f>H224+K224+M224</x:f>
        <x:v>4428</x:v>
      </x:c>
      <x:c r="O224" s="87" t="n">
        <x:f>N224*'01 Base Costs'!$B$7+L224</x:f>
        <x:v>21298680000</x:v>
      </x:c>
      <x:c r="P224" s="87" t="n">
        <x:f>D224*E224</x:f>
        <x:v>12</x:v>
      </x:c>
      <x:c r="Q224" s="87" t="n">
        <x:f>P224*'01 Base Costs'!$B$12</x:f>
        <x:v>23328000</x:v>
      </x:c>
      <x:c r="R224" s="87" t="n">
        <x:f>0</x:f>
        <x:v>0</x:v>
      </x:c>
      <x:c r="S224" s="87" t="n">
        <x:f>Q224+R224</x:f>
        <x:v>23328000</x:v>
      </x:c>
      <x:c r="T224" s="141" t="n">
        <x:f>S224/'01 Base Costs'!$B$14</x:f>
        <x:v>46.656</x:v>
      </x:c>
      <x:c r="U224" s="87" t="n">
        <x:f>INT(T224)</x:f>
        <x:v>46</x:v>
      </x:c>
      <x:c r="V224" s="87" t="n">
        <x:f>S224-U224*'01 Base Costs'!$B$14</x:f>
        <x:v>328000</x:v>
      </x:c>
      <x:c r="W224" s="120" t="n">
        <x:f>'01 Base Costs'!$B$17/2</x:f>
        <x:v>70</x:v>
      </x:c>
      <x:c r="X224" s="120" t="n">
        <x:f>0</x:f>
        <x:v>0</x:v>
      </x:c>
      <x:c r="Y224" s="87" t="n">
        <x:f>T224*(W224*'01 Base Costs'!$B$7+X224)</x:f>
        <x:v>15709075200</x:v>
      </x:c>
      <x:c r="Z224" s="87" t="n">
        <x:f>T224*'01 Base Costs'!$B$8</x:f>
        <x:v>35127302400</x:v>
      </x:c>
      <x:c r="AA224" s="87" t="n">
        <x:f>Z224*'01 Base Costs'!$B$11</x:f>
        <x:v>1756365120</x:v>
      </x:c>
      <x:c r="AB224" s="87" t="n">
        <x:f>Z224-AA224</x:f>
        <x:v>33370937280</x:v>
      </x:c>
      <x:c r="AC224" s="87" t="n">
        <x:f>O224+Y224</x:f>
        <x:v>37007755200</x:v>
      </x:c>
      <x:c r="AD224" s="87" t="n">
        <x:f>AB224-AC224</x:f>
        <x:v>-3636817920</x:v>
      </x:c>
      <x:c r="AE224" s="87" t="n">
        <x:f>AD224/D224</x:f>
        <x:v>-606136320</x:v>
      </x:c>
      <x:c r="AF224" s="87" t="n">
        <x:f>AD224/P224</x:f>
        <x:v>-303068160</x:v>
      </x:c>
      <x:c r="AG224" s="87" t="n">
        <x:f>IF(T224=0,0,AC224/T224/(1-'01 Base Costs'!$B$11))</x:f>
        <x:v>834952241.7153996</x:v>
      </x:c>
      <x:c r="AH224" s="88" t="str">
        <x:f>IF(AD224&gt;0,"PROFIT","LOSS")</x:f>
        <x:v>LOSS</x:v>
      </x:c>
      <x:c r="AI224" s="89" t="str">
        <x:v>Base 6M Omega. MCT sale 20% off. Extractor 2-for-1 sale.</x:v>
      </x:c>
    </x:row>
    <x:row r="225">
      <x:c r="A225" s="86" t="n">
        <x:v>223</x:v>
      </x:c>
      <x:c r="B225" s="88" t="str">
        <x:v>Base</x:v>
      </x:c>
      <x:c r="C225" s="88" t="str">
        <x:v>6M Omega</x:v>
      </x:c>
      <x:c r="D225" s="88" t="n">
        <x:v>6</x:v>
      </x:c>
      <x:c r="E225" s="88" t="n">
        <x:v>2</x:v>
      </x:c>
      <x:c r="F225" s="88" t="str">
        <x:v>NES MCT 20% sale</x:v>
      </x:c>
      <x:c r="G225" s="88" t="str">
        <x:v>NES 10-pack extractor 20% sale</x:v>
      </x:c>
      <x:c r="H225" s="87" t="n">
        <x:f>'01 Base Costs'!$B$23</x:f>
        <x:v>2100</x:v>
      </x:c>
      <x:c r="I225" s="87" t="n">
        <x:f>'01 Base Costs'!$B$16*0.8</x:f>
        <x:v>388</x:v>
      </x:c>
      <x:c r="J225" s="87" t="n">
        <x:f>0</x:f>
        <x:v>0</x:v>
      </x:c>
      <x:c r="K225" s="87" t="n">
        <x:f>D225*(E225-1)*I225</x:f>
        <x:v>2328</x:v>
      </x:c>
      <x:c r="L225" s="87" t="n">
        <x:f>D225*(E225-1)*J225</x:f>
        <x:v>0</x:v>
      </x:c>
      <x:c r="M225" s="87" t="n">
        <x:f>0</x:f>
        <x:v>0</x:v>
      </x:c>
      <x:c r="N225" s="87" t="n">
        <x:f>H225+K225+M225</x:f>
        <x:v>4428</x:v>
      </x:c>
      <x:c r="O225" s="87" t="n">
        <x:f>N225*'01 Base Costs'!$B$7+L225</x:f>
        <x:v>21298680000</x:v>
      </x:c>
      <x:c r="P225" s="87" t="n">
        <x:f>D225*E225</x:f>
        <x:v>12</x:v>
      </x:c>
      <x:c r="Q225" s="87" t="n">
        <x:f>P225*'01 Base Costs'!$B$12</x:f>
        <x:v>23328000</x:v>
      </x:c>
      <x:c r="R225" s="87" t="n">
        <x:f>0</x:f>
        <x:v>0</x:v>
      </x:c>
      <x:c r="S225" s="87" t="n">
        <x:f>Q225+R225</x:f>
        <x:v>23328000</x:v>
      </x:c>
      <x:c r="T225" s="141" t="n">
        <x:f>S225/'01 Base Costs'!$B$14</x:f>
        <x:v>46.656</x:v>
      </x:c>
      <x:c r="U225" s="87" t="n">
        <x:f>INT(T225)</x:f>
        <x:v>46</x:v>
      </x:c>
      <x:c r="V225" s="87" t="n">
        <x:f>S225-U225*'01 Base Costs'!$B$14</x:f>
        <x:v>328000</x:v>
      </x:c>
      <x:c r="W225" s="120" t="n">
        <x:f>'01 Base Costs'!$B$19*0.8/10</x:f>
        <x:v>95.2</x:v>
      </x:c>
      <x:c r="X225" s="120" t="n">
        <x:f>0</x:f>
        <x:v>0</x:v>
      </x:c>
      <x:c r="Y225" s="87" t="n">
        <x:f>T225*(W225*'01 Base Costs'!$B$7+X225)</x:f>
        <x:v>21364342272</x:v>
      </x:c>
      <x:c r="Z225" s="87" t="n">
        <x:f>T225*'01 Base Costs'!$B$8</x:f>
        <x:v>35127302400</x:v>
      </x:c>
      <x:c r="AA225" s="87" t="n">
        <x:f>Z225*'01 Base Costs'!$B$11</x:f>
        <x:v>1756365120</x:v>
      </x:c>
      <x:c r="AB225" s="87" t="n">
        <x:f>Z225-AA225</x:f>
        <x:v>33370937280</x:v>
      </x:c>
      <x:c r="AC225" s="87" t="n">
        <x:f>O225+Y225</x:f>
        <x:v>42663022272</x:v>
      </x:c>
      <x:c r="AD225" s="87" t="n">
        <x:f>AB225-AC225</x:f>
        <x:v>-9292084992</x:v>
      </x:c>
      <x:c r="AE225" s="87" t="n">
        <x:f>AD225/D225</x:f>
        <x:v>-1548680832</x:v>
      </x:c>
      <x:c r="AF225" s="87" t="n">
        <x:f>AD225/P225</x:f>
        <x:v>-774340416</x:v>
      </x:c>
      <x:c r="AG225" s="87" t="n">
        <x:f>IF(T225=0,0,AC225/T225/(1-'01 Base Costs'!$B$11))</x:f>
        <x:v>962543820.662768</x:v>
      </x:c>
      <x:c r="AH225" s="88" t="str">
        <x:f>IF(AD225&gt;0,"PROFIT","LOSS")</x:f>
        <x:v>LOSS</x:v>
      </x:c>
      <x:c r="AI225" s="89" t="str">
        <x:v>Base 6M Omega. MCT sale 20% off. 10-pack at 20% off.</x:v>
      </x:c>
    </x:row>
    <x:row r="226">
      <x:c r="A226" s="86" t="n">
        <x:v>224</x:v>
      </x:c>
      <x:c r="B226" s="88" t="str">
        <x:v>Base</x:v>
      </x:c>
      <x:c r="C226" s="88" t="str">
        <x:v>6M Omega</x:v>
      </x:c>
      <x:c r="D226" s="88" t="n">
        <x:v>6</x:v>
      </x:c>
      <x:c r="E226" s="88" t="n">
        <x:v>2</x:v>
      </x:c>
      <x:c r="F226" s="88" t="str">
        <x:v>NES MCT 20% sale</x:v>
      </x:c>
      <x:c r="G226" s="88" t="str">
        <x:v>NES 50-pack extractor 20% sale</x:v>
      </x:c>
      <x:c r="H226" s="87" t="n">
        <x:f>'01 Base Costs'!$B$23</x:f>
        <x:v>2100</x:v>
      </x:c>
      <x:c r="I226" s="87" t="n">
        <x:f>'01 Base Costs'!$B$16*0.8</x:f>
        <x:v>388</x:v>
      </x:c>
      <x:c r="J226" s="87" t="n">
        <x:f>0</x:f>
        <x:v>0</x:v>
      </x:c>
      <x:c r="K226" s="87" t="n">
        <x:f>D226*(E226-1)*I226</x:f>
        <x:v>2328</x:v>
      </x:c>
      <x:c r="L226" s="87" t="n">
        <x:f>D226*(E226-1)*J226</x:f>
        <x:v>0</x:v>
      </x:c>
      <x:c r="M226" s="87" t="n">
        <x:f>0</x:f>
        <x:v>0</x:v>
      </x:c>
      <x:c r="N226" s="87" t="n">
        <x:f>H226+K226+M226</x:f>
        <x:v>4428</x:v>
      </x:c>
      <x:c r="O226" s="87" t="n">
        <x:f>N226*'01 Base Costs'!$B$7+L226</x:f>
        <x:v>21298680000</x:v>
      </x:c>
      <x:c r="P226" s="87" t="n">
        <x:f>D226*E226</x:f>
        <x:v>12</x:v>
      </x:c>
      <x:c r="Q226" s="87" t="n">
        <x:f>P226*'01 Base Costs'!$B$12</x:f>
        <x:v>23328000</x:v>
      </x:c>
      <x:c r="R226" s="87" t="n">
        <x:f>0</x:f>
        <x:v>0</x:v>
      </x:c>
      <x:c r="S226" s="87" t="n">
        <x:f>Q226+R226</x:f>
        <x:v>23328000</x:v>
      </x:c>
      <x:c r="T226" s="141" t="n">
        <x:f>S226/'01 Base Costs'!$B$14</x:f>
        <x:v>46.656</x:v>
      </x:c>
      <x:c r="U226" s="87" t="n">
        <x:f>INT(T226)</x:f>
        <x:v>46</x:v>
      </x:c>
      <x:c r="V226" s="87" t="n">
        <x:f>S226-U226*'01 Base Costs'!$B$14</x:f>
        <x:v>328000</x:v>
      </x:c>
      <x:c r="W226" s="120" t="n">
        <x:f>'01 Base Costs'!$B$20*0.8/50</x:f>
        <x:v>89.6</x:v>
      </x:c>
      <x:c r="X226" s="120" t="n">
        <x:f>0</x:f>
        <x:v>0</x:v>
      </x:c>
      <x:c r="Y226" s="87" t="n">
        <x:f>T226*(W226*'01 Base Costs'!$B$7+X226)</x:f>
        <x:v>20107616256</x:v>
      </x:c>
      <x:c r="Z226" s="87" t="n">
        <x:f>T226*'01 Base Costs'!$B$8</x:f>
        <x:v>35127302400</x:v>
      </x:c>
      <x:c r="AA226" s="87" t="n">
        <x:f>Z226*'01 Base Costs'!$B$11</x:f>
        <x:v>1756365120</x:v>
      </x:c>
      <x:c r="AB226" s="87" t="n">
        <x:f>Z226-AA226</x:f>
        <x:v>33370937280</x:v>
      </x:c>
      <x:c r="AC226" s="87" t="n">
        <x:f>O226+Y226</x:f>
        <x:v>41406296256</x:v>
      </x:c>
      <x:c r="AD226" s="87" t="n">
        <x:f>AB226-AC226</x:f>
        <x:v>-8035358976</x:v>
      </x:c>
      <x:c r="AE226" s="87" t="n">
        <x:f>AD226/D226</x:f>
        <x:v>-1339226496</x:v>
      </x:c>
      <x:c r="AF226" s="87" t="n">
        <x:f>AD226/P226</x:f>
        <x:v>-669613248</x:v>
      </x:c>
      <x:c r="AG226" s="87" t="n">
        <x:f>IF(T226=0,0,AC226/T226/(1-'01 Base Costs'!$B$11))</x:f>
        <x:v>934190136.4522418</x:v>
      </x:c>
      <x:c r="AH226" s="88" t="str">
        <x:f>IF(AD226&gt;0,"PROFIT","LOSS")</x:f>
        <x:v>LOSS</x:v>
      </x:c>
      <x:c r="AI226" s="89" t="str">
        <x:v>Base 6M Omega. MCT sale 20% off. 50-pack at 20% off.</x:v>
      </x:c>
    </x:row>
    <x:row r="227">
      <x:c r="A227" s="86" t="n">
        <x:v>225</x:v>
      </x:c>
      <x:c r="B227" s="88" t="str">
        <x:v>Base</x:v>
      </x:c>
      <x:c r="C227" s="88" t="str">
        <x:v>6M Omega</x:v>
      </x:c>
      <x:c r="D227" s="88" t="n">
        <x:v>6</x:v>
      </x:c>
      <x:c r="E227" s="88" t="n">
        <x:v>2</x:v>
      </x:c>
      <x:c r="F227" s="88" t="str">
        <x:v>NES MCT 20% sale</x:v>
      </x:c>
      <x:c r="G227" s="88" t="str">
        <x:v>Market Skill Extractor</x:v>
      </x:c>
      <x:c r="H227" s="87" t="n">
        <x:f>'01 Base Costs'!$B$23</x:f>
        <x:v>2100</x:v>
      </x:c>
      <x:c r="I227" s="87" t="n">
        <x:f>'01 Base Costs'!$B$16*0.8</x:f>
        <x:v>388</x:v>
      </x:c>
      <x:c r="J227" s="87" t="n">
        <x:f>0</x:f>
        <x:v>0</x:v>
      </x:c>
      <x:c r="K227" s="87" t="n">
        <x:f>D227*(E227-1)*I227</x:f>
        <x:v>2328</x:v>
      </x:c>
      <x:c r="L227" s="87" t="n">
        <x:f>D227*(E227-1)*J227</x:f>
        <x:v>0</x:v>
      </x:c>
      <x:c r="M227" s="87" t="n">
        <x:f>0</x:f>
        <x:v>0</x:v>
      </x:c>
      <x:c r="N227" s="87" t="n">
        <x:f>H227+K227+M227</x:f>
        <x:v>4428</x:v>
      </x:c>
      <x:c r="O227" s="87" t="n">
        <x:f>N227*'01 Base Costs'!$B$7+L227</x:f>
        <x:v>21298680000</x:v>
      </x:c>
      <x:c r="P227" s="87" t="n">
        <x:f>D227*E227</x:f>
        <x:v>12</x:v>
      </x:c>
      <x:c r="Q227" s="87" t="n">
        <x:f>P227*'01 Base Costs'!$B$12</x:f>
        <x:v>23328000</x:v>
      </x:c>
      <x:c r="R227" s="87" t="n">
        <x:f>0</x:f>
        <x:v>0</x:v>
      </x:c>
      <x:c r="S227" s="87" t="n">
        <x:f>Q227+R227</x:f>
        <x:v>23328000</x:v>
      </x:c>
      <x:c r="T227" s="141" t="n">
        <x:f>S227/'01 Base Costs'!$B$14</x:f>
        <x:v>46.656</x:v>
      </x:c>
      <x:c r="U227" s="87" t="n">
        <x:f>INT(T227)</x:f>
        <x:v>46</x:v>
      </x:c>
      <x:c r="V227" s="87" t="n">
        <x:f>S227-U227*'01 Base Costs'!$B$14</x:f>
        <x:v>328000</x:v>
      </x:c>
      <x:c r="W227" s="120" t="n">
        <x:f>0</x:f>
        <x:v>0</x:v>
      </x:c>
      <x:c r="X227" s="120" t="n">
        <x:f>'01 Base Costs'!$B$9</x:f>
        <x:v>463500000</x:v>
      </x:c>
      <x:c r="Y227" s="87" t="n">
        <x:f>T227*(W227*'01 Base Costs'!$B$7+X227)</x:f>
        <x:v>21625056000</x:v>
      </x:c>
      <x:c r="Z227" s="87" t="n">
        <x:f>T227*'01 Base Costs'!$B$8</x:f>
        <x:v>35127302400</x:v>
      </x:c>
      <x:c r="AA227" s="87" t="n">
        <x:f>Z227*'01 Base Costs'!$B$11</x:f>
        <x:v>1756365120</x:v>
      </x:c>
      <x:c r="AB227" s="87" t="n">
        <x:f>Z227-AA227</x:f>
        <x:v>33370937280</x:v>
      </x:c>
      <x:c r="AC227" s="87" t="n">
        <x:f>O227+Y227</x:f>
        <x:v>42923736000</x:v>
      </x:c>
      <x:c r="AD227" s="87" t="n">
        <x:f>AB227-AC227</x:f>
        <x:v>-9552798720</x:v>
      </x:c>
      <x:c r="AE227" s="87" t="n">
        <x:f>AD227/D227</x:f>
        <x:v>-1592133120</x:v>
      </x:c>
      <x:c r="AF227" s="87" t="n">
        <x:f>AD227/P227</x:f>
        <x:v>-796066560</x:v>
      </x:c>
      <x:c r="AG227" s="87" t="n">
        <x:f>IF(T227=0,0,AC227/T227/(1-'01 Base Costs'!$B$11))</x:f>
        <x:v>968425925.925926</x:v>
      </x:c>
      <x:c r="AH227" s="88" t="str">
        <x:f>IF(AD227&gt;0,"PROFIT","LOSS")</x:f>
        <x:v>LOSS</x:v>
      </x:c>
      <x:c r="AI227" s="89" t="str">
        <x:v>Base 6M Omega. MCT sale 20% off. Extractor bought on market with ISK.</x:v>
      </x:c>
    </x:row>
    <x:row r="228">
      <x:c r="A228" s="86" t="n">
        <x:v>226</x:v>
      </x:c>
      <x:c r="B228" s="88" t="str">
        <x:v>Base</x:v>
      </x:c>
      <x:c r="C228" s="88" t="str">
        <x:v>6M Omega</x:v>
      </x:c>
      <x:c r="D228" s="88" t="n">
        <x:v>6</x:v>
      </x:c>
      <x:c r="E228" s="88" t="n">
        <x:v>2</x:v>
      </x:c>
      <x:c r="F228" s="88" t="str">
        <x:v>NES MCT 30% sale</x:v>
      </x:c>
      <x:c r="G228" s="88" t="str">
        <x:v>NES single extractor</x:v>
      </x:c>
      <x:c r="H228" s="87" t="n">
        <x:f>'01 Base Costs'!$B$23</x:f>
        <x:v>2100</x:v>
      </x:c>
      <x:c r="I228" s="87" t="n">
        <x:f>'01 Base Costs'!$B$16*0.7</x:f>
        <x:v>339.5</x:v>
      </x:c>
      <x:c r="J228" s="87" t="n">
        <x:f>0</x:f>
        <x:v>0</x:v>
      </x:c>
      <x:c r="K228" s="87" t="n">
        <x:f>D228*(E228-1)*I228</x:f>
        <x:v>2037</x:v>
      </x:c>
      <x:c r="L228" s="87" t="n">
        <x:f>D228*(E228-1)*J228</x:f>
        <x:v>0</x:v>
      </x:c>
      <x:c r="M228" s="87" t="n">
        <x:f>0</x:f>
        <x:v>0</x:v>
      </x:c>
      <x:c r="N228" s="87" t="n">
        <x:f>H228+K228+M228</x:f>
        <x:v>4137</x:v>
      </x:c>
      <x:c r="O228" s="87" t="n">
        <x:f>N228*'01 Base Costs'!$B$7+L228</x:f>
        <x:v>19898970000</x:v>
      </x:c>
      <x:c r="P228" s="87" t="n">
        <x:f>D228*E228</x:f>
        <x:v>12</x:v>
      </x:c>
      <x:c r="Q228" s="87" t="n">
        <x:f>P228*'01 Base Costs'!$B$12</x:f>
        <x:v>23328000</x:v>
      </x:c>
      <x:c r="R228" s="87" t="n">
        <x:f>0</x:f>
        <x:v>0</x:v>
      </x:c>
      <x:c r="S228" s="87" t="n">
        <x:f>Q228+R228</x:f>
        <x:v>23328000</x:v>
      </x:c>
      <x:c r="T228" s="141" t="n">
        <x:f>S228/'01 Base Costs'!$B$14</x:f>
        <x:v>46.656</x:v>
      </x:c>
      <x:c r="U228" s="87" t="n">
        <x:f>INT(T228)</x:f>
        <x:v>46</x:v>
      </x:c>
      <x:c r="V228" s="87" t="n">
        <x:f>S228-U228*'01 Base Costs'!$B$14</x:f>
        <x:v>328000</x:v>
      </x:c>
      <x:c r="W228" s="120" t="n">
        <x:f>'01 Base Costs'!$B$17</x:f>
        <x:v>140</x:v>
      </x:c>
      <x:c r="X228" s="120" t="n">
        <x:f>0</x:f>
        <x:v>0</x:v>
      </x:c>
      <x:c r="Y228" s="87" t="n">
        <x:f>T228*(W228*'01 Base Costs'!$B$7+X228)</x:f>
        <x:v>31418150400</x:v>
      </x:c>
      <x:c r="Z228" s="87" t="n">
        <x:f>T228*'01 Base Costs'!$B$8</x:f>
        <x:v>35127302400</x:v>
      </x:c>
      <x:c r="AA228" s="87" t="n">
        <x:f>Z228*'01 Base Costs'!$B$11</x:f>
        <x:v>1756365120</x:v>
      </x:c>
      <x:c r="AB228" s="87" t="n">
        <x:f>Z228-AA228</x:f>
        <x:v>33370937280</x:v>
      </x:c>
      <x:c r="AC228" s="87" t="n">
        <x:f>O228+Y228</x:f>
        <x:v>51317120400</x:v>
      </x:c>
      <x:c r="AD228" s="87" t="n">
        <x:f>AB228-AC228</x:f>
        <x:v>-17946183120</x:v>
      </x:c>
      <x:c r="AE228" s="87" t="n">
        <x:f>AD228/D228</x:f>
        <x:v>-2991030520</x:v>
      </x:c>
      <x:c r="AF228" s="87" t="n">
        <x:f>AD228/P228</x:f>
        <x:v>-1495515260</x:v>
      </x:c>
      <x:c r="AG228" s="87" t="n">
        <x:f>IF(T228=0,0,AC228/T228/(1-'01 Base Costs'!$B$11))</x:f>
        <x:v>1157793670.1321206</x:v>
      </x:c>
      <x:c r="AH228" s="88" t="str">
        <x:f>IF(AD228&gt;0,"PROFIT","LOSS")</x:f>
        <x:v>LOSS</x:v>
      </x:c>
      <x:c r="AI228" s="89" t="str">
        <x:v>Base 6M Omega. MCT sale 30% off. Base single extractor.</x:v>
      </x:c>
    </x:row>
    <x:row r="229">
      <x:c r="A229" s="86" t="n">
        <x:v>227</x:v>
      </x:c>
      <x:c r="B229" s="88" t="str">
        <x:v>Base</x:v>
      </x:c>
      <x:c r="C229" s="88" t="str">
        <x:v>6M Omega</x:v>
      </x:c>
      <x:c r="D229" s="88" t="n">
        <x:v>6</x:v>
      </x:c>
      <x:c r="E229" s="88" t="n">
        <x:v>2</x:v>
      </x:c>
      <x:c r="F229" s="88" t="str">
        <x:v>NES MCT 30% sale</x:v>
      </x:c>
      <x:c r="G229" s="88" t="str">
        <x:v>NES 5-pack extractor</x:v>
      </x:c>
      <x:c r="H229" s="87" t="n">
        <x:f>'01 Base Costs'!$B$23</x:f>
        <x:v>2100</x:v>
      </x:c>
      <x:c r="I229" s="87" t="n">
        <x:f>'01 Base Costs'!$B$16*0.7</x:f>
        <x:v>339.5</x:v>
      </x:c>
      <x:c r="J229" s="87" t="n">
        <x:f>0</x:f>
        <x:v>0</x:v>
      </x:c>
      <x:c r="K229" s="87" t="n">
        <x:f>D229*(E229-1)*I229</x:f>
        <x:v>2037</x:v>
      </x:c>
      <x:c r="L229" s="87" t="n">
        <x:f>D229*(E229-1)*J229</x:f>
        <x:v>0</x:v>
      </x:c>
      <x:c r="M229" s="87" t="n">
        <x:f>0</x:f>
        <x:v>0</x:v>
      </x:c>
      <x:c r="N229" s="87" t="n">
        <x:f>H229+K229+M229</x:f>
        <x:v>4137</x:v>
      </x:c>
      <x:c r="O229" s="87" t="n">
        <x:f>N229*'01 Base Costs'!$B$7+L229</x:f>
        <x:v>19898970000</x:v>
      </x:c>
      <x:c r="P229" s="87" t="n">
        <x:f>D229*E229</x:f>
        <x:v>12</x:v>
      </x:c>
      <x:c r="Q229" s="87" t="n">
        <x:f>P229*'01 Base Costs'!$B$12</x:f>
        <x:v>23328000</x:v>
      </x:c>
      <x:c r="R229" s="87" t="n">
        <x:f>0</x:f>
        <x:v>0</x:v>
      </x:c>
      <x:c r="S229" s="87" t="n">
        <x:f>Q229+R229</x:f>
        <x:v>23328000</x:v>
      </x:c>
      <x:c r="T229" s="141" t="n">
        <x:f>S229/'01 Base Costs'!$B$14</x:f>
        <x:v>46.656</x:v>
      </x:c>
      <x:c r="U229" s="87" t="n">
        <x:f>INT(T229)</x:f>
        <x:v>46</x:v>
      </x:c>
      <x:c r="V229" s="87" t="n">
        <x:f>S229-U229*'01 Base Costs'!$B$14</x:f>
        <x:v>328000</x:v>
      </x:c>
      <x:c r="W229" s="120" t="n">
        <x:f>'01 Base Costs'!$B$18/5</x:f>
        <x:v>126</x:v>
      </x:c>
      <x:c r="X229" s="120" t="n">
        <x:f>0</x:f>
        <x:v>0</x:v>
      </x:c>
      <x:c r="Y229" s="87" t="n">
        <x:f>T229*(W229*'01 Base Costs'!$B$7+X229)</x:f>
        <x:v>28276335360</x:v>
      </x:c>
      <x:c r="Z229" s="87" t="n">
        <x:f>T229*'01 Base Costs'!$B$8</x:f>
        <x:v>35127302400</x:v>
      </x:c>
      <x:c r="AA229" s="87" t="n">
        <x:f>Z229*'01 Base Costs'!$B$11</x:f>
        <x:v>1756365120</x:v>
      </x:c>
      <x:c r="AB229" s="87" t="n">
        <x:f>Z229-AA229</x:f>
        <x:v>33370937280</x:v>
      </x:c>
      <x:c r="AC229" s="87" t="n">
        <x:f>O229+Y229</x:f>
        <x:v>48175305360</x:v>
      </x:c>
      <x:c r="AD229" s="87" t="n">
        <x:f>AB229-AC229</x:f>
        <x:v>-14804368080</x:v>
      </x:c>
      <x:c r="AE229" s="87" t="n">
        <x:f>AD229/D229</x:f>
        <x:v>-2467394680</x:v>
      </x:c>
      <x:c r="AF229" s="87" t="n">
        <x:f>AD229/P229</x:f>
        <x:v>-1233697340</x:v>
      </x:c>
      <x:c r="AG229" s="87" t="n">
        <x:f>IF(T229=0,0,AC229/T229/(1-'01 Base Costs'!$B$11))</x:f>
        <x:v>1086909459.6058047</x:v>
      </x:c>
      <x:c r="AH229" s="88" t="str">
        <x:f>IF(AD229&gt;0,"PROFIT","LOSS")</x:f>
        <x:v>LOSS</x:v>
      </x:c>
      <x:c r="AI229" s="89" t="str">
        <x:v>Base 6M Omega. MCT sale 30% off. Base 5-pack average.</x:v>
      </x:c>
    </x:row>
    <x:row r="230">
      <x:c r="A230" s="86" t="n">
        <x:v>228</x:v>
      </x:c>
      <x:c r="B230" s="88" t="str">
        <x:v>Base</x:v>
      </x:c>
      <x:c r="C230" s="88" t="str">
        <x:v>6M Omega</x:v>
      </x:c>
      <x:c r="D230" s="88" t="n">
        <x:v>6</x:v>
      </x:c>
      <x:c r="E230" s="88" t="n">
        <x:v>2</x:v>
      </x:c>
      <x:c r="F230" s="88" t="str">
        <x:v>NES MCT 30% sale</x:v>
      </x:c>
      <x:c r="G230" s="88" t="str">
        <x:v>NES 10-pack extractor</x:v>
      </x:c>
      <x:c r="H230" s="87" t="n">
        <x:f>'01 Base Costs'!$B$23</x:f>
        <x:v>2100</x:v>
      </x:c>
      <x:c r="I230" s="87" t="n">
        <x:f>'01 Base Costs'!$B$16*0.7</x:f>
        <x:v>339.5</x:v>
      </x:c>
      <x:c r="J230" s="87" t="n">
        <x:f>0</x:f>
        <x:v>0</x:v>
      </x:c>
      <x:c r="K230" s="87" t="n">
        <x:f>D230*(E230-1)*I230</x:f>
        <x:v>2037</x:v>
      </x:c>
      <x:c r="L230" s="87" t="n">
        <x:f>D230*(E230-1)*J230</x:f>
        <x:v>0</x:v>
      </x:c>
      <x:c r="M230" s="87" t="n">
        <x:f>0</x:f>
        <x:v>0</x:v>
      </x:c>
      <x:c r="N230" s="87" t="n">
        <x:f>H230+K230+M230</x:f>
        <x:v>4137</x:v>
      </x:c>
      <x:c r="O230" s="87" t="n">
        <x:f>N230*'01 Base Costs'!$B$7+L230</x:f>
        <x:v>19898970000</x:v>
      </x:c>
      <x:c r="P230" s="87" t="n">
        <x:f>D230*E230</x:f>
        <x:v>12</x:v>
      </x:c>
      <x:c r="Q230" s="87" t="n">
        <x:f>P230*'01 Base Costs'!$B$12</x:f>
        <x:v>23328000</x:v>
      </x:c>
      <x:c r="R230" s="87" t="n">
        <x:f>0</x:f>
        <x:v>0</x:v>
      </x:c>
      <x:c r="S230" s="87" t="n">
        <x:f>Q230+R230</x:f>
        <x:v>23328000</x:v>
      </x:c>
      <x:c r="T230" s="141" t="n">
        <x:f>S230/'01 Base Costs'!$B$14</x:f>
        <x:v>46.656</x:v>
      </x:c>
      <x:c r="U230" s="87" t="n">
        <x:f>INT(T230)</x:f>
        <x:v>46</x:v>
      </x:c>
      <x:c r="V230" s="87" t="n">
        <x:f>S230-U230*'01 Base Costs'!$B$14</x:f>
        <x:v>328000</x:v>
      </x:c>
      <x:c r="W230" s="120" t="n">
        <x:f>'01 Base Costs'!$B$19/10</x:f>
        <x:v>119</x:v>
      </x:c>
      <x:c r="X230" s="120" t="n">
        <x:f>0</x:f>
        <x:v>0</x:v>
      </x:c>
      <x:c r="Y230" s="87" t="n">
        <x:f>T230*(W230*'01 Base Costs'!$B$7+X230)</x:f>
        <x:v>26705427840</x:v>
      </x:c>
      <x:c r="Z230" s="87" t="n">
        <x:f>T230*'01 Base Costs'!$B$8</x:f>
        <x:v>35127302400</x:v>
      </x:c>
      <x:c r="AA230" s="87" t="n">
        <x:f>Z230*'01 Base Costs'!$B$11</x:f>
        <x:v>1756365120</x:v>
      </x:c>
      <x:c r="AB230" s="87" t="n">
        <x:f>Z230-AA230</x:f>
        <x:v>33370937280</x:v>
      </x:c>
      <x:c r="AC230" s="87" t="n">
        <x:f>O230+Y230</x:f>
        <x:v>46604397840</x:v>
      </x:c>
      <x:c r="AD230" s="87" t="n">
        <x:f>AB230-AC230</x:f>
        <x:v>-13233460560</x:v>
      </x:c>
      <x:c r="AE230" s="87" t="n">
        <x:f>AD230/D230</x:f>
        <x:v>-2205576760</x:v>
      </x:c>
      <x:c r="AF230" s="87" t="n">
        <x:f>AD230/P230</x:f>
        <x:v>-1102788380</x:v>
      </x:c>
      <x:c r="AG230" s="87" t="n">
        <x:f>IF(T230=0,0,AC230/T230/(1-'01 Base Costs'!$B$11))</x:f>
        <x:v>1051467354.3426467</x:v>
      </x:c>
      <x:c r="AH230" s="88" t="str">
        <x:f>IF(AD230&gt;0,"PROFIT","LOSS")</x:f>
        <x:v>LOSS</x:v>
      </x:c>
      <x:c r="AI230" s="89" t="str">
        <x:v>Base 6M Omega. MCT sale 30% off. Base 10-pack average.</x:v>
      </x:c>
    </x:row>
    <x:row r="231">
      <x:c r="A231" s="86" t="n">
        <x:v>229</x:v>
      </x:c>
      <x:c r="B231" s="88" t="str">
        <x:v>Base</x:v>
      </x:c>
      <x:c r="C231" s="88" t="str">
        <x:v>6M Omega</x:v>
      </x:c>
      <x:c r="D231" s="88" t="n">
        <x:v>6</x:v>
      </x:c>
      <x:c r="E231" s="88" t="n">
        <x:v>2</x:v>
      </x:c>
      <x:c r="F231" s="88" t="str">
        <x:v>NES MCT 30% sale</x:v>
      </x:c>
      <x:c r="G231" s="88" t="str">
        <x:v>NES 50-pack extractor</x:v>
      </x:c>
      <x:c r="H231" s="87" t="n">
        <x:f>'01 Base Costs'!$B$23</x:f>
        <x:v>2100</x:v>
      </x:c>
      <x:c r="I231" s="87" t="n">
        <x:f>'01 Base Costs'!$B$16*0.7</x:f>
        <x:v>339.5</x:v>
      </x:c>
      <x:c r="J231" s="87" t="n">
        <x:f>0</x:f>
        <x:v>0</x:v>
      </x:c>
      <x:c r="K231" s="87" t="n">
        <x:f>D231*(E231-1)*I231</x:f>
        <x:v>2037</x:v>
      </x:c>
      <x:c r="L231" s="87" t="n">
        <x:f>D231*(E231-1)*J231</x:f>
        <x:v>0</x:v>
      </x:c>
      <x:c r="M231" s="87" t="n">
        <x:f>0</x:f>
        <x:v>0</x:v>
      </x:c>
      <x:c r="N231" s="87" t="n">
        <x:f>H231+K231+M231</x:f>
        <x:v>4137</x:v>
      </x:c>
      <x:c r="O231" s="87" t="n">
        <x:f>N231*'01 Base Costs'!$B$7+L231</x:f>
        <x:v>19898970000</x:v>
      </x:c>
      <x:c r="P231" s="87" t="n">
        <x:f>D231*E231</x:f>
        <x:v>12</x:v>
      </x:c>
      <x:c r="Q231" s="87" t="n">
        <x:f>P231*'01 Base Costs'!$B$12</x:f>
        <x:v>23328000</x:v>
      </x:c>
      <x:c r="R231" s="87" t="n">
        <x:f>0</x:f>
        <x:v>0</x:v>
      </x:c>
      <x:c r="S231" s="87" t="n">
        <x:f>Q231+R231</x:f>
        <x:v>23328000</x:v>
      </x:c>
      <x:c r="T231" s="141" t="n">
        <x:f>S231/'01 Base Costs'!$B$14</x:f>
        <x:v>46.656</x:v>
      </x:c>
      <x:c r="U231" s="87" t="n">
        <x:f>INT(T231)</x:f>
        <x:v>46</x:v>
      </x:c>
      <x:c r="V231" s="87" t="n">
        <x:f>S231-U231*'01 Base Costs'!$B$14</x:f>
        <x:v>328000</x:v>
      </x:c>
      <x:c r="W231" s="120" t="n">
        <x:f>'01 Base Costs'!$B$20/50</x:f>
        <x:v>112</x:v>
      </x:c>
      <x:c r="X231" s="120" t="n">
        <x:f>0</x:f>
        <x:v>0</x:v>
      </x:c>
      <x:c r="Y231" s="87" t="n">
        <x:f>T231*(W231*'01 Base Costs'!$B$7+X231)</x:f>
        <x:v>25134520320</x:v>
      </x:c>
      <x:c r="Z231" s="87" t="n">
        <x:f>T231*'01 Base Costs'!$B$8</x:f>
        <x:v>35127302400</x:v>
      </x:c>
      <x:c r="AA231" s="87" t="n">
        <x:f>Z231*'01 Base Costs'!$B$11</x:f>
        <x:v>1756365120</x:v>
      </x:c>
      <x:c r="AB231" s="87" t="n">
        <x:f>Z231-AA231</x:f>
        <x:v>33370937280</x:v>
      </x:c>
      <x:c r="AC231" s="87" t="n">
        <x:f>O231+Y231</x:f>
        <x:v>45033490320</x:v>
      </x:c>
      <x:c r="AD231" s="87" t="n">
        <x:f>AB231-AC231</x:f>
        <x:v>-11662553040</x:v>
      </x:c>
      <x:c r="AE231" s="87" t="n">
        <x:f>AD231/D231</x:f>
        <x:v>-1943758840</x:v>
      </x:c>
      <x:c r="AF231" s="87" t="n">
        <x:f>AD231/P231</x:f>
        <x:v>-971879420</x:v>
      </x:c>
      <x:c r="AG231" s="87" t="n">
        <x:f>IF(T231=0,0,AC231/T231/(1-'01 Base Costs'!$B$11))</x:f>
        <x:v>1016025249.0794889</x:v>
      </x:c>
      <x:c r="AH231" s="88" t="str">
        <x:f>IF(AD231&gt;0,"PROFIT","LOSS")</x:f>
        <x:v>LOSS</x:v>
      </x:c>
      <x:c r="AI231" s="89" t="str">
        <x:v>Base 6M Omega. MCT sale 30% off. Base 50-pack average.</x:v>
      </x:c>
    </x:row>
    <x:row r="232">
      <x:c r="A232" s="86" t="n">
        <x:v>230</x:v>
      </x:c>
      <x:c r="B232" s="88" t="str">
        <x:v>Base</x:v>
      </x:c>
      <x:c r="C232" s="88" t="str">
        <x:v>6M Omega</x:v>
      </x:c>
      <x:c r="D232" s="88" t="n">
        <x:v>6</x:v>
      </x:c>
      <x:c r="E232" s="88" t="n">
        <x:v>2</x:v>
      </x:c>
      <x:c r="F232" s="88" t="str">
        <x:v>NES MCT 30% sale</x:v>
      </x:c>
      <x:c r="G232" s="88" t="str">
        <x:v>NES 3-for-2 extractor sale</x:v>
      </x:c>
      <x:c r="H232" s="87" t="n">
        <x:f>'01 Base Costs'!$B$23</x:f>
        <x:v>2100</x:v>
      </x:c>
      <x:c r="I232" s="87" t="n">
        <x:f>'01 Base Costs'!$B$16*0.7</x:f>
        <x:v>339.5</x:v>
      </x:c>
      <x:c r="J232" s="87" t="n">
        <x:f>0</x:f>
        <x:v>0</x:v>
      </x:c>
      <x:c r="K232" s="87" t="n">
        <x:f>D232*(E232-1)*I232</x:f>
        <x:v>2037</x:v>
      </x:c>
      <x:c r="L232" s="87" t="n">
        <x:f>D232*(E232-1)*J232</x:f>
        <x:v>0</x:v>
      </x:c>
      <x:c r="M232" s="87" t="n">
        <x:f>0</x:f>
        <x:v>0</x:v>
      </x:c>
      <x:c r="N232" s="87" t="n">
        <x:f>H232+K232+M232</x:f>
        <x:v>4137</x:v>
      </x:c>
      <x:c r="O232" s="87" t="n">
        <x:f>N232*'01 Base Costs'!$B$7+L232</x:f>
        <x:v>19898970000</x:v>
      </x:c>
      <x:c r="P232" s="87" t="n">
        <x:f>D232*E232</x:f>
        <x:v>12</x:v>
      </x:c>
      <x:c r="Q232" s="87" t="n">
        <x:f>P232*'01 Base Costs'!$B$12</x:f>
        <x:v>23328000</x:v>
      </x:c>
      <x:c r="R232" s="87" t="n">
        <x:f>0</x:f>
        <x:v>0</x:v>
      </x:c>
      <x:c r="S232" s="87" t="n">
        <x:f>Q232+R232</x:f>
        <x:v>23328000</x:v>
      </x:c>
      <x:c r="T232" s="141" t="n">
        <x:f>S232/'01 Base Costs'!$B$14</x:f>
        <x:v>46.656</x:v>
      </x:c>
      <x:c r="U232" s="87" t="n">
        <x:f>INT(T232)</x:f>
        <x:v>46</x:v>
      </x:c>
      <x:c r="V232" s="87" t="n">
        <x:f>S232-U232*'01 Base Costs'!$B$14</x:f>
        <x:v>328000</x:v>
      </x:c>
      <x:c r="W232" s="120" t="n">
        <x:f>'01 Base Costs'!$B$17*2/3</x:f>
        <x:v>93.33333333333333</x:v>
      </x:c>
      <x:c r="X232" s="120" t="n">
        <x:f>0</x:f>
        <x:v>0</x:v>
      </x:c>
      <x:c r="Y232" s="87" t="n">
        <x:f>T232*(W232*'01 Base Costs'!$B$7+X232)</x:f>
        <x:v>20945433600</x:v>
      </x:c>
      <x:c r="Z232" s="87" t="n">
        <x:f>T232*'01 Base Costs'!$B$8</x:f>
        <x:v>35127302400</x:v>
      </x:c>
      <x:c r="AA232" s="87" t="n">
        <x:f>Z232*'01 Base Costs'!$B$11</x:f>
        <x:v>1756365120</x:v>
      </x:c>
      <x:c r="AB232" s="87" t="n">
        <x:f>Z232-AA232</x:f>
        <x:v>33370937280</x:v>
      </x:c>
      <x:c r="AC232" s="87" t="n">
        <x:f>O232+Y232</x:f>
        <x:v>40844403600</x:v>
      </x:c>
      <x:c r="AD232" s="87" t="n">
        <x:f>AB232-AC232</x:f>
        <x:v>-7473466320</x:v>
      </x:c>
      <x:c r="AE232" s="87" t="n">
        <x:f>AD232/D232</x:f>
        <x:v>-1245577720</x:v>
      </x:c>
      <x:c r="AF232" s="87" t="n">
        <x:f>AD232/P232</x:f>
        <x:v>-622788860</x:v>
      </x:c>
      <x:c r="AG232" s="87" t="n">
        <x:f>IF(T232=0,0,AC232/T232/(1-'01 Base Costs'!$B$11))</x:f>
        <x:v>921512968.3777345</x:v>
      </x:c>
      <x:c r="AH232" s="88" t="str">
        <x:f>IF(AD232&gt;0,"PROFIT","LOSS")</x:f>
        <x:v>LOSS</x:v>
      </x:c>
      <x:c r="AI232" s="89" t="str">
        <x:v>Base 6M Omega. MCT sale 30% off. Extractor 3-for-2 sale.</x:v>
      </x:c>
    </x:row>
    <x:row r="233">
      <x:c r="A233" s="86" t="n">
        <x:v>231</x:v>
      </x:c>
      <x:c r="B233" s="88" t="str">
        <x:v>Base</x:v>
      </x:c>
      <x:c r="C233" s="88" t="str">
        <x:v>6M Omega</x:v>
      </x:c>
      <x:c r="D233" s="88" t="n">
        <x:v>6</x:v>
      </x:c>
      <x:c r="E233" s="88" t="n">
        <x:v>2</x:v>
      </x:c>
      <x:c r="F233" s="88" t="str">
        <x:v>NES MCT 30% sale</x:v>
      </x:c>
      <x:c r="G233" s="88" t="str">
        <x:v>NES 2-for-1 extractor sale</x:v>
      </x:c>
      <x:c r="H233" s="87" t="n">
        <x:f>'01 Base Costs'!$B$23</x:f>
        <x:v>2100</x:v>
      </x:c>
      <x:c r="I233" s="87" t="n">
        <x:f>'01 Base Costs'!$B$16*0.7</x:f>
        <x:v>339.5</x:v>
      </x:c>
      <x:c r="J233" s="87" t="n">
        <x:f>0</x:f>
        <x:v>0</x:v>
      </x:c>
      <x:c r="K233" s="87" t="n">
        <x:f>D233*(E233-1)*I233</x:f>
        <x:v>2037</x:v>
      </x:c>
      <x:c r="L233" s="87" t="n">
        <x:f>D233*(E233-1)*J233</x:f>
        <x:v>0</x:v>
      </x:c>
      <x:c r="M233" s="87" t="n">
        <x:f>0</x:f>
        <x:v>0</x:v>
      </x:c>
      <x:c r="N233" s="87" t="n">
        <x:f>H233+K233+M233</x:f>
        <x:v>4137</x:v>
      </x:c>
      <x:c r="O233" s="87" t="n">
        <x:f>N233*'01 Base Costs'!$B$7+L233</x:f>
        <x:v>19898970000</x:v>
      </x:c>
      <x:c r="P233" s="87" t="n">
        <x:f>D233*E233</x:f>
        <x:v>12</x:v>
      </x:c>
      <x:c r="Q233" s="87" t="n">
        <x:f>P233*'01 Base Costs'!$B$12</x:f>
        <x:v>23328000</x:v>
      </x:c>
      <x:c r="R233" s="87" t="n">
        <x:f>0</x:f>
        <x:v>0</x:v>
      </x:c>
      <x:c r="S233" s="87" t="n">
        <x:f>Q233+R233</x:f>
        <x:v>23328000</x:v>
      </x:c>
      <x:c r="T233" s="141" t="n">
        <x:f>S233/'01 Base Costs'!$B$14</x:f>
        <x:v>46.656</x:v>
      </x:c>
      <x:c r="U233" s="87" t="n">
        <x:f>INT(T233)</x:f>
        <x:v>46</x:v>
      </x:c>
      <x:c r="V233" s="87" t="n">
        <x:f>S233-U233*'01 Base Costs'!$B$14</x:f>
        <x:v>328000</x:v>
      </x:c>
      <x:c r="W233" s="120" t="n">
        <x:f>'01 Base Costs'!$B$17/2</x:f>
        <x:v>70</x:v>
      </x:c>
      <x:c r="X233" s="120" t="n">
        <x:f>0</x:f>
        <x:v>0</x:v>
      </x:c>
      <x:c r="Y233" s="87" t="n">
        <x:f>T233*(W233*'01 Base Costs'!$B$7+X233)</x:f>
        <x:v>15709075200</x:v>
      </x:c>
      <x:c r="Z233" s="87" t="n">
        <x:f>T233*'01 Base Costs'!$B$8</x:f>
        <x:v>35127302400</x:v>
      </x:c>
      <x:c r="AA233" s="87" t="n">
        <x:f>Z233*'01 Base Costs'!$B$11</x:f>
        <x:v>1756365120</x:v>
      </x:c>
      <x:c r="AB233" s="87" t="n">
        <x:f>Z233-AA233</x:f>
        <x:v>33370937280</x:v>
      </x:c>
      <x:c r="AC233" s="87" t="n">
        <x:f>O233+Y233</x:f>
        <x:v>35608045200</x:v>
      </x:c>
      <x:c r="AD233" s="87" t="n">
        <x:f>AB233-AC233</x:f>
        <x:v>-2237107920</x:v>
      </x:c>
      <x:c r="AE233" s="87" t="n">
        <x:f>AD233/D233</x:f>
        <x:v>-372851320</x:v>
      </x:c>
      <x:c r="AF233" s="87" t="n">
        <x:f>AD233/P233</x:f>
        <x:v>-186425660</x:v>
      </x:c>
      <x:c r="AG233" s="87" t="n">
        <x:f>IF(T233=0,0,AC233/T233/(1-'01 Base Costs'!$B$11))</x:f>
        <x:v>803372617.5005414</x:v>
      </x:c>
      <x:c r="AH233" s="88" t="str">
        <x:f>IF(AD233&gt;0,"PROFIT","LOSS")</x:f>
        <x:v>LOSS</x:v>
      </x:c>
      <x:c r="AI233" s="89" t="str">
        <x:v>Base 6M Omega. MCT sale 30% off. Extractor 2-for-1 sale.</x:v>
      </x:c>
    </x:row>
    <x:row r="234">
      <x:c r="A234" s="86" t="n">
        <x:v>232</x:v>
      </x:c>
      <x:c r="B234" s="88" t="str">
        <x:v>Base</x:v>
      </x:c>
      <x:c r="C234" s="88" t="str">
        <x:v>6M Omega</x:v>
      </x:c>
      <x:c r="D234" s="88" t="n">
        <x:v>6</x:v>
      </x:c>
      <x:c r="E234" s="88" t="n">
        <x:v>2</x:v>
      </x:c>
      <x:c r="F234" s="88" t="str">
        <x:v>NES MCT 30% sale</x:v>
      </x:c>
      <x:c r="G234" s="88" t="str">
        <x:v>NES 10-pack extractor 20% sale</x:v>
      </x:c>
      <x:c r="H234" s="87" t="n">
        <x:f>'01 Base Costs'!$B$23</x:f>
        <x:v>2100</x:v>
      </x:c>
      <x:c r="I234" s="87" t="n">
        <x:f>'01 Base Costs'!$B$16*0.7</x:f>
        <x:v>339.5</x:v>
      </x:c>
      <x:c r="J234" s="87" t="n">
        <x:f>0</x:f>
        <x:v>0</x:v>
      </x:c>
      <x:c r="K234" s="87" t="n">
        <x:f>D234*(E234-1)*I234</x:f>
        <x:v>2037</x:v>
      </x:c>
      <x:c r="L234" s="87" t="n">
        <x:f>D234*(E234-1)*J234</x:f>
        <x:v>0</x:v>
      </x:c>
      <x:c r="M234" s="87" t="n">
        <x:f>0</x:f>
        <x:v>0</x:v>
      </x:c>
      <x:c r="N234" s="87" t="n">
        <x:f>H234+K234+M234</x:f>
        <x:v>4137</x:v>
      </x:c>
      <x:c r="O234" s="87" t="n">
        <x:f>N234*'01 Base Costs'!$B$7+L234</x:f>
        <x:v>19898970000</x:v>
      </x:c>
      <x:c r="P234" s="87" t="n">
        <x:f>D234*E234</x:f>
        <x:v>12</x:v>
      </x:c>
      <x:c r="Q234" s="87" t="n">
        <x:f>P234*'01 Base Costs'!$B$12</x:f>
        <x:v>23328000</x:v>
      </x:c>
      <x:c r="R234" s="87" t="n">
        <x:f>0</x:f>
        <x:v>0</x:v>
      </x:c>
      <x:c r="S234" s="87" t="n">
        <x:f>Q234+R234</x:f>
        <x:v>23328000</x:v>
      </x:c>
      <x:c r="T234" s="141" t="n">
        <x:f>S234/'01 Base Costs'!$B$14</x:f>
        <x:v>46.656</x:v>
      </x:c>
      <x:c r="U234" s="87" t="n">
        <x:f>INT(T234)</x:f>
        <x:v>46</x:v>
      </x:c>
      <x:c r="V234" s="87" t="n">
        <x:f>S234-U234*'01 Base Costs'!$B$14</x:f>
        <x:v>328000</x:v>
      </x:c>
      <x:c r="W234" s="120" t="n">
        <x:f>'01 Base Costs'!$B$19*0.8/10</x:f>
        <x:v>95.2</x:v>
      </x:c>
      <x:c r="X234" s="120" t="n">
        <x:f>0</x:f>
        <x:v>0</x:v>
      </x:c>
      <x:c r="Y234" s="87" t="n">
        <x:f>T234*(W234*'01 Base Costs'!$B$7+X234)</x:f>
        <x:v>21364342272</x:v>
      </x:c>
      <x:c r="Z234" s="87" t="n">
        <x:f>T234*'01 Base Costs'!$B$8</x:f>
        <x:v>35127302400</x:v>
      </x:c>
      <x:c r="AA234" s="87" t="n">
        <x:f>Z234*'01 Base Costs'!$B$11</x:f>
        <x:v>1756365120</x:v>
      </x:c>
      <x:c r="AB234" s="87" t="n">
        <x:f>Z234-AA234</x:f>
        <x:v>33370937280</x:v>
      </x:c>
      <x:c r="AC234" s="87" t="n">
        <x:f>O234+Y234</x:f>
        <x:v>41263312272</x:v>
      </x:c>
      <x:c r="AD234" s="87" t="n">
        <x:f>AB234-AC234</x:f>
        <x:v>-7892374992</x:v>
      </x:c>
      <x:c r="AE234" s="87" t="n">
        <x:f>AD234/D234</x:f>
        <x:v>-1315395832</x:v>
      </x:c>
      <x:c r="AF234" s="87" t="n">
        <x:f>AD234/P234</x:f>
        <x:v>-657697916</x:v>
      </x:c>
      <x:c r="AG234" s="87" t="n">
        <x:f>IF(T234=0,0,AC234/T234/(1-'01 Base Costs'!$B$11))</x:f>
        <x:v>930964196.44791</x:v>
      </x:c>
      <x:c r="AH234" s="88" t="str">
        <x:f>IF(AD234&gt;0,"PROFIT","LOSS")</x:f>
        <x:v>LOSS</x:v>
      </x:c>
      <x:c r="AI234" s="89" t="str">
        <x:v>Base 6M Omega. MCT sale 30% off. 10-pack at 20% off.</x:v>
      </x:c>
    </x:row>
    <x:row r="235">
      <x:c r="A235" s="86" t="n">
        <x:v>233</x:v>
      </x:c>
      <x:c r="B235" s="88" t="str">
        <x:v>Base</x:v>
      </x:c>
      <x:c r="C235" s="88" t="str">
        <x:v>6M Omega</x:v>
      </x:c>
      <x:c r="D235" s="88" t="n">
        <x:v>6</x:v>
      </x:c>
      <x:c r="E235" s="88" t="n">
        <x:v>2</x:v>
      </x:c>
      <x:c r="F235" s="88" t="str">
        <x:v>NES MCT 30% sale</x:v>
      </x:c>
      <x:c r="G235" s="88" t="str">
        <x:v>NES 50-pack extractor 20% sale</x:v>
      </x:c>
      <x:c r="H235" s="87" t="n">
        <x:f>'01 Base Costs'!$B$23</x:f>
        <x:v>2100</x:v>
      </x:c>
      <x:c r="I235" s="87" t="n">
        <x:f>'01 Base Costs'!$B$16*0.7</x:f>
        <x:v>339.5</x:v>
      </x:c>
      <x:c r="J235" s="87" t="n">
        <x:f>0</x:f>
        <x:v>0</x:v>
      </x:c>
      <x:c r="K235" s="87" t="n">
        <x:f>D235*(E235-1)*I235</x:f>
        <x:v>2037</x:v>
      </x:c>
      <x:c r="L235" s="87" t="n">
        <x:f>D235*(E235-1)*J235</x:f>
        <x:v>0</x:v>
      </x:c>
      <x:c r="M235" s="87" t="n">
        <x:f>0</x:f>
        <x:v>0</x:v>
      </x:c>
      <x:c r="N235" s="87" t="n">
        <x:f>H235+K235+M235</x:f>
        <x:v>4137</x:v>
      </x:c>
      <x:c r="O235" s="87" t="n">
        <x:f>N235*'01 Base Costs'!$B$7+L235</x:f>
        <x:v>19898970000</x:v>
      </x:c>
      <x:c r="P235" s="87" t="n">
        <x:f>D235*E235</x:f>
        <x:v>12</x:v>
      </x:c>
      <x:c r="Q235" s="87" t="n">
        <x:f>P235*'01 Base Costs'!$B$12</x:f>
        <x:v>23328000</x:v>
      </x:c>
      <x:c r="R235" s="87" t="n">
        <x:f>0</x:f>
        <x:v>0</x:v>
      </x:c>
      <x:c r="S235" s="87" t="n">
        <x:f>Q235+R235</x:f>
        <x:v>23328000</x:v>
      </x:c>
      <x:c r="T235" s="141" t="n">
        <x:f>S235/'01 Base Costs'!$B$14</x:f>
        <x:v>46.656</x:v>
      </x:c>
      <x:c r="U235" s="87" t="n">
        <x:f>INT(T235)</x:f>
        <x:v>46</x:v>
      </x:c>
      <x:c r="V235" s="87" t="n">
        <x:f>S235-U235*'01 Base Costs'!$B$14</x:f>
        <x:v>328000</x:v>
      </x:c>
      <x:c r="W235" s="120" t="n">
        <x:f>'01 Base Costs'!$B$20*0.8/50</x:f>
        <x:v>89.6</x:v>
      </x:c>
      <x:c r="X235" s="120" t="n">
        <x:f>0</x:f>
        <x:v>0</x:v>
      </x:c>
      <x:c r="Y235" s="87" t="n">
        <x:f>T235*(W235*'01 Base Costs'!$B$7+X235)</x:f>
        <x:v>20107616256</x:v>
      </x:c>
      <x:c r="Z235" s="87" t="n">
        <x:f>T235*'01 Base Costs'!$B$8</x:f>
        <x:v>35127302400</x:v>
      </x:c>
      <x:c r="AA235" s="87" t="n">
        <x:f>Z235*'01 Base Costs'!$B$11</x:f>
        <x:v>1756365120</x:v>
      </x:c>
      <x:c r="AB235" s="87" t="n">
        <x:f>Z235-AA235</x:f>
        <x:v>33370937280</x:v>
      </x:c>
      <x:c r="AC235" s="87" t="n">
        <x:f>O235+Y235</x:f>
        <x:v>40006586256</x:v>
      </x:c>
      <x:c r="AD235" s="87" t="n">
        <x:f>AB235-AC235</x:f>
        <x:v>-6635648976</x:v>
      </x:c>
      <x:c r="AE235" s="87" t="n">
        <x:f>AD235/D235</x:f>
        <x:v>-1105941496</x:v>
      </x:c>
      <x:c r="AF235" s="87" t="n">
        <x:f>AD235/P235</x:f>
        <x:v>-552970748</x:v>
      </x:c>
      <x:c r="AG235" s="87" t="n">
        <x:f>IF(T235=0,0,AC235/T235/(1-'01 Base Costs'!$B$11))</x:f>
        <x:v>902610512.2373836</x:v>
      </x:c>
      <x:c r="AH235" s="88" t="str">
        <x:f>IF(AD235&gt;0,"PROFIT","LOSS")</x:f>
        <x:v>LOSS</x:v>
      </x:c>
      <x:c r="AI235" s="89" t="str">
        <x:v>Base 6M Omega. MCT sale 30% off. 50-pack at 20% off.</x:v>
      </x:c>
    </x:row>
    <x:row r="236">
      <x:c r="A236" s="86" t="n">
        <x:v>234</x:v>
      </x:c>
      <x:c r="B236" s="88" t="str">
        <x:v>Base</x:v>
      </x:c>
      <x:c r="C236" s="88" t="str">
        <x:v>6M Omega</x:v>
      </x:c>
      <x:c r="D236" s="88" t="n">
        <x:v>6</x:v>
      </x:c>
      <x:c r="E236" s="88" t="n">
        <x:v>2</x:v>
      </x:c>
      <x:c r="F236" s="88" t="str">
        <x:v>NES MCT 30% sale</x:v>
      </x:c>
      <x:c r="G236" s="88" t="str">
        <x:v>Market Skill Extractor</x:v>
      </x:c>
      <x:c r="H236" s="87" t="n">
        <x:f>'01 Base Costs'!$B$23</x:f>
        <x:v>2100</x:v>
      </x:c>
      <x:c r="I236" s="87" t="n">
        <x:f>'01 Base Costs'!$B$16*0.7</x:f>
        <x:v>339.5</x:v>
      </x:c>
      <x:c r="J236" s="87" t="n">
        <x:f>0</x:f>
        <x:v>0</x:v>
      </x:c>
      <x:c r="K236" s="87" t="n">
        <x:f>D236*(E236-1)*I236</x:f>
        <x:v>2037</x:v>
      </x:c>
      <x:c r="L236" s="87" t="n">
        <x:f>D236*(E236-1)*J236</x:f>
        <x:v>0</x:v>
      </x:c>
      <x:c r="M236" s="87" t="n">
        <x:f>0</x:f>
        <x:v>0</x:v>
      </x:c>
      <x:c r="N236" s="87" t="n">
        <x:f>H236+K236+M236</x:f>
        <x:v>4137</x:v>
      </x:c>
      <x:c r="O236" s="87" t="n">
        <x:f>N236*'01 Base Costs'!$B$7+L236</x:f>
        <x:v>19898970000</x:v>
      </x:c>
      <x:c r="P236" s="87" t="n">
        <x:f>D236*E236</x:f>
        <x:v>12</x:v>
      </x:c>
      <x:c r="Q236" s="87" t="n">
        <x:f>P236*'01 Base Costs'!$B$12</x:f>
        <x:v>23328000</x:v>
      </x:c>
      <x:c r="R236" s="87" t="n">
        <x:f>0</x:f>
        <x:v>0</x:v>
      </x:c>
      <x:c r="S236" s="87" t="n">
        <x:f>Q236+R236</x:f>
        <x:v>23328000</x:v>
      </x:c>
      <x:c r="T236" s="141" t="n">
        <x:f>S236/'01 Base Costs'!$B$14</x:f>
        <x:v>46.656</x:v>
      </x:c>
      <x:c r="U236" s="87" t="n">
        <x:f>INT(T236)</x:f>
        <x:v>46</x:v>
      </x:c>
      <x:c r="V236" s="87" t="n">
        <x:f>S236-U236*'01 Base Costs'!$B$14</x:f>
        <x:v>328000</x:v>
      </x:c>
      <x:c r="W236" s="120" t="n">
        <x:f>0</x:f>
        <x:v>0</x:v>
      </x:c>
      <x:c r="X236" s="120" t="n">
        <x:f>'01 Base Costs'!$B$9</x:f>
        <x:v>463500000</x:v>
      </x:c>
      <x:c r="Y236" s="87" t="n">
        <x:f>T236*(W236*'01 Base Costs'!$B$7+X236)</x:f>
        <x:v>21625056000</x:v>
      </x:c>
      <x:c r="Z236" s="87" t="n">
        <x:f>T236*'01 Base Costs'!$B$8</x:f>
        <x:v>35127302400</x:v>
      </x:c>
      <x:c r="AA236" s="87" t="n">
        <x:f>Z236*'01 Base Costs'!$B$11</x:f>
        <x:v>1756365120</x:v>
      </x:c>
      <x:c r="AB236" s="87" t="n">
        <x:f>Z236-AA236</x:f>
        <x:v>33370937280</x:v>
      </x:c>
      <x:c r="AC236" s="87" t="n">
        <x:f>O236+Y236</x:f>
        <x:v>41524026000</x:v>
      </x:c>
      <x:c r="AD236" s="87" t="n">
        <x:f>AB236-AC236</x:f>
        <x:v>-8153088720</x:v>
      </x:c>
      <x:c r="AE236" s="87" t="n">
        <x:f>AD236/D236</x:f>
        <x:v>-1358848120</x:v>
      </x:c>
      <x:c r="AF236" s="87" t="n">
        <x:f>AD236/P236</x:f>
        <x:v>-679424060</x:v>
      </x:c>
      <x:c r="AG236" s="87" t="n">
        <x:f>IF(T236=0,0,AC236/T236/(1-'01 Base Costs'!$B$11))</x:f>
        <x:v>936846301.7110678</x:v>
      </x:c>
      <x:c r="AH236" s="88" t="str">
        <x:f>IF(AD236&gt;0,"PROFIT","LOSS")</x:f>
        <x:v>LOSS</x:v>
      </x:c>
      <x:c r="AI236" s="89" t="str">
        <x:v>Base 6M Omega. MCT sale 30% off. Extractor bought on market with ISK.</x:v>
      </x:c>
    </x:row>
    <x:row r="237">
      <x:c r="A237" s="86" t="n">
        <x:v>235</x:v>
      </x:c>
      <x:c r="B237" s="88" t="str">
        <x:v>Base</x:v>
      </x:c>
      <x:c r="C237" s="88" t="str">
        <x:v>6M Omega</x:v>
      </x:c>
      <x:c r="D237" s="88" t="n">
        <x:v>6</x:v>
      </x:c>
      <x:c r="E237" s="88" t="n">
        <x:v>2</x:v>
      </x:c>
      <x:c r="F237" s="88" t="str">
        <x:v>NES MCT 40% sale</x:v>
      </x:c>
      <x:c r="G237" s="88" t="str">
        <x:v>NES single extractor</x:v>
      </x:c>
      <x:c r="H237" s="87" t="n">
        <x:f>'01 Base Costs'!$B$23</x:f>
        <x:v>2100</x:v>
      </x:c>
      <x:c r="I237" s="87" t="n">
        <x:f>'01 Base Costs'!$B$16*0.6</x:f>
        <x:v>291</x:v>
      </x:c>
      <x:c r="J237" s="87" t="n">
        <x:f>0</x:f>
        <x:v>0</x:v>
      </x:c>
      <x:c r="K237" s="87" t="n">
        <x:f>D237*(E237-1)*I237</x:f>
        <x:v>1746</x:v>
      </x:c>
      <x:c r="L237" s="87" t="n">
        <x:f>D237*(E237-1)*J237</x:f>
        <x:v>0</x:v>
      </x:c>
      <x:c r="M237" s="87" t="n">
        <x:f>0</x:f>
        <x:v>0</x:v>
      </x:c>
      <x:c r="N237" s="87" t="n">
        <x:f>H237+K237+M237</x:f>
        <x:v>3846</x:v>
      </x:c>
      <x:c r="O237" s="87" t="n">
        <x:f>N237*'01 Base Costs'!$B$7+L237</x:f>
        <x:v>18499260000</x:v>
      </x:c>
      <x:c r="P237" s="87" t="n">
        <x:f>D237*E237</x:f>
        <x:v>12</x:v>
      </x:c>
      <x:c r="Q237" s="87" t="n">
        <x:f>P237*'01 Base Costs'!$B$12</x:f>
        <x:v>23328000</x:v>
      </x:c>
      <x:c r="R237" s="87" t="n">
        <x:f>0</x:f>
        <x:v>0</x:v>
      </x:c>
      <x:c r="S237" s="87" t="n">
        <x:f>Q237+R237</x:f>
        <x:v>23328000</x:v>
      </x:c>
      <x:c r="T237" s="141" t="n">
        <x:f>S237/'01 Base Costs'!$B$14</x:f>
        <x:v>46.656</x:v>
      </x:c>
      <x:c r="U237" s="87" t="n">
        <x:f>INT(T237)</x:f>
        <x:v>46</x:v>
      </x:c>
      <x:c r="V237" s="87" t="n">
        <x:f>S237-U237*'01 Base Costs'!$B$14</x:f>
        <x:v>328000</x:v>
      </x:c>
      <x:c r="W237" s="120" t="n">
        <x:f>'01 Base Costs'!$B$17</x:f>
        <x:v>140</x:v>
      </x:c>
      <x:c r="X237" s="120" t="n">
        <x:f>0</x:f>
        <x:v>0</x:v>
      </x:c>
      <x:c r="Y237" s="87" t="n">
        <x:f>T237*(W237*'01 Base Costs'!$B$7+X237)</x:f>
        <x:v>31418150400</x:v>
      </x:c>
      <x:c r="Z237" s="87" t="n">
        <x:f>T237*'01 Base Costs'!$B$8</x:f>
        <x:v>35127302400</x:v>
      </x:c>
      <x:c r="AA237" s="87" t="n">
        <x:f>Z237*'01 Base Costs'!$B$11</x:f>
        <x:v>1756365120</x:v>
      </x:c>
      <x:c r="AB237" s="87" t="n">
        <x:f>Z237-AA237</x:f>
        <x:v>33370937280</x:v>
      </x:c>
      <x:c r="AC237" s="87" t="n">
        <x:f>O237+Y237</x:f>
        <x:v>49917410400</x:v>
      </x:c>
      <x:c r="AD237" s="87" t="n">
        <x:f>AB237-AC237</x:f>
        <x:v>-16546473120</x:v>
      </x:c>
      <x:c r="AE237" s="87" t="n">
        <x:f>AD237/D237</x:f>
        <x:v>-2757745520</x:v>
      </x:c>
      <x:c r="AF237" s="87" t="n">
        <x:f>AD237/P237</x:f>
        <x:v>-1378872760</x:v>
      </x:c>
      <x:c r="AG237" s="87" t="n">
        <x:f>IF(T237=0,0,AC237/T237/(1-'01 Base Costs'!$B$11))</x:f>
        <x:v>1126214045.9172623</x:v>
      </x:c>
      <x:c r="AH237" s="88" t="str">
        <x:f>IF(AD237&gt;0,"PROFIT","LOSS")</x:f>
        <x:v>LOSS</x:v>
      </x:c>
      <x:c r="AI237" s="89" t="str">
        <x:v>Base 6M Omega. MCT sale 40% off. Base single extractor.</x:v>
      </x:c>
    </x:row>
    <x:row r="238">
      <x:c r="A238" s="86" t="n">
        <x:v>236</x:v>
      </x:c>
      <x:c r="B238" s="88" t="str">
        <x:v>Base</x:v>
      </x:c>
      <x:c r="C238" s="88" t="str">
        <x:v>6M Omega</x:v>
      </x:c>
      <x:c r="D238" s="88" t="n">
        <x:v>6</x:v>
      </x:c>
      <x:c r="E238" s="88" t="n">
        <x:v>2</x:v>
      </x:c>
      <x:c r="F238" s="88" t="str">
        <x:v>NES MCT 40% sale</x:v>
      </x:c>
      <x:c r="G238" s="88" t="str">
        <x:v>NES 5-pack extractor</x:v>
      </x:c>
      <x:c r="H238" s="87" t="n">
        <x:f>'01 Base Costs'!$B$23</x:f>
        <x:v>2100</x:v>
      </x:c>
      <x:c r="I238" s="87" t="n">
        <x:f>'01 Base Costs'!$B$16*0.6</x:f>
        <x:v>291</x:v>
      </x:c>
      <x:c r="J238" s="87" t="n">
        <x:f>0</x:f>
        <x:v>0</x:v>
      </x:c>
      <x:c r="K238" s="87" t="n">
        <x:f>D238*(E238-1)*I238</x:f>
        <x:v>1746</x:v>
      </x:c>
      <x:c r="L238" s="87" t="n">
        <x:f>D238*(E238-1)*J238</x:f>
        <x:v>0</x:v>
      </x:c>
      <x:c r="M238" s="87" t="n">
        <x:f>0</x:f>
        <x:v>0</x:v>
      </x:c>
      <x:c r="N238" s="87" t="n">
        <x:f>H238+K238+M238</x:f>
        <x:v>3846</x:v>
      </x:c>
      <x:c r="O238" s="87" t="n">
        <x:f>N238*'01 Base Costs'!$B$7+L238</x:f>
        <x:v>18499260000</x:v>
      </x:c>
      <x:c r="P238" s="87" t="n">
        <x:f>D238*E238</x:f>
        <x:v>12</x:v>
      </x:c>
      <x:c r="Q238" s="87" t="n">
        <x:f>P238*'01 Base Costs'!$B$12</x:f>
        <x:v>23328000</x:v>
      </x:c>
      <x:c r="R238" s="87" t="n">
        <x:f>0</x:f>
        <x:v>0</x:v>
      </x:c>
      <x:c r="S238" s="87" t="n">
        <x:f>Q238+R238</x:f>
        <x:v>23328000</x:v>
      </x:c>
      <x:c r="T238" s="141" t="n">
        <x:f>S238/'01 Base Costs'!$B$14</x:f>
        <x:v>46.656</x:v>
      </x:c>
      <x:c r="U238" s="87" t="n">
        <x:f>INT(T238)</x:f>
        <x:v>46</x:v>
      </x:c>
      <x:c r="V238" s="87" t="n">
        <x:f>S238-U238*'01 Base Costs'!$B$14</x:f>
        <x:v>328000</x:v>
      </x:c>
      <x:c r="W238" s="120" t="n">
        <x:f>'01 Base Costs'!$B$18/5</x:f>
        <x:v>126</x:v>
      </x:c>
      <x:c r="X238" s="120" t="n">
        <x:f>0</x:f>
        <x:v>0</x:v>
      </x:c>
      <x:c r="Y238" s="87" t="n">
        <x:f>T238*(W238*'01 Base Costs'!$B$7+X238)</x:f>
        <x:v>28276335360</x:v>
      </x:c>
      <x:c r="Z238" s="87" t="n">
        <x:f>T238*'01 Base Costs'!$B$8</x:f>
        <x:v>35127302400</x:v>
      </x:c>
      <x:c r="AA238" s="87" t="n">
        <x:f>Z238*'01 Base Costs'!$B$11</x:f>
        <x:v>1756365120</x:v>
      </x:c>
      <x:c r="AB238" s="87" t="n">
        <x:f>Z238-AA238</x:f>
        <x:v>33370937280</x:v>
      </x:c>
      <x:c r="AC238" s="87" t="n">
        <x:f>O238+Y238</x:f>
        <x:v>46775595360</x:v>
      </x:c>
      <x:c r="AD238" s="87" t="n">
        <x:f>AB238-AC238</x:f>
        <x:v>-13404658080</x:v>
      </x:c>
      <x:c r="AE238" s="87" t="n">
        <x:f>AD238/D238</x:f>
        <x:v>-2234109680</x:v>
      </x:c>
      <x:c r="AF238" s="87" t="n">
        <x:f>AD238/P238</x:f>
        <x:v>-1117054840</x:v>
      </x:c>
      <x:c r="AG238" s="87" t="n">
        <x:f>IF(T238=0,0,AC238/T238/(1-'01 Base Costs'!$B$11))</x:f>
        <x:v>1055329835.3909465</x:v>
      </x:c>
      <x:c r="AH238" s="88" t="str">
        <x:f>IF(AD238&gt;0,"PROFIT","LOSS")</x:f>
        <x:v>LOSS</x:v>
      </x:c>
      <x:c r="AI238" s="89" t="str">
        <x:v>Base 6M Omega. MCT sale 40% off. Base 5-pack average.</x:v>
      </x:c>
    </x:row>
    <x:row r="239">
      <x:c r="A239" s="86" t="n">
        <x:v>237</x:v>
      </x:c>
      <x:c r="B239" s="88" t="str">
        <x:v>Base</x:v>
      </x:c>
      <x:c r="C239" s="88" t="str">
        <x:v>6M Omega</x:v>
      </x:c>
      <x:c r="D239" s="88" t="n">
        <x:v>6</x:v>
      </x:c>
      <x:c r="E239" s="88" t="n">
        <x:v>2</x:v>
      </x:c>
      <x:c r="F239" s="88" t="str">
        <x:v>NES MCT 40% sale</x:v>
      </x:c>
      <x:c r="G239" s="88" t="str">
        <x:v>NES 10-pack extractor</x:v>
      </x:c>
      <x:c r="H239" s="87" t="n">
        <x:f>'01 Base Costs'!$B$23</x:f>
        <x:v>2100</x:v>
      </x:c>
      <x:c r="I239" s="87" t="n">
        <x:f>'01 Base Costs'!$B$16*0.6</x:f>
        <x:v>291</x:v>
      </x:c>
      <x:c r="J239" s="87" t="n">
        <x:f>0</x:f>
        <x:v>0</x:v>
      </x:c>
      <x:c r="K239" s="87" t="n">
        <x:f>D239*(E239-1)*I239</x:f>
        <x:v>1746</x:v>
      </x:c>
      <x:c r="L239" s="87" t="n">
        <x:f>D239*(E239-1)*J239</x:f>
        <x:v>0</x:v>
      </x:c>
      <x:c r="M239" s="87" t="n">
        <x:f>0</x:f>
        <x:v>0</x:v>
      </x:c>
      <x:c r="N239" s="87" t="n">
        <x:f>H239+K239+M239</x:f>
        <x:v>3846</x:v>
      </x:c>
      <x:c r="O239" s="87" t="n">
        <x:f>N239*'01 Base Costs'!$B$7+L239</x:f>
        <x:v>18499260000</x:v>
      </x:c>
      <x:c r="P239" s="87" t="n">
        <x:f>D239*E239</x:f>
        <x:v>12</x:v>
      </x:c>
      <x:c r="Q239" s="87" t="n">
        <x:f>P239*'01 Base Costs'!$B$12</x:f>
        <x:v>23328000</x:v>
      </x:c>
      <x:c r="R239" s="87" t="n">
        <x:f>0</x:f>
        <x:v>0</x:v>
      </x:c>
      <x:c r="S239" s="87" t="n">
        <x:f>Q239+R239</x:f>
        <x:v>23328000</x:v>
      </x:c>
      <x:c r="T239" s="141" t="n">
        <x:f>S239/'01 Base Costs'!$B$14</x:f>
        <x:v>46.656</x:v>
      </x:c>
      <x:c r="U239" s="87" t="n">
        <x:f>INT(T239)</x:f>
        <x:v>46</x:v>
      </x:c>
      <x:c r="V239" s="87" t="n">
        <x:f>S239-U239*'01 Base Costs'!$B$14</x:f>
        <x:v>328000</x:v>
      </x:c>
      <x:c r="W239" s="120" t="n">
        <x:f>'01 Base Costs'!$B$19/10</x:f>
        <x:v>119</x:v>
      </x:c>
      <x:c r="X239" s="120" t="n">
        <x:f>0</x:f>
        <x:v>0</x:v>
      </x:c>
      <x:c r="Y239" s="87" t="n">
        <x:f>T239*(W239*'01 Base Costs'!$B$7+X239)</x:f>
        <x:v>26705427840</x:v>
      </x:c>
      <x:c r="Z239" s="87" t="n">
        <x:f>T239*'01 Base Costs'!$B$8</x:f>
        <x:v>35127302400</x:v>
      </x:c>
      <x:c r="AA239" s="87" t="n">
        <x:f>Z239*'01 Base Costs'!$B$11</x:f>
        <x:v>1756365120</x:v>
      </x:c>
      <x:c r="AB239" s="87" t="n">
        <x:f>Z239-AA239</x:f>
        <x:v>33370937280</x:v>
      </x:c>
      <x:c r="AC239" s="87" t="n">
        <x:f>O239+Y239</x:f>
        <x:v>45204687840</x:v>
      </x:c>
      <x:c r="AD239" s="87" t="n">
        <x:f>AB239-AC239</x:f>
        <x:v>-11833750560</x:v>
      </x:c>
      <x:c r="AE239" s="87" t="n">
        <x:f>AD239/D239</x:f>
        <x:v>-1972291760</x:v>
      </x:c>
      <x:c r="AF239" s="87" t="n">
        <x:f>AD239/P239</x:f>
        <x:v>-986145880</x:v>
      </x:c>
      <x:c r="AG239" s="87" t="n">
        <x:f>IF(T239=0,0,AC239/T239/(1-'01 Base Costs'!$B$11))</x:f>
        <x:v>1019887730.1277887</x:v>
      </x:c>
      <x:c r="AH239" s="88" t="str">
        <x:f>IF(AD239&gt;0,"PROFIT","LOSS")</x:f>
        <x:v>LOSS</x:v>
      </x:c>
      <x:c r="AI239" s="89" t="str">
        <x:v>Base 6M Omega. MCT sale 40% off. Base 10-pack average.</x:v>
      </x:c>
    </x:row>
    <x:row r="240">
      <x:c r="A240" s="86" t="n">
        <x:v>238</x:v>
      </x:c>
      <x:c r="B240" s="88" t="str">
        <x:v>Base</x:v>
      </x:c>
      <x:c r="C240" s="88" t="str">
        <x:v>6M Omega</x:v>
      </x:c>
      <x:c r="D240" s="88" t="n">
        <x:v>6</x:v>
      </x:c>
      <x:c r="E240" s="88" t="n">
        <x:v>2</x:v>
      </x:c>
      <x:c r="F240" s="88" t="str">
        <x:v>NES MCT 40% sale</x:v>
      </x:c>
      <x:c r="G240" s="88" t="str">
        <x:v>NES 50-pack extractor</x:v>
      </x:c>
      <x:c r="H240" s="87" t="n">
        <x:f>'01 Base Costs'!$B$23</x:f>
        <x:v>2100</x:v>
      </x:c>
      <x:c r="I240" s="87" t="n">
        <x:f>'01 Base Costs'!$B$16*0.6</x:f>
        <x:v>291</x:v>
      </x:c>
      <x:c r="J240" s="87" t="n">
        <x:f>0</x:f>
        <x:v>0</x:v>
      </x:c>
      <x:c r="K240" s="87" t="n">
        <x:f>D240*(E240-1)*I240</x:f>
        <x:v>1746</x:v>
      </x:c>
      <x:c r="L240" s="87" t="n">
        <x:f>D240*(E240-1)*J240</x:f>
        <x:v>0</x:v>
      </x:c>
      <x:c r="M240" s="87" t="n">
        <x:f>0</x:f>
        <x:v>0</x:v>
      </x:c>
      <x:c r="N240" s="87" t="n">
        <x:f>H240+K240+M240</x:f>
        <x:v>3846</x:v>
      </x:c>
      <x:c r="O240" s="87" t="n">
        <x:f>N240*'01 Base Costs'!$B$7+L240</x:f>
        <x:v>18499260000</x:v>
      </x:c>
      <x:c r="P240" s="87" t="n">
        <x:f>D240*E240</x:f>
        <x:v>12</x:v>
      </x:c>
      <x:c r="Q240" s="87" t="n">
        <x:f>P240*'01 Base Costs'!$B$12</x:f>
        <x:v>23328000</x:v>
      </x:c>
      <x:c r="R240" s="87" t="n">
        <x:f>0</x:f>
        <x:v>0</x:v>
      </x:c>
      <x:c r="S240" s="87" t="n">
        <x:f>Q240+R240</x:f>
        <x:v>23328000</x:v>
      </x:c>
      <x:c r="T240" s="141" t="n">
        <x:f>S240/'01 Base Costs'!$B$14</x:f>
        <x:v>46.656</x:v>
      </x:c>
      <x:c r="U240" s="87" t="n">
        <x:f>INT(T240)</x:f>
        <x:v>46</x:v>
      </x:c>
      <x:c r="V240" s="87" t="n">
        <x:f>S240-U240*'01 Base Costs'!$B$14</x:f>
        <x:v>328000</x:v>
      </x:c>
      <x:c r="W240" s="120" t="n">
        <x:f>'01 Base Costs'!$B$20/50</x:f>
        <x:v>112</x:v>
      </x:c>
      <x:c r="X240" s="120" t="n">
        <x:f>0</x:f>
        <x:v>0</x:v>
      </x:c>
      <x:c r="Y240" s="87" t="n">
        <x:f>T240*(W240*'01 Base Costs'!$B$7+X240)</x:f>
        <x:v>25134520320</x:v>
      </x:c>
      <x:c r="Z240" s="87" t="n">
        <x:f>T240*'01 Base Costs'!$B$8</x:f>
        <x:v>35127302400</x:v>
      </x:c>
      <x:c r="AA240" s="87" t="n">
        <x:f>Z240*'01 Base Costs'!$B$11</x:f>
        <x:v>1756365120</x:v>
      </x:c>
      <x:c r="AB240" s="87" t="n">
        <x:f>Z240-AA240</x:f>
        <x:v>33370937280</x:v>
      </x:c>
      <x:c r="AC240" s="87" t="n">
        <x:f>O240+Y240</x:f>
        <x:v>43633780320</x:v>
      </x:c>
      <x:c r="AD240" s="87" t="n">
        <x:f>AB240-AC240</x:f>
        <x:v>-10262843040</x:v>
      </x:c>
      <x:c r="AE240" s="87" t="n">
        <x:f>AD240/D240</x:f>
        <x:v>-1710473840</x:v>
      </x:c>
      <x:c r="AF240" s="87" t="n">
        <x:f>AD240/P240</x:f>
        <x:v>-855236920</x:v>
      </x:c>
      <x:c r="AG240" s="87" t="n">
        <x:f>IF(T240=0,0,AC240/T240/(1-'01 Base Costs'!$B$11))</x:f>
        <x:v>984445624.8646307</x:v>
      </x:c>
      <x:c r="AH240" s="88" t="str">
        <x:f>IF(AD240&gt;0,"PROFIT","LOSS")</x:f>
        <x:v>LOSS</x:v>
      </x:c>
      <x:c r="AI240" s="89" t="str">
        <x:v>Base 6M Omega. MCT sale 40% off. Base 50-pack average.</x:v>
      </x:c>
    </x:row>
    <x:row r="241">
      <x:c r="A241" s="86" t="n">
        <x:v>239</x:v>
      </x:c>
      <x:c r="B241" s="88" t="str">
        <x:v>Base</x:v>
      </x:c>
      <x:c r="C241" s="88" t="str">
        <x:v>6M Omega</x:v>
      </x:c>
      <x:c r="D241" s="88" t="n">
        <x:v>6</x:v>
      </x:c>
      <x:c r="E241" s="88" t="n">
        <x:v>2</x:v>
      </x:c>
      <x:c r="F241" s="88" t="str">
        <x:v>NES MCT 40% sale</x:v>
      </x:c>
      <x:c r="G241" s="88" t="str">
        <x:v>NES 3-for-2 extractor sale</x:v>
      </x:c>
      <x:c r="H241" s="87" t="n">
        <x:f>'01 Base Costs'!$B$23</x:f>
        <x:v>2100</x:v>
      </x:c>
      <x:c r="I241" s="87" t="n">
        <x:f>'01 Base Costs'!$B$16*0.6</x:f>
        <x:v>291</x:v>
      </x:c>
      <x:c r="J241" s="87" t="n">
        <x:f>0</x:f>
        <x:v>0</x:v>
      </x:c>
      <x:c r="K241" s="87" t="n">
        <x:f>D241*(E241-1)*I241</x:f>
        <x:v>1746</x:v>
      </x:c>
      <x:c r="L241" s="87" t="n">
        <x:f>D241*(E241-1)*J241</x:f>
        <x:v>0</x:v>
      </x:c>
      <x:c r="M241" s="87" t="n">
        <x:f>0</x:f>
        <x:v>0</x:v>
      </x:c>
      <x:c r="N241" s="87" t="n">
        <x:f>H241+K241+M241</x:f>
        <x:v>3846</x:v>
      </x:c>
      <x:c r="O241" s="87" t="n">
        <x:f>N241*'01 Base Costs'!$B$7+L241</x:f>
        <x:v>18499260000</x:v>
      </x:c>
      <x:c r="P241" s="87" t="n">
        <x:f>D241*E241</x:f>
        <x:v>12</x:v>
      </x:c>
      <x:c r="Q241" s="87" t="n">
        <x:f>P241*'01 Base Costs'!$B$12</x:f>
        <x:v>23328000</x:v>
      </x:c>
      <x:c r="R241" s="87" t="n">
        <x:f>0</x:f>
        <x:v>0</x:v>
      </x:c>
      <x:c r="S241" s="87" t="n">
        <x:f>Q241+R241</x:f>
        <x:v>23328000</x:v>
      </x:c>
      <x:c r="T241" s="141" t="n">
        <x:f>S241/'01 Base Costs'!$B$14</x:f>
        <x:v>46.656</x:v>
      </x:c>
      <x:c r="U241" s="87" t="n">
        <x:f>INT(T241)</x:f>
        <x:v>46</x:v>
      </x:c>
      <x:c r="V241" s="87" t="n">
        <x:f>S241-U241*'01 Base Costs'!$B$14</x:f>
        <x:v>328000</x:v>
      </x:c>
      <x:c r="W241" s="120" t="n">
        <x:f>'01 Base Costs'!$B$17*2/3</x:f>
        <x:v>93.33333333333333</x:v>
      </x:c>
      <x:c r="X241" s="120" t="n">
        <x:f>0</x:f>
        <x:v>0</x:v>
      </x:c>
      <x:c r="Y241" s="87" t="n">
        <x:f>T241*(W241*'01 Base Costs'!$B$7+X241)</x:f>
        <x:v>20945433600</x:v>
      </x:c>
      <x:c r="Z241" s="87" t="n">
        <x:f>T241*'01 Base Costs'!$B$8</x:f>
        <x:v>35127302400</x:v>
      </x:c>
      <x:c r="AA241" s="87" t="n">
        <x:f>Z241*'01 Base Costs'!$B$11</x:f>
        <x:v>1756365120</x:v>
      </x:c>
      <x:c r="AB241" s="87" t="n">
        <x:f>Z241-AA241</x:f>
        <x:v>33370937280</x:v>
      </x:c>
      <x:c r="AC241" s="87" t="n">
        <x:f>O241+Y241</x:f>
        <x:v>39444693600</x:v>
      </x:c>
      <x:c r="AD241" s="87" t="n">
        <x:f>AB241-AC241</x:f>
        <x:v>-6073756320</x:v>
      </x:c>
      <x:c r="AE241" s="87" t="n">
        <x:f>AD241/D241</x:f>
        <x:v>-1012292720</x:v>
      </x:c>
      <x:c r="AF241" s="87" t="n">
        <x:f>AD241/P241</x:f>
        <x:v>-506146360</x:v>
      </x:c>
      <x:c r="AG241" s="87" t="n">
        <x:f>IF(T241=0,0,AC241/T241/(1-'01 Base Costs'!$B$11))</x:f>
        <x:v>889933344.1628764</x:v>
      </x:c>
      <x:c r="AH241" s="88" t="str">
        <x:f>IF(AD241&gt;0,"PROFIT","LOSS")</x:f>
        <x:v>LOSS</x:v>
      </x:c>
      <x:c r="AI241" s="89" t="str">
        <x:v>Base 6M Omega. MCT sale 40% off. Extractor 3-for-2 sale.</x:v>
      </x:c>
    </x:row>
    <x:row r="242">
      <x:c r="A242" s="86" t="n">
        <x:v>240</x:v>
      </x:c>
      <x:c r="B242" s="88" t="str">
        <x:v>Base</x:v>
      </x:c>
      <x:c r="C242" s="88" t="str">
        <x:v>6M Omega</x:v>
      </x:c>
      <x:c r="D242" s="88" t="n">
        <x:v>6</x:v>
      </x:c>
      <x:c r="E242" s="88" t="n">
        <x:v>2</x:v>
      </x:c>
      <x:c r="F242" s="88" t="str">
        <x:v>NES MCT 40% sale</x:v>
      </x:c>
      <x:c r="G242" s="88" t="str">
        <x:v>NES 2-for-1 extractor sale</x:v>
      </x:c>
      <x:c r="H242" s="87" t="n">
        <x:f>'01 Base Costs'!$B$23</x:f>
        <x:v>2100</x:v>
      </x:c>
      <x:c r="I242" s="87" t="n">
        <x:f>'01 Base Costs'!$B$16*0.6</x:f>
        <x:v>291</x:v>
      </x:c>
      <x:c r="J242" s="87" t="n">
        <x:f>0</x:f>
        <x:v>0</x:v>
      </x:c>
      <x:c r="K242" s="87" t="n">
        <x:f>D242*(E242-1)*I242</x:f>
        <x:v>1746</x:v>
      </x:c>
      <x:c r="L242" s="87" t="n">
        <x:f>D242*(E242-1)*J242</x:f>
        <x:v>0</x:v>
      </x:c>
      <x:c r="M242" s="87" t="n">
        <x:f>0</x:f>
        <x:v>0</x:v>
      </x:c>
      <x:c r="N242" s="87" t="n">
        <x:f>H242+K242+M242</x:f>
        <x:v>3846</x:v>
      </x:c>
      <x:c r="O242" s="87" t="n">
        <x:f>N242*'01 Base Costs'!$B$7+L242</x:f>
        <x:v>18499260000</x:v>
      </x:c>
      <x:c r="P242" s="87" t="n">
        <x:f>D242*E242</x:f>
        <x:v>12</x:v>
      </x:c>
      <x:c r="Q242" s="87" t="n">
        <x:f>P242*'01 Base Costs'!$B$12</x:f>
        <x:v>23328000</x:v>
      </x:c>
      <x:c r="R242" s="87" t="n">
        <x:f>0</x:f>
        <x:v>0</x:v>
      </x:c>
      <x:c r="S242" s="87" t="n">
        <x:f>Q242+R242</x:f>
        <x:v>23328000</x:v>
      </x:c>
      <x:c r="T242" s="141" t="n">
        <x:f>S242/'01 Base Costs'!$B$14</x:f>
        <x:v>46.656</x:v>
      </x:c>
      <x:c r="U242" s="87" t="n">
        <x:f>INT(T242)</x:f>
        <x:v>46</x:v>
      </x:c>
      <x:c r="V242" s="87" t="n">
        <x:f>S242-U242*'01 Base Costs'!$B$14</x:f>
        <x:v>328000</x:v>
      </x:c>
      <x:c r="W242" s="120" t="n">
        <x:f>'01 Base Costs'!$B$17/2</x:f>
        <x:v>70</x:v>
      </x:c>
      <x:c r="X242" s="120" t="n">
        <x:f>0</x:f>
        <x:v>0</x:v>
      </x:c>
      <x:c r="Y242" s="87" t="n">
        <x:f>T242*(W242*'01 Base Costs'!$B$7+X242)</x:f>
        <x:v>15709075200</x:v>
      </x:c>
      <x:c r="Z242" s="87" t="n">
        <x:f>T242*'01 Base Costs'!$B$8</x:f>
        <x:v>35127302400</x:v>
      </x:c>
      <x:c r="AA242" s="87" t="n">
        <x:f>Z242*'01 Base Costs'!$B$11</x:f>
        <x:v>1756365120</x:v>
      </x:c>
      <x:c r="AB242" s="87" t="n">
        <x:f>Z242-AA242</x:f>
        <x:v>33370937280</x:v>
      </x:c>
      <x:c r="AC242" s="87" t="n">
        <x:f>O242+Y242</x:f>
        <x:v>34208335200</x:v>
      </x:c>
      <x:c r="AD242" s="87" t="n">
        <x:f>AB242-AC242</x:f>
        <x:v>-837397920</x:v>
      </x:c>
      <x:c r="AE242" s="87" t="n">
        <x:f>AD242/D242</x:f>
        <x:v>-139566320</x:v>
      </x:c>
      <x:c r="AF242" s="87" t="n">
        <x:f>AD242/P242</x:f>
        <x:v>-69783160</x:v>
      </x:c>
      <x:c r="AG242" s="87" t="n">
        <x:f>IF(T242=0,0,AC242/T242/(1-'01 Base Costs'!$B$11))</x:f>
        <x:v>771792993.2856834</x:v>
      </x:c>
      <x:c r="AH242" s="88" t="str">
        <x:f>IF(AD242&gt;0,"PROFIT","LOSS")</x:f>
        <x:v>LOSS</x:v>
      </x:c>
      <x:c r="AI242" s="89" t="str">
        <x:v>Base 6M Omega. MCT sale 40% off. Extractor 2-for-1 sale.</x:v>
      </x:c>
    </x:row>
    <x:row r="243">
      <x:c r="A243" s="86" t="n">
        <x:v>241</x:v>
      </x:c>
      <x:c r="B243" s="88" t="str">
        <x:v>Base</x:v>
      </x:c>
      <x:c r="C243" s="88" t="str">
        <x:v>6M Omega</x:v>
      </x:c>
      <x:c r="D243" s="88" t="n">
        <x:v>6</x:v>
      </x:c>
      <x:c r="E243" s="88" t="n">
        <x:v>2</x:v>
      </x:c>
      <x:c r="F243" s="88" t="str">
        <x:v>NES MCT 40% sale</x:v>
      </x:c>
      <x:c r="G243" s="88" t="str">
        <x:v>NES 10-pack extractor 20% sale</x:v>
      </x:c>
      <x:c r="H243" s="87" t="n">
        <x:f>'01 Base Costs'!$B$23</x:f>
        <x:v>2100</x:v>
      </x:c>
      <x:c r="I243" s="87" t="n">
        <x:f>'01 Base Costs'!$B$16*0.6</x:f>
        <x:v>291</x:v>
      </x:c>
      <x:c r="J243" s="87" t="n">
        <x:f>0</x:f>
        <x:v>0</x:v>
      </x:c>
      <x:c r="K243" s="87" t="n">
        <x:f>D243*(E243-1)*I243</x:f>
        <x:v>1746</x:v>
      </x:c>
      <x:c r="L243" s="87" t="n">
        <x:f>D243*(E243-1)*J243</x:f>
        <x:v>0</x:v>
      </x:c>
      <x:c r="M243" s="87" t="n">
        <x:f>0</x:f>
        <x:v>0</x:v>
      </x:c>
      <x:c r="N243" s="87" t="n">
        <x:f>H243+K243+M243</x:f>
        <x:v>3846</x:v>
      </x:c>
      <x:c r="O243" s="87" t="n">
        <x:f>N243*'01 Base Costs'!$B$7+L243</x:f>
        <x:v>18499260000</x:v>
      </x:c>
      <x:c r="P243" s="87" t="n">
        <x:f>D243*E243</x:f>
        <x:v>12</x:v>
      </x:c>
      <x:c r="Q243" s="87" t="n">
        <x:f>P243*'01 Base Costs'!$B$12</x:f>
        <x:v>23328000</x:v>
      </x:c>
      <x:c r="R243" s="87" t="n">
        <x:f>0</x:f>
        <x:v>0</x:v>
      </x:c>
      <x:c r="S243" s="87" t="n">
        <x:f>Q243+R243</x:f>
        <x:v>23328000</x:v>
      </x:c>
      <x:c r="T243" s="141" t="n">
        <x:f>S243/'01 Base Costs'!$B$14</x:f>
        <x:v>46.656</x:v>
      </x:c>
      <x:c r="U243" s="87" t="n">
        <x:f>INT(T243)</x:f>
        <x:v>46</x:v>
      </x:c>
      <x:c r="V243" s="87" t="n">
        <x:f>S243-U243*'01 Base Costs'!$B$14</x:f>
        <x:v>328000</x:v>
      </x:c>
      <x:c r="W243" s="120" t="n">
        <x:f>'01 Base Costs'!$B$19*0.8/10</x:f>
        <x:v>95.2</x:v>
      </x:c>
      <x:c r="X243" s="120" t="n">
        <x:f>0</x:f>
        <x:v>0</x:v>
      </x:c>
      <x:c r="Y243" s="87" t="n">
        <x:f>T243*(W243*'01 Base Costs'!$B$7+X243)</x:f>
        <x:v>21364342272</x:v>
      </x:c>
      <x:c r="Z243" s="87" t="n">
        <x:f>T243*'01 Base Costs'!$B$8</x:f>
        <x:v>35127302400</x:v>
      </x:c>
      <x:c r="AA243" s="87" t="n">
        <x:f>Z243*'01 Base Costs'!$B$11</x:f>
        <x:v>1756365120</x:v>
      </x:c>
      <x:c r="AB243" s="87" t="n">
        <x:f>Z243-AA243</x:f>
        <x:v>33370937280</x:v>
      </x:c>
      <x:c r="AC243" s="87" t="n">
        <x:f>O243+Y243</x:f>
        <x:v>39863602272</x:v>
      </x:c>
      <x:c r="AD243" s="87" t="n">
        <x:f>AB243-AC243</x:f>
        <x:v>-6492664992</x:v>
      </x:c>
      <x:c r="AE243" s="87" t="n">
        <x:f>AD243/D243</x:f>
        <x:v>-1082110832</x:v>
      </x:c>
      <x:c r="AF243" s="87" t="n">
        <x:f>AD243/P243</x:f>
        <x:v>-541055416</x:v>
      </x:c>
      <x:c r="AG243" s="87" t="n">
        <x:f>IF(T243=0,0,AC243/T243/(1-'01 Base Costs'!$B$11))</x:f>
        <x:v>899384572.2330518</x:v>
      </x:c>
      <x:c r="AH243" s="88" t="str">
        <x:f>IF(AD243&gt;0,"PROFIT","LOSS")</x:f>
        <x:v>LOSS</x:v>
      </x:c>
      <x:c r="AI243" s="89" t="str">
        <x:v>Base 6M Omega. MCT sale 40% off. 10-pack at 20% off.</x:v>
      </x:c>
    </x:row>
    <x:row r="244">
      <x:c r="A244" s="86" t="n">
        <x:v>242</x:v>
      </x:c>
      <x:c r="B244" s="88" t="str">
        <x:v>Base</x:v>
      </x:c>
      <x:c r="C244" s="88" t="str">
        <x:v>6M Omega</x:v>
      </x:c>
      <x:c r="D244" s="88" t="n">
        <x:v>6</x:v>
      </x:c>
      <x:c r="E244" s="88" t="n">
        <x:v>2</x:v>
      </x:c>
      <x:c r="F244" s="88" t="str">
        <x:v>NES MCT 40% sale</x:v>
      </x:c>
      <x:c r="G244" s="88" t="str">
        <x:v>NES 50-pack extractor 20% sale</x:v>
      </x:c>
      <x:c r="H244" s="87" t="n">
        <x:f>'01 Base Costs'!$B$23</x:f>
        <x:v>2100</x:v>
      </x:c>
      <x:c r="I244" s="87" t="n">
        <x:f>'01 Base Costs'!$B$16*0.6</x:f>
        <x:v>291</x:v>
      </x:c>
      <x:c r="J244" s="87" t="n">
        <x:f>0</x:f>
        <x:v>0</x:v>
      </x:c>
      <x:c r="K244" s="87" t="n">
        <x:f>D244*(E244-1)*I244</x:f>
        <x:v>1746</x:v>
      </x:c>
      <x:c r="L244" s="87" t="n">
        <x:f>D244*(E244-1)*J244</x:f>
        <x:v>0</x:v>
      </x:c>
      <x:c r="M244" s="87" t="n">
        <x:f>0</x:f>
        <x:v>0</x:v>
      </x:c>
      <x:c r="N244" s="87" t="n">
        <x:f>H244+K244+M244</x:f>
        <x:v>3846</x:v>
      </x:c>
      <x:c r="O244" s="87" t="n">
        <x:f>N244*'01 Base Costs'!$B$7+L244</x:f>
        <x:v>18499260000</x:v>
      </x:c>
      <x:c r="P244" s="87" t="n">
        <x:f>D244*E244</x:f>
        <x:v>12</x:v>
      </x:c>
      <x:c r="Q244" s="87" t="n">
        <x:f>P244*'01 Base Costs'!$B$12</x:f>
        <x:v>23328000</x:v>
      </x:c>
      <x:c r="R244" s="87" t="n">
        <x:f>0</x:f>
        <x:v>0</x:v>
      </x:c>
      <x:c r="S244" s="87" t="n">
        <x:f>Q244+R244</x:f>
        <x:v>23328000</x:v>
      </x:c>
      <x:c r="T244" s="141" t="n">
        <x:f>S244/'01 Base Costs'!$B$14</x:f>
        <x:v>46.656</x:v>
      </x:c>
      <x:c r="U244" s="87" t="n">
        <x:f>INT(T244)</x:f>
        <x:v>46</x:v>
      </x:c>
      <x:c r="V244" s="87" t="n">
        <x:f>S244-U244*'01 Base Costs'!$B$14</x:f>
        <x:v>328000</x:v>
      </x:c>
      <x:c r="W244" s="120" t="n">
        <x:f>'01 Base Costs'!$B$20*0.8/50</x:f>
        <x:v>89.6</x:v>
      </x:c>
      <x:c r="X244" s="120" t="n">
        <x:f>0</x:f>
        <x:v>0</x:v>
      </x:c>
      <x:c r="Y244" s="87" t="n">
        <x:f>T244*(W244*'01 Base Costs'!$B$7+X244)</x:f>
        <x:v>20107616256</x:v>
      </x:c>
      <x:c r="Z244" s="87" t="n">
        <x:f>T244*'01 Base Costs'!$B$8</x:f>
        <x:v>35127302400</x:v>
      </x:c>
      <x:c r="AA244" s="87" t="n">
        <x:f>Z244*'01 Base Costs'!$B$11</x:f>
        <x:v>1756365120</x:v>
      </x:c>
      <x:c r="AB244" s="87" t="n">
        <x:f>Z244-AA244</x:f>
        <x:v>33370937280</x:v>
      </x:c>
      <x:c r="AC244" s="87" t="n">
        <x:f>O244+Y244</x:f>
        <x:v>38606876256</x:v>
      </x:c>
      <x:c r="AD244" s="87" t="n">
        <x:f>AB244-AC244</x:f>
        <x:v>-5235938976</x:v>
      </x:c>
      <x:c r="AE244" s="87" t="n">
        <x:f>AD244/D244</x:f>
        <x:v>-872656496</x:v>
      </x:c>
      <x:c r="AF244" s="87" t="n">
        <x:f>AD244/P244</x:f>
        <x:v>-436328248</x:v>
      </x:c>
      <x:c r="AG244" s="87" t="n">
        <x:f>IF(T244=0,0,AC244/T244/(1-'01 Base Costs'!$B$11))</x:f>
        <x:v>871030888.0225254</x:v>
      </x:c>
      <x:c r="AH244" s="88" t="str">
        <x:f>IF(AD244&gt;0,"PROFIT","LOSS")</x:f>
        <x:v>LOSS</x:v>
      </x:c>
      <x:c r="AI244" s="89" t="str">
        <x:v>Base 6M Omega. MCT sale 40% off. 50-pack at 20% off.</x:v>
      </x:c>
    </x:row>
    <x:row r="245">
      <x:c r="A245" s="86" t="n">
        <x:v>243</x:v>
      </x:c>
      <x:c r="B245" s="88" t="str">
        <x:v>Base</x:v>
      </x:c>
      <x:c r="C245" s="88" t="str">
        <x:v>6M Omega</x:v>
      </x:c>
      <x:c r="D245" s="88" t="n">
        <x:v>6</x:v>
      </x:c>
      <x:c r="E245" s="88" t="n">
        <x:v>2</x:v>
      </x:c>
      <x:c r="F245" s="88" t="str">
        <x:v>NES MCT 40% sale</x:v>
      </x:c>
      <x:c r="G245" s="88" t="str">
        <x:v>Market Skill Extractor</x:v>
      </x:c>
      <x:c r="H245" s="87" t="n">
        <x:f>'01 Base Costs'!$B$23</x:f>
        <x:v>2100</x:v>
      </x:c>
      <x:c r="I245" s="87" t="n">
        <x:f>'01 Base Costs'!$B$16*0.6</x:f>
        <x:v>291</x:v>
      </x:c>
      <x:c r="J245" s="87" t="n">
        <x:f>0</x:f>
        <x:v>0</x:v>
      </x:c>
      <x:c r="K245" s="87" t="n">
        <x:f>D245*(E245-1)*I245</x:f>
        <x:v>1746</x:v>
      </x:c>
      <x:c r="L245" s="87" t="n">
        <x:f>D245*(E245-1)*J245</x:f>
        <x:v>0</x:v>
      </x:c>
      <x:c r="M245" s="87" t="n">
        <x:f>0</x:f>
        <x:v>0</x:v>
      </x:c>
      <x:c r="N245" s="87" t="n">
        <x:f>H245+K245+M245</x:f>
        <x:v>3846</x:v>
      </x:c>
      <x:c r="O245" s="87" t="n">
        <x:f>N245*'01 Base Costs'!$B$7+L245</x:f>
        <x:v>18499260000</x:v>
      </x:c>
      <x:c r="P245" s="87" t="n">
        <x:f>D245*E245</x:f>
        <x:v>12</x:v>
      </x:c>
      <x:c r="Q245" s="87" t="n">
        <x:f>P245*'01 Base Costs'!$B$12</x:f>
        <x:v>23328000</x:v>
      </x:c>
      <x:c r="R245" s="87" t="n">
        <x:f>0</x:f>
        <x:v>0</x:v>
      </x:c>
      <x:c r="S245" s="87" t="n">
        <x:f>Q245+R245</x:f>
        <x:v>23328000</x:v>
      </x:c>
      <x:c r="T245" s="141" t="n">
        <x:f>S245/'01 Base Costs'!$B$14</x:f>
        <x:v>46.656</x:v>
      </x:c>
      <x:c r="U245" s="87" t="n">
        <x:f>INT(T245)</x:f>
        <x:v>46</x:v>
      </x:c>
      <x:c r="V245" s="87" t="n">
        <x:f>S245-U245*'01 Base Costs'!$B$14</x:f>
        <x:v>328000</x:v>
      </x:c>
      <x:c r="W245" s="120" t="n">
        <x:f>0</x:f>
        <x:v>0</x:v>
      </x:c>
      <x:c r="X245" s="120" t="n">
        <x:f>'01 Base Costs'!$B$9</x:f>
        <x:v>463500000</x:v>
      </x:c>
      <x:c r="Y245" s="87" t="n">
        <x:f>T245*(W245*'01 Base Costs'!$B$7+X245)</x:f>
        <x:v>21625056000</x:v>
      </x:c>
      <x:c r="Z245" s="87" t="n">
        <x:f>T245*'01 Base Costs'!$B$8</x:f>
        <x:v>35127302400</x:v>
      </x:c>
      <x:c r="AA245" s="87" t="n">
        <x:f>Z245*'01 Base Costs'!$B$11</x:f>
        <x:v>1756365120</x:v>
      </x:c>
      <x:c r="AB245" s="87" t="n">
        <x:f>Z245-AA245</x:f>
        <x:v>33370937280</x:v>
      </x:c>
      <x:c r="AC245" s="87" t="n">
        <x:f>O245+Y245</x:f>
        <x:v>40124316000</x:v>
      </x:c>
      <x:c r="AD245" s="87" t="n">
        <x:f>AB245-AC245</x:f>
        <x:v>-6753378720</x:v>
      </x:c>
      <x:c r="AE245" s="87" t="n">
        <x:f>AD245/D245</x:f>
        <x:v>-1125563120</x:v>
      </x:c>
      <x:c r="AF245" s="87" t="n">
        <x:f>AD245/P245</x:f>
        <x:v>-562781560</x:v>
      </x:c>
      <x:c r="AG245" s="87" t="n">
        <x:f>IF(T245=0,0,AC245/T245/(1-'01 Base Costs'!$B$11))</x:f>
        <x:v>905266677.4962097</x:v>
      </x:c>
      <x:c r="AH245" s="88" t="str">
        <x:f>IF(AD245&gt;0,"PROFIT","LOSS")</x:f>
        <x:v>LOSS</x:v>
      </x:c>
      <x:c r="AI245" s="89" t="str">
        <x:v>Base 6M Omega. MCT sale 40% off. Extractor bought on market with ISK.</x:v>
      </x:c>
    </x:row>
    <x:row r="246">
      <x:c r="A246" s="86" t="n">
        <x:v>244</x:v>
      </x:c>
      <x:c r="B246" s="88" t="str">
        <x:v>Base</x:v>
      </x:c>
      <x:c r="C246" s="88" t="str">
        <x:v>6M Omega</x:v>
      </x:c>
      <x:c r="D246" s="88" t="n">
        <x:v>6</x:v>
      </x:c>
      <x:c r="E246" s="88" t="n">
        <x:v>2</x:v>
      </x:c>
      <x:c r="F246" s="88" t="str">
        <x:v>Market MCT certificate</x:v>
      </x:c>
      <x:c r="G246" s="88" t="str">
        <x:v>NES single extractor</x:v>
      </x:c>
      <x:c r="H246" s="87" t="n">
        <x:f>'01 Base Costs'!$B$23</x:f>
        <x:v>2100</x:v>
      </x:c>
      <x:c r="I246" s="87" t="n">
        <x:f>0</x:f>
        <x:v>0</x:v>
      </x:c>
      <x:c r="J246" s="87" t="n">
        <x:f>'01 Base Costs'!$B$10</x:f>
        <x:v>2332850000</x:v>
      </x:c>
      <x:c r="K246" s="87" t="n">
        <x:f>D246*(E246-1)*I246</x:f>
        <x:v>0</x:v>
      </x:c>
      <x:c r="L246" s="87" t="n">
        <x:f>D246*(E246-1)*J246</x:f>
        <x:v>13997100000</x:v>
      </x:c>
      <x:c r="M246" s="87" t="n">
        <x:f>0</x:f>
        <x:v>0</x:v>
      </x:c>
      <x:c r="N246" s="87" t="n">
        <x:f>H246+K246+M246</x:f>
        <x:v>2100</x:v>
      </x:c>
      <x:c r="O246" s="87" t="n">
        <x:f>N246*'01 Base Costs'!$B$7+L246</x:f>
        <x:v>24098100000</x:v>
      </x:c>
      <x:c r="P246" s="87" t="n">
        <x:f>D246*E246</x:f>
        <x:v>12</x:v>
      </x:c>
      <x:c r="Q246" s="87" t="n">
        <x:f>P246*'01 Base Costs'!$B$12</x:f>
        <x:v>23328000</x:v>
      </x:c>
      <x:c r="R246" s="87" t="n">
        <x:f>0</x:f>
        <x:v>0</x:v>
      </x:c>
      <x:c r="S246" s="87" t="n">
        <x:f>Q246+R246</x:f>
        <x:v>23328000</x:v>
      </x:c>
      <x:c r="T246" s="141" t="n">
        <x:f>S246/'01 Base Costs'!$B$14</x:f>
        <x:v>46.656</x:v>
      </x:c>
      <x:c r="U246" s="87" t="n">
        <x:f>INT(T246)</x:f>
        <x:v>46</x:v>
      </x:c>
      <x:c r="V246" s="87" t="n">
        <x:f>S246-U246*'01 Base Costs'!$B$14</x:f>
        <x:v>328000</x:v>
      </x:c>
      <x:c r="W246" s="120" t="n">
        <x:f>'01 Base Costs'!$B$17</x:f>
        <x:v>140</x:v>
      </x:c>
      <x:c r="X246" s="120" t="n">
        <x:f>0</x:f>
        <x:v>0</x:v>
      </x:c>
      <x:c r="Y246" s="87" t="n">
        <x:f>T246*(W246*'01 Base Costs'!$B$7+X246)</x:f>
        <x:v>31418150400</x:v>
      </x:c>
      <x:c r="Z246" s="87" t="n">
        <x:f>T246*'01 Base Costs'!$B$8</x:f>
        <x:v>35127302400</x:v>
      </x:c>
      <x:c r="AA246" s="87" t="n">
        <x:f>Z246*'01 Base Costs'!$B$11</x:f>
        <x:v>1756365120</x:v>
      </x:c>
      <x:c r="AB246" s="87" t="n">
        <x:f>Z246-AA246</x:f>
        <x:v>33370937280</x:v>
      </x:c>
      <x:c r="AC246" s="87" t="n">
        <x:f>O246+Y246</x:f>
        <x:v>55516250400</x:v>
      </x:c>
      <x:c r="AD246" s="87" t="n">
        <x:f>AB246-AC246</x:f>
        <x:v>-22145313120</x:v>
      </x:c>
      <x:c r="AE246" s="87" t="n">
        <x:f>AD246/D246</x:f>
        <x:v>-3690885520</x:v>
      </x:c>
      <x:c r="AF246" s="87" t="n">
        <x:f>AD246/P246</x:f>
        <x:v>-1845442760</x:v>
      </x:c>
      <x:c r="AG246" s="87" t="n">
        <x:f>IF(T246=0,0,AC246/T246/(1-'01 Base Costs'!$B$11))</x:f>
        <x:v>1252532542.7766948</x:v>
      </x:c>
      <x:c r="AH246" s="88" t="str">
        <x:f>IF(AD246&gt;0,"PROFIT","LOSS")</x:f>
        <x:v>LOSS</x:v>
      </x:c>
      <x:c r="AI246" s="89" t="str">
        <x:v>Base 6M Omega. MCT certificate bought with ISK market price. Base single extractor.</x:v>
      </x:c>
    </x:row>
    <x:row r="247">
      <x:c r="A247" s="86" t="n">
        <x:v>245</x:v>
      </x:c>
      <x:c r="B247" s="88" t="str">
        <x:v>Base</x:v>
      </x:c>
      <x:c r="C247" s="88" t="str">
        <x:v>6M Omega</x:v>
      </x:c>
      <x:c r="D247" s="88" t="n">
        <x:v>6</x:v>
      </x:c>
      <x:c r="E247" s="88" t="n">
        <x:v>2</x:v>
      </x:c>
      <x:c r="F247" s="88" t="str">
        <x:v>Market MCT certificate</x:v>
      </x:c>
      <x:c r="G247" s="88" t="str">
        <x:v>NES 5-pack extractor</x:v>
      </x:c>
      <x:c r="H247" s="87" t="n">
        <x:f>'01 Base Costs'!$B$23</x:f>
        <x:v>2100</x:v>
      </x:c>
      <x:c r="I247" s="87" t="n">
        <x:f>0</x:f>
        <x:v>0</x:v>
      </x:c>
      <x:c r="J247" s="87" t="n">
        <x:f>'01 Base Costs'!$B$10</x:f>
        <x:v>2332850000</x:v>
      </x:c>
      <x:c r="K247" s="87" t="n">
        <x:f>D247*(E247-1)*I247</x:f>
        <x:v>0</x:v>
      </x:c>
      <x:c r="L247" s="87" t="n">
        <x:f>D247*(E247-1)*J247</x:f>
        <x:v>13997100000</x:v>
      </x:c>
      <x:c r="M247" s="87" t="n">
        <x:f>0</x:f>
        <x:v>0</x:v>
      </x:c>
      <x:c r="N247" s="87" t="n">
        <x:f>H247+K247+M247</x:f>
        <x:v>2100</x:v>
      </x:c>
      <x:c r="O247" s="87" t="n">
        <x:f>N247*'01 Base Costs'!$B$7+L247</x:f>
        <x:v>24098100000</x:v>
      </x:c>
      <x:c r="P247" s="87" t="n">
        <x:f>D247*E247</x:f>
        <x:v>12</x:v>
      </x:c>
      <x:c r="Q247" s="87" t="n">
        <x:f>P247*'01 Base Costs'!$B$12</x:f>
        <x:v>23328000</x:v>
      </x:c>
      <x:c r="R247" s="87" t="n">
        <x:f>0</x:f>
        <x:v>0</x:v>
      </x:c>
      <x:c r="S247" s="87" t="n">
        <x:f>Q247+R247</x:f>
        <x:v>23328000</x:v>
      </x:c>
      <x:c r="T247" s="141" t="n">
        <x:f>S247/'01 Base Costs'!$B$14</x:f>
        <x:v>46.656</x:v>
      </x:c>
      <x:c r="U247" s="87" t="n">
        <x:f>INT(T247)</x:f>
        <x:v>46</x:v>
      </x:c>
      <x:c r="V247" s="87" t="n">
        <x:f>S247-U247*'01 Base Costs'!$B$14</x:f>
        <x:v>328000</x:v>
      </x:c>
      <x:c r="W247" s="120" t="n">
        <x:f>'01 Base Costs'!$B$18/5</x:f>
        <x:v>126</x:v>
      </x:c>
      <x:c r="X247" s="120" t="n">
        <x:f>0</x:f>
        <x:v>0</x:v>
      </x:c>
      <x:c r="Y247" s="87" t="n">
        <x:f>T247*(W247*'01 Base Costs'!$B$7+X247)</x:f>
        <x:v>28276335360</x:v>
      </x:c>
      <x:c r="Z247" s="87" t="n">
        <x:f>T247*'01 Base Costs'!$B$8</x:f>
        <x:v>35127302400</x:v>
      </x:c>
      <x:c r="AA247" s="87" t="n">
        <x:f>Z247*'01 Base Costs'!$B$11</x:f>
        <x:v>1756365120</x:v>
      </x:c>
      <x:c r="AB247" s="87" t="n">
        <x:f>Z247-AA247</x:f>
        <x:v>33370937280</x:v>
      </x:c>
      <x:c r="AC247" s="87" t="n">
        <x:f>O247+Y247</x:f>
        <x:v>52374435360</x:v>
      </x:c>
      <x:c r="AD247" s="87" t="n">
        <x:f>AB247-AC247</x:f>
        <x:v>-19003498080</x:v>
      </x:c>
      <x:c r="AE247" s="87" t="n">
        <x:f>AD247/D247</x:f>
        <x:v>-3167249680</x:v>
      </x:c>
      <x:c r="AF247" s="87" t="n">
        <x:f>AD247/P247</x:f>
        <x:v>-1583624840</x:v>
      </x:c>
      <x:c r="AG247" s="87" t="n">
        <x:f>IF(T247=0,0,AC247/T247/(1-'01 Base Costs'!$B$11))</x:f>
        <x:v>1181648332.250379</x:v>
      </x:c>
      <x:c r="AH247" s="88" t="str">
        <x:f>IF(AD247&gt;0,"PROFIT","LOSS")</x:f>
        <x:v>LOSS</x:v>
      </x:c>
      <x:c r="AI247" s="89" t="str">
        <x:v>Base 6M Omega. MCT certificate bought with ISK market price. Base 5-pack average.</x:v>
      </x:c>
    </x:row>
    <x:row r="248">
      <x:c r="A248" s="86" t="n">
        <x:v>246</x:v>
      </x:c>
      <x:c r="B248" s="88" t="str">
        <x:v>Base</x:v>
      </x:c>
      <x:c r="C248" s="88" t="str">
        <x:v>6M Omega</x:v>
      </x:c>
      <x:c r="D248" s="88" t="n">
        <x:v>6</x:v>
      </x:c>
      <x:c r="E248" s="88" t="n">
        <x:v>2</x:v>
      </x:c>
      <x:c r="F248" s="88" t="str">
        <x:v>Market MCT certificate</x:v>
      </x:c>
      <x:c r="G248" s="88" t="str">
        <x:v>NES 10-pack extractor</x:v>
      </x:c>
      <x:c r="H248" s="87" t="n">
        <x:f>'01 Base Costs'!$B$23</x:f>
        <x:v>2100</x:v>
      </x:c>
      <x:c r="I248" s="87" t="n">
        <x:f>0</x:f>
        <x:v>0</x:v>
      </x:c>
      <x:c r="J248" s="87" t="n">
        <x:f>'01 Base Costs'!$B$10</x:f>
        <x:v>2332850000</x:v>
      </x:c>
      <x:c r="K248" s="87" t="n">
        <x:f>D248*(E248-1)*I248</x:f>
        <x:v>0</x:v>
      </x:c>
      <x:c r="L248" s="87" t="n">
        <x:f>D248*(E248-1)*J248</x:f>
        <x:v>13997100000</x:v>
      </x:c>
      <x:c r="M248" s="87" t="n">
        <x:f>0</x:f>
        <x:v>0</x:v>
      </x:c>
      <x:c r="N248" s="87" t="n">
        <x:f>H248+K248+M248</x:f>
        <x:v>2100</x:v>
      </x:c>
      <x:c r="O248" s="87" t="n">
        <x:f>N248*'01 Base Costs'!$B$7+L248</x:f>
        <x:v>24098100000</x:v>
      </x:c>
      <x:c r="P248" s="87" t="n">
        <x:f>D248*E248</x:f>
        <x:v>12</x:v>
      </x:c>
      <x:c r="Q248" s="87" t="n">
        <x:f>P248*'01 Base Costs'!$B$12</x:f>
        <x:v>23328000</x:v>
      </x:c>
      <x:c r="R248" s="87" t="n">
        <x:f>0</x:f>
        <x:v>0</x:v>
      </x:c>
      <x:c r="S248" s="87" t="n">
        <x:f>Q248+R248</x:f>
        <x:v>23328000</x:v>
      </x:c>
      <x:c r="T248" s="141" t="n">
        <x:f>S248/'01 Base Costs'!$B$14</x:f>
        <x:v>46.656</x:v>
      </x:c>
      <x:c r="U248" s="87" t="n">
        <x:f>INT(T248)</x:f>
        <x:v>46</x:v>
      </x:c>
      <x:c r="V248" s="87" t="n">
        <x:f>S248-U248*'01 Base Costs'!$B$14</x:f>
        <x:v>328000</x:v>
      </x:c>
      <x:c r="W248" s="120" t="n">
        <x:f>'01 Base Costs'!$B$19/10</x:f>
        <x:v>119</x:v>
      </x:c>
      <x:c r="X248" s="120" t="n">
        <x:f>0</x:f>
        <x:v>0</x:v>
      </x:c>
      <x:c r="Y248" s="87" t="n">
        <x:f>T248*(W248*'01 Base Costs'!$B$7+X248)</x:f>
        <x:v>26705427840</x:v>
      </x:c>
      <x:c r="Z248" s="87" t="n">
        <x:f>T248*'01 Base Costs'!$B$8</x:f>
        <x:v>35127302400</x:v>
      </x:c>
      <x:c r="AA248" s="87" t="n">
        <x:f>Z248*'01 Base Costs'!$B$11</x:f>
        <x:v>1756365120</x:v>
      </x:c>
      <x:c r="AB248" s="87" t="n">
        <x:f>Z248-AA248</x:f>
        <x:v>33370937280</x:v>
      </x:c>
      <x:c r="AC248" s="87" t="n">
        <x:f>O248+Y248</x:f>
        <x:v>50803527840</x:v>
      </x:c>
      <x:c r="AD248" s="87" t="n">
        <x:f>AB248-AC248</x:f>
        <x:v>-17432590560</x:v>
      </x:c>
      <x:c r="AE248" s="87" t="n">
        <x:f>AD248/D248</x:f>
        <x:v>-2905431760</x:v>
      </x:c>
      <x:c r="AF248" s="87" t="n">
        <x:f>AD248/P248</x:f>
        <x:v>-1452715880</x:v>
      </x:c>
      <x:c r="AG248" s="87" t="n">
        <x:f>IF(T248=0,0,AC248/T248/(1-'01 Base Costs'!$B$11))</x:f>
        <x:v>1146206226.9872212</x:v>
      </x:c>
      <x:c r="AH248" s="88" t="str">
        <x:f>IF(AD248&gt;0,"PROFIT","LOSS")</x:f>
        <x:v>LOSS</x:v>
      </x:c>
      <x:c r="AI248" s="89" t="str">
        <x:v>Base 6M Omega. MCT certificate bought with ISK market price. Base 10-pack average.</x:v>
      </x:c>
    </x:row>
    <x:row r="249">
      <x:c r="A249" s="86" t="n">
        <x:v>247</x:v>
      </x:c>
      <x:c r="B249" s="88" t="str">
        <x:v>Base</x:v>
      </x:c>
      <x:c r="C249" s="88" t="str">
        <x:v>6M Omega</x:v>
      </x:c>
      <x:c r="D249" s="88" t="n">
        <x:v>6</x:v>
      </x:c>
      <x:c r="E249" s="88" t="n">
        <x:v>2</x:v>
      </x:c>
      <x:c r="F249" s="88" t="str">
        <x:v>Market MCT certificate</x:v>
      </x:c>
      <x:c r="G249" s="88" t="str">
        <x:v>NES 50-pack extractor</x:v>
      </x:c>
      <x:c r="H249" s="87" t="n">
        <x:f>'01 Base Costs'!$B$23</x:f>
        <x:v>2100</x:v>
      </x:c>
      <x:c r="I249" s="87" t="n">
        <x:f>0</x:f>
        <x:v>0</x:v>
      </x:c>
      <x:c r="J249" s="87" t="n">
        <x:f>'01 Base Costs'!$B$10</x:f>
        <x:v>2332850000</x:v>
      </x:c>
      <x:c r="K249" s="87" t="n">
        <x:f>D249*(E249-1)*I249</x:f>
        <x:v>0</x:v>
      </x:c>
      <x:c r="L249" s="87" t="n">
        <x:f>D249*(E249-1)*J249</x:f>
        <x:v>13997100000</x:v>
      </x:c>
      <x:c r="M249" s="87" t="n">
        <x:f>0</x:f>
        <x:v>0</x:v>
      </x:c>
      <x:c r="N249" s="87" t="n">
        <x:f>H249+K249+M249</x:f>
        <x:v>2100</x:v>
      </x:c>
      <x:c r="O249" s="87" t="n">
        <x:f>N249*'01 Base Costs'!$B$7+L249</x:f>
        <x:v>24098100000</x:v>
      </x:c>
      <x:c r="P249" s="87" t="n">
        <x:f>D249*E249</x:f>
        <x:v>12</x:v>
      </x:c>
      <x:c r="Q249" s="87" t="n">
        <x:f>P249*'01 Base Costs'!$B$12</x:f>
        <x:v>23328000</x:v>
      </x:c>
      <x:c r="R249" s="87" t="n">
        <x:f>0</x:f>
        <x:v>0</x:v>
      </x:c>
      <x:c r="S249" s="87" t="n">
        <x:f>Q249+R249</x:f>
        <x:v>23328000</x:v>
      </x:c>
      <x:c r="T249" s="141" t="n">
        <x:f>S249/'01 Base Costs'!$B$14</x:f>
        <x:v>46.656</x:v>
      </x:c>
      <x:c r="U249" s="87" t="n">
        <x:f>INT(T249)</x:f>
        <x:v>46</x:v>
      </x:c>
      <x:c r="V249" s="87" t="n">
        <x:f>S249-U249*'01 Base Costs'!$B$14</x:f>
        <x:v>328000</x:v>
      </x:c>
      <x:c r="W249" s="120" t="n">
        <x:f>'01 Base Costs'!$B$20/50</x:f>
        <x:v>112</x:v>
      </x:c>
      <x:c r="X249" s="120" t="n">
        <x:f>0</x:f>
        <x:v>0</x:v>
      </x:c>
      <x:c r="Y249" s="87" t="n">
        <x:f>T249*(W249*'01 Base Costs'!$B$7+X249)</x:f>
        <x:v>25134520320</x:v>
      </x:c>
      <x:c r="Z249" s="87" t="n">
        <x:f>T249*'01 Base Costs'!$B$8</x:f>
        <x:v>35127302400</x:v>
      </x:c>
      <x:c r="AA249" s="87" t="n">
        <x:f>Z249*'01 Base Costs'!$B$11</x:f>
        <x:v>1756365120</x:v>
      </x:c>
      <x:c r="AB249" s="87" t="n">
        <x:f>Z249-AA249</x:f>
        <x:v>33370937280</x:v>
      </x:c>
      <x:c r="AC249" s="87" t="n">
        <x:f>O249+Y249</x:f>
        <x:v>49232620320</x:v>
      </x:c>
      <x:c r="AD249" s="87" t="n">
        <x:f>AB249-AC249</x:f>
        <x:v>-15861683040</x:v>
      </x:c>
      <x:c r="AE249" s="87" t="n">
        <x:f>AD249/D249</x:f>
        <x:v>-2643613840</x:v>
      </x:c>
      <x:c r="AF249" s="87" t="n">
        <x:f>AD249/P249</x:f>
        <x:v>-1321806920</x:v>
      </x:c>
      <x:c r="AG249" s="87" t="n">
        <x:f>IF(T249=0,0,AC249/T249/(1-'01 Base Costs'!$B$11))</x:f>
        <x:v>1110764121.7240632</x:v>
      </x:c>
      <x:c r="AH249" s="88" t="str">
        <x:f>IF(AD249&gt;0,"PROFIT","LOSS")</x:f>
        <x:v>LOSS</x:v>
      </x:c>
      <x:c r="AI249" s="89" t="str">
        <x:v>Base 6M Omega. MCT certificate bought with ISK market price. Base 50-pack average.</x:v>
      </x:c>
    </x:row>
    <x:row r="250">
      <x:c r="A250" s="86" t="n">
        <x:v>248</x:v>
      </x:c>
      <x:c r="B250" s="88" t="str">
        <x:v>Base</x:v>
      </x:c>
      <x:c r="C250" s="88" t="str">
        <x:v>6M Omega</x:v>
      </x:c>
      <x:c r="D250" s="88" t="n">
        <x:v>6</x:v>
      </x:c>
      <x:c r="E250" s="88" t="n">
        <x:v>2</x:v>
      </x:c>
      <x:c r="F250" s="88" t="str">
        <x:v>Market MCT certificate</x:v>
      </x:c>
      <x:c r="G250" s="88" t="str">
        <x:v>NES 3-for-2 extractor sale</x:v>
      </x:c>
      <x:c r="H250" s="87" t="n">
        <x:f>'01 Base Costs'!$B$23</x:f>
        <x:v>2100</x:v>
      </x:c>
      <x:c r="I250" s="87" t="n">
        <x:f>0</x:f>
        <x:v>0</x:v>
      </x:c>
      <x:c r="J250" s="87" t="n">
        <x:f>'01 Base Costs'!$B$10</x:f>
        <x:v>2332850000</x:v>
      </x:c>
      <x:c r="K250" s="87" t="n">
        <x:f>D250*(E250-1)*I250</x:f>
        <x:v>0</x:v>
      </x:c>
      <x:c r="L250" s="87" t="n">
        <x:f>D250*(E250-1)*J250</x:f>
        <x:v>13997100000</x:v>
      </x:c>
      <x:c r="M250" s="87" t="n">
        <x:f>0</x:f>
        <x:v>0</x:v>
      </x:c>
      <x:c r="N250" s="87" t="n">
        <x:f>H250+K250+M250</x:f>
        <x:v>2100</x:v>
      </x:c>
      <x:c r="O250" s="87" t="n">
        <x:f>N250*'01 Base Costs'!$B$7+L250</x:f>
        <x:v>24098100000</x:v>
      </x:c>
      <x:c r="P250" s="87" t="n">
        <x:f>D250*E250</x:f>
        <x:v>12</x:v>
      </x:c>
      <x:c r="Q250" s="87" t="n">
        <x:f>P250*'01 Base Costs'!$B$12</x:f>
        <x:v>23328000</x:v>
      </x:c>
      <x:c r="R250" s="87" t="n">
        <x:f>0</x:f>
        <x:v>0</x:v>
      </x:c>
      <x:c r="S250" s="87" t="n">
        <x:f>Q250+R250</x:f>
        <x:v>23328000</x:v>
      </x:c>
      <x:c r="T250" s="141" t="n">
        <x:f>S250/'01 Base Costs'!$B$14</x:f>
        <x:v>46.656</x:v>
      </x:c>
      <x:c r="U250" s="87" t="n">
        <x:f>INT(T250)</x:f>
        <x:v>46</x:v>
      </x:c>
      <x:c r="V250" s="87" t="n">
        <x:f>S250-U250*'01 Base Costs'!$B$14</x:f>
        <x:v>328000</x:v>
      </x:c>
      <x:c r="W250" s="120" t="n">
        <x:f>'01 Base Costs'!$B$17*2/3</x:f>
        <x:v>93.33333333333333</x:v>
      </x:c>
      <x:c r="X250" s="120" t="n">
        <x:f>0</x:f>
        <x:v>0</x:v>
      </x:c>
      <x:c r="Y250" s="87" t="n">
        <x:f>T250*(W250*'01 Base Costs'!$B$7+X250)</x:f>
        <x:v>20945433600</x:v>
      </x:c>
      <x:c r="Z250" s="87" t="n">
        <x:f>T250*'01 Base Costs'!$B$8</x:f>
        <x:v>35127302400</x:v>
      </x:c>
      <x:c r="AA250" s="87" t="n">
        <x:f>Z250*'01 Base Costs'!$B$11</x:f>
        <x:v>1756365120</x:v>
      </x:c>
      <x:c r="AB250" s="87" t="n">
        <x:f>Z250-AA250</x:f>
        <x:v>33370937280</x:v>
      </x:c>
      <x:c r="AC250" s="87" t="n">
        <x:f>O250+Y250</x:f>
        <x:v>45043533600</x:v>
      </x:c>
      <x:c r="AD250" s="87" t="n">
        <x:f>AB250-AC250</x:f>
        <x:v>-11672596320</x:v>
      </x:c>
      <x:c r="AE250" s="87" t="n">
        <x:f>AD250/D250</x:f>
        <x:v>-1945432720</x:v>
      </x:c>
      <x:c r="AF250" s="87" t="n">
        <x:f>AD250/P250</x:f>
        <x:v>-972716360</x:v>
      </x:c>
      <x:c r="AG250" s="87" t="n">
        <x:f>IF(T250=0,0,AC250/T250/(1-'01 Base Costs'!$B$11))</x:f>
        <x:v>1016251841.022309</x:v>
      </x:c>
      <x:c r="AH250" s="88" t="str">
        <x:f>IF(AD250&gt;0,"PROFIT","LOSS")</x:f>
        <x:v>LOSS</x:v>
      </x:c>
      <x:c r="AI250" s="89" t="str">
        <x:v>Base 6M Omega. MCT certificate bought with ISK market price. Extractor 3-for-2 sale.</x:v>
      </x:c>
    </x:row>
    <x:row r="251">
      <x:c r="A251" s="86" t="n">
        <x:v>249</x:v>
      </x:c>
      <x:c r="B251" s="88" t="str">
        <x:v>Base</x:v>
      </x:c>
      <x:c r="C251" s="88" t="str">
        <x:v>6M Omega</x:v>
      </x:c>
      <x:c r="D251" s="88" t="n">
        <x:v>6</x:v>
      </x:c>
      <x:c r="E251" s="88" t="n">
        <x:v>2</x:v>
      </x:c>
      <x:c r="F251" s="88" t="str">
        <x:v>Market MCT certificate</x:v>
      </x:c>
      <x:c r="G251" s="88" t="str">
        <x:v>NES 2-for-1 extractor sale</x:v>
      </x:c>
      <x:c r="H251" s="87" t="n">
        <x:f>'01 Base Costs'!$B$23</x:f>
        <x:v>2100</x:v>
      </x:c>
      <x:c r="I251" s="87" t="n">
        <x:f>0</x:f>
        <x:v>0</x:v>
      </x:c>
      <x:c r="J251" s="87" t="n">
        <x:f>'01 Base Costs'!$B$10</x:f>
        <x:v>2332850000</x:v>
      </x:c>
      <x:c r="K251" s="87" t="n">
        <x:f>D251*(E251-1)*I251</x:f>
        <x:v>0</x:v>
      </x:c>
      <x:c r="L251" s="87" t="n">
        <x:f>D251*(E251-1)*J251</x:f>
        <x:v>13997100000</x:v>
      </x:c>
      <x:c r="M251" s="87" t="n">
        <x:f>0</x:f>
        <x:v>0</x:v>
      </x:c>
      <x:c r="N251" s="87" t="n">
        <x:f>H251+K251+M251</x:f>
        <x:v>2100</x:v>
      </x:c>
      <x:c r="O251" s="87" t="n">
        <x:f>N251*'01 Base Costs'!$B$7+L251</x:f>
        <x:v>24098100000</x:v>
      </x:c>
      <x:c r="P251" s="87" t="n">
        <x:f>D251*E251</x:f>
        <x:v>12</x:v>
      </x:c>
      <x:c r="Q251" s="87" t="n">
        <x:f>P251*'01 Base Costs'!$B$12</x:f>
        <x:v>23328000</x:v>
      </x:c>
      <x:c r="R251" s="87" t="n">
        <x:f>0</x:f>
        <x:v>0</x:v>
      </x:c>
      <x:c r="S251" s="87" t="n">
        <x:f>Q251+R251</x:f>
        <x:v>23328000</x:v>
      </x:c>
      <x:c r="T251" s="141" t="n">
        <x:f>S251/'01 Base Costs'!$B$14</x:f>
        <x:v>46.656</x:v>
      </x:c>
      <x:c r="U251" s="87" t="n">
        <x:f>INT(T251)</x:f>
        <x:v>46</x:v>
      </x:c>
      <x:c r="V251" s="87" t="n">
        <x:f>S251-U251*'01 Base Costs'!$B$14</x:f>
        <x:v>328000</x:v>
      </x:c>
      <x:c r="W251" s="120" t="n">
        <x:f>'01 Base Costs'!$B$17/2</x:f>
        <x:v>70</x:v>
      </x:c>
      <x:c r="X251" s="120" t="n">
        <x:f>0</x:f>
        <x:v>0</x:v>
      </x:c>
      <x:c r="Y251" s="87" t="n">
        <x:f>T251*(W251*'01 Base Costs'!$B$7+X251)</x:f>
        <x:v>15709075200</x:v>
      </x:c>
      <x:c r="Z251" s="87" t="n">
        <x:f>T251*'01 Base Costs'!$B$8</x:f>
        <x:v>35127302400</x:v>
      </x:c>
      <x:c r="AA251" s="87" t="n">
        <x:f>Z251*'01 Base Costs'!$B$11</x:f>
        <x:v>1756365120</x:v>
      </x:c>
      <x:c r="AB251" s="87" t="n">
        <x:f>Z251-AA251</x:f>
        <x:v>33370937280</x:v>
      </x:c>
      <x:c r="AC251" s="87" t="n">
        <x:f>O251+Y251</x:f>
        <x:v>39807175200</x:v>
      </x:c>
      <x:c r="AD251" s="87" t="n">
        <x:f>AB251-AC251</x:f>
        <x:v>-6436237920</x:v>
      </x:c>
      <x:c r="AE251" s="87" t="n">
        <x:f>AD251/D251</x:f>
        <x:v>-1072706320</x:v>
      </x:c>
      <x:c r="AF251" s="87" t="n">
        <x:f>AD251/P251</x:f>
        <x:v>-536353160</x:v>
      </x:c>
      <x:c r="AG251" s="87" t="n">
        <x:f>IF(T251=0,0,AC251/T251/(1-'01 Base Costs'!$B$11))</x:f>
        <x:v>898111490.1451159</x:v>
      </x:c>
      <x:c r="AH251" s="88" t="str">
        <x:f>IF(AD251&gt;0,"PROFIT","LOSS")</x:f>
        <x:v>LOSS</x:v>
      </x:c>
      <x:c r="AI251" s="89" t="str">
        <x:v>Base 6M Omega. MCT certificate bought with ISK market price. Extractor 2-for-1 sale.</x:v>
      </x:c>
    </x:row>
    <x:row r="252">
      <x:c r="A252" s="86" t="n">
        <x:v>250</x:v>
      </x:c>
      <x:c r="B252" s="88" t="str">
        <x:v>Base</x:v>
      </x:c>
      <x:c r="C252" s="88" t="str">
        <x:v>6M Omega</x:v>
      </x:c>
      <x:c r="D252" s="88" t="n">
        <x:v>6</x:v>
      </x:c>
      <x:c r="E252" s="88" t="n">
        <x:v>2</x:v>
      </x:c>
      <x:c r="F252" s="88" t="str">
        <x:v>Market MCT certificate</x:v>
      </x:c>
      <x:c r="G252" s="88" t="str">
        <x:v>NES 10-pack extractor 20% sale</x:v>
      </x:c>
      <x:c r="H252" s="87" t="n">
        <x:f>'01 Base Costs'!$B$23</x:f>
        <x:v>2100</x:v>
      </x:c>
      <x:c r="I252" s="87" t="n">
        <x:f>0</x:f>
        <x:v>0</x:v>
      </x:c>
      <x:c r="J252" s="87" t="n">
        <x:f>'01 Base Costs'!$B$10</x:f>
        <x:v>2332850000</x:v>
      </x:c>
      <x:c r="K252" s="87" t="n">
        <x:f>D252*(E252-1)*I252</x:f>
        <x:v>0</x:v>
      </x:c>
      <x:c r="L252" s="87" t="n">
        <x:f>D252*(E252-1)*J252</x:f>
        <x:v>13997100000</x:v>
      </x:c>
      <x:c r="M252" s="87" t="n">
        <x:f>0</x:f>
        <x:v>0</x:v>
      </x:c>
      <x:c r="N252" s="87" t="n">
        <x:f>H252+K252+M252</x:f>
        <x:v>2100</x:v>
      </x:c>
      <x:c r="O252" s="87" t="n">
        <x:f>N252*'01 Base Costs'!$B$7+L252</x:f>
        <x:v>24098100000</x:v>
      </x:c>
      <x:c r="P252" s="87" t="n">
        <x:f>D252*E252</x:f>
        <x:v>12</x:v>
      </x:c>
      <x:c r="Q252" s="87" t="n">
        <x:f>P252*'01 Base Costs'!$B$12</x:f>
        <x:v>23328000</x:v>
      </x:c>
      <x:c r="R252" s="87" t="n">
        <x:f>0</x:f>
        <x:v>0</x:v>
      </x:c>
      <x:c r="S252" s="87" t="n">
        <x:f>Q252+R252</x:f>
        <x:v>23328000</x:v>
      </x:c>
      <x:c r="T252" s="141" t="n">
        <x:f>S252/'01 Base Costs'!$B$14</x:f>
        <x:v>46.656</x:v>
      </x:c>
      <x:c r="U252" s="87" t="n">
        <x:f>INT(T252)</x:f>
        <x:v>46</x:v>
      </x:c>
      <x:c r="V252" s="87" t="n">
        <x:f>S252-U252*'01 Base Costs'!$B$14</x:f>
        <x:v>328000</x:v>
      </x:c>
      <x:c r="W252" s="120" t="n">
        <x:f>'01 Base Costs'!$B$19*0.8/10</x:f>
        <x:v>95.2</x:v>
      </x:c>
      <x:c r="X252" s="120" t="n">
        <x:f>0</x:f>
        <x:v>0</x:v>
      </x:c>
      <x:c r="Y252" s="87" t="n">
        <x:f>T252*(W252*'01 Base Costs'!$B$7+X252)</x:f>
        <x:v>21364342272</x:v>
      </x:c>
      <x:c r="Z252" s="87" t="n">
        <x:f>T252*'01 Base Costs'!$B$8</x:f>
        <x:v>35127302400</x:v>
      </x:c>
      <x:c r="AA252" s="87" t="n">
        <x:f>Z252*'01 Base Costs'!$B$11</x:f>
        <x:v>1756365120</x:v>
      </x:c>
      <x:c r="AB252" s="87" t="n">
        <x:f>Z252-AA252</x:f>
        <x:v>33370937280</x:v>
      </x:c>
      <x:c r="AC252" s="87" t="n">
        <x:f>O252+Y252</x:f>
        <x:v>45462442272</x:v>
      </x:c>
      <x:c r="AD252" s="87" t="n">
        <x:f>AB252-AC252</x:f>
        <x:v>-12091504992</x:v>
      </x:c>
      <x:c r="AE252" s="87" t="n">
        <x:f>AD252/D252</x:f>
        <x:v>-2015250832</x:v>
      </x:c>
      <x:c r="AF252" s="87" t="n">
        <x:f>AD252/P252</x:f>
        <x:v>-1007625416</x:v>
      </x:c>
      <x:c r="AG252" s="87" t="n">
        <x:f>IF(T252=0,0,AC252/T252/(1-'01 Base Costs'!$B$11))</x:f>
        <x:v>1025703069.0924844</x:v>
      </x:c>
      <x:c r="AH252" s="88" t="str">
        <x:f>IF(AD252&gt;0,"PROFIT","LOSS")</x:f>
        <x:v>LOSS</x:v>
      </x:c>
      <x:c r="AI252" s="89" t="str">
        <x:v>Base 6M Omega. MCT certificate bought with ISK market price. 10-pack at 20% off.</x:v>
      </x:c>
    </x:row>
    <x:row r="253">
      <x:c r="A253" s="86" t="n">
        <x:v>251</x:v>
      </x:c>
      <x:c r="B253" s="88" t="str">
        <x:v>Base</x:v>
      </x:c>
      <x:c r="C253" s="88" t="str">
        <x:v>6M Omega</x:v>
      </x:c>
      <x:c r="D253" s="88" t="n">
        <x:v>6</x:v>
      </x:c>
      <x:c r="E253" s="88" t="n">
        <x:v>2</x:v>
      </x:c>
      <x:c r="F253" s="88" t="str">
        <x:v>Market MCT certificate</x:v>
      </x:c>
      <x:c r="G253" s="88" t="str">
        <x:v>NES 50-pack extractor 20% sale</x:v>
      </x:c>
      <x:c r="H253" s="87" t="n">
        <x:f>'01 Base Costs'!$B$23</x:f>
        <x:v>2100</x:v>
      </x:c>
      <x:c r="I253" s="87" t="n">
        <x:f>0</x:f>
        <x:v>0</x:v>
      </x:c>
      <x:c r="J253" s="87" t="n">
        <x:f>'01 Base Costs'!$B$10</x:f>
        <x:v>2332850000</x:v>
      </x:c>
      <x:c r="K253" s="87" t="n">
        <x:f>D253*(E253-1)*I253</x:f>
        <x:v>0</x:v>
      </x:c>
      <x:c r="L253" s="87" t="n">
        <x:f>D253*(E253-1)*J253</x:f>
        <x:v>13997100000</x:v>
      </x:c>
      <x:c r="M253" s="87" t="n">
        <x:f>0</x:f>
        <x:v>0</x:v>
      </x:c>
      <x:c r="N253" s="87" t="n">
        <x:f>H253+K253+M253</x:f>
        <x:v>2100</x:v>
      </x:c>
      <x:c r="O253" s="87" t="n">
        <x:f>N253*'01 Base Costs'!$B$7+L253</x:f>
        <x:v>24098100000</x:v>
      </x:c>
      <x:c r="P253" s="87" t="n">
        <x:f>D253*E253</x:f>
        <x:v>12</x:v>
      </x:c>
      <x:c r="Q253" s="87" t="n">
        <x:f>P253*'01 Base Costs'!$B$12</x:f>
        <x:v>23328000</x:v>
      </x:c>
      <x:c r="R253" s="87" t="n">
        <x:f>0</x:f>
        <x:v>0</x:v>
      </x:c>
      <x:c r="S253" s="87" t="n">
        <x:f>Q253+R253</x:f>
        <x:v>23328000</x:v>
      </x:c>
      <x:c r="T253" s="141" t="n">
        <x:f>S253/'01 Base Costs'!$B$14</x:f>
        <x:v>46.656</x:v>
      </x:c>
      <x:c r="U253" s="87" t="n">
        <x:f>INT(T253)</x:f>
        <x:v>46</x:v>
      </x:c>
      <x:c r="V253" s="87" t="n">
        <x:f>S253-U253*'01 Base Costs'!$B$14</x:f>
        <x:v>328000</x:v>
      </x:c>
      <x:c r="W253" s="120" t="n">
        <x:f>'01 Base Costs'!$B$20*0.8/50</x:f>
        <x:v>89.6</x:v>
      </x:c>
      <x:c r="X253" s="120" t="n">
        <x:f>0</x:f>
        <x:v>0</x:v>
      </x:c>
      <x:c r="Y253" s="87" t="n">
        <x:f>T253*(W253*'01 Base Costs'!$B$7+X253)</x:f>
        <x:v>20107616256</x:v>
      </x:c>
      <x:c r="Z253" s="87" t="n">
        <x:f>T253*'01 Base Costs'!$B$8</x:f>
        <x:v>35127302400</x:v>
      </x:c>
      <x:c r="AA253" s="87" t="n">
        <x:f>Z253*'01 Base Costs'!$B$11</x:f>
        <x:v>1756365120</x:v>
      </x:c>
      <x:c r="AB253" s="87" t="n">
        <x:f>Z253-AA253</x:f>
        <x:v>33370937280</x:v>
      </x:c>
      <x:c r="AC253" s="87" t="n">
        <x:f>O253+Y253</x:f>
        <x:v>44205716256</x:v>
      </x:c>
      <x:c r="AD253" s="87" t="n">
        <x:f>AB253-AC253</x:f>
        <x:v>-10834778976</x:v>
      </x:c>
      <x:c r="AE253" s="87" t="n">
        <x:f>AD253/D253</x:f>
        <x:v>-1805796496</x:v>
      </x:c>
      <x:c r="AF253" s="87" t="n">
        <x:f>AD253/P253</x:f>
        <x:v>-902898248</x:v>
      </x:c>
      <x:c r="AG253" s="87" t="n">
        <x:f>IF(T253=0,0,AC253/T253/(1-'01 Base Costs'!$B$11))</x:f>
        <x:v>997349384.881958</x:v>
      </x:c>
      <x:c r="AH253" s="88" t="str">
        <x:f>IF(AD253&gt;0,"PROFIT","LOSS")</x:f>
        <x:v>LOSS</x:v>
      </x:c>
      <x:c r="AI253" s="89" t="str">
        <x:v>Base 6M Omega. MCT certificate bought with ISK market price. 50-pack at 20% off.</x:v>
      </x:c>
    </x:row>
    <x:row r="254">
      <x:c r="A254" s="86" t="n">
        <x:v>252</x:v>
      </x:c>
      <x:c r="B254" s="88" t="str">
        <x:v>Base</x:v>
      </x:c>
      <x:c r="C254" s="88" t="str">
        <x:v>6M Omega</x:v>
      </x:c>
      <x:c r="D254" s="88" t="n">
        <x:v>6</x:v>
      </x:c>
      <x:c r="E254" s="88" t="n">
        <x:v>2</x:v>
      </x:c>
      <x:c r="F254" s="88" t="str">
        <x:v>Market MCT certificate</x:v>
      </x:c>
      <x:c r="G254" s="88" t="str">
        <x:v>Market Skill Extractor</x:v>
      </x:c>
      <x:c r="H254" s="87" t="n">
        <x:f>'01 Base Costs'!$B$23</x:f>
        <x:v>2100</x:v>
      </x:c>
      <x:c r="I254" s="87" t="n">
        <x:f>0</x:f>
        <x:v>0</x:v>
      </x:c>
      <x:c r="J254" s="87" t="n">
        <x:f>'01 Base Costs'!$B$10</x:f>
        <x:v>2332850000</x:v>
      </x:c>
      <x:c r="K254" s="87" t="n">
        <x:f>D254*(E254-1)*I254</x:f>
        <x:v>0</x:v>
      </x:c>
      <x:c r="L254" s="87" t="n">
        <x:f>D254*(E254-1)*J254</x:f>
        <x:v>13997100000</x:v>
      </x:c>
      <x:c r="M254" s="87" t="n">
        <x:f>0</x:f>
        <x:v>0</x:v>
      </x:c>
      <x:c r="N254" s="87" t="n">
        <x:f>H254+K254+M254</x:f>
        <x:v>2100</x:v>
      </x:c>
      <x:c r="O254" s="87" t="n">
        <x:f>N254*'01 Base Costs'!$B$7+L254</x:f>
        <x:v>24098100000</x:v>
      </x:c>
      <x:c r="P254" s="87" t="n">
        <x:f>D254*E254</x:f>
        <x:v>12</x:v>
      </x:c>
      <x:c r="Q254" s="87" t="n">
        <x:f>P254*'01 Base Costs'!$B$12</x:f>
        <x:v>23328000</x:v>
      </x:c>
      <x:c r="R254" s="87" t="n">
        <x:f>0</x:f>
        <x:v>0</x:v>
      </x:c>
      <x:c r="S254" s="87" t="n">
        <x:f>Q254+R254</x:f>
        <x:v>23328000</x:v>
      </x:c>
      <x:c r="T254" s="141" t="n">
        <x:f>S254/'01 Base Costs'!$B$14</x:f>
        <x:v>46.656</x:v>
      </x:c>
      <x:c r="U254" s="87" t="n">
        <x:f>INT(T254)</x:f>
        <x:v>46</x:v>
      </x:c>
      <x:c r="V254" s="87" t="n">
        <x:f>S254-U254*'01 Base Costs'!$B$14</x:f>
        <x:v>328000</x:v>
      </x:c>
      <x:c r="W254" s="120" t="n">
        <x:f>0</x:f>
        <x:v>0</x:v>
      </x:c>
      <x:c r="X254" s="120" t="n">
        <x:f>'01 Base Costs'!$B$9</x:f>
        <x:v>463500000</x:v>
      </x:c>
      <x:c r="Y254" s="87" t="n">
        <x:f>T254*(W254*'01 Base Costs'!$B$7+X254)</x:f>
        <x:v>21625056000</x:v>
      </x:c>
      <x:c r="Z254" s="87" t="n">
        <x:f>T254*'01 Base Costs'!$B$8</x:f>
        <x:v>35127302400</x:v>
      </x:c>
      <x:c r="AA254" s="87" t="n">
        <x:f>Z254*'01 Base Costs'!$B$11</x:f>
        <x:v>1756365120</x:v>
      </x:c>
      <x:c r="AB254" s="87" t="n">
        <x:f>Z254-AA254</x:f>
        <x:v>33370937280</x:v>
      </x:c>
      <x:c r="AC254" s="87" t="n">
        <x:f>O254+Y254</x:f>
        <x:v>45723156000</x:v>
      </x:c>
      <x:c r="AD254" s="87" t="n">
        <x:f>AB254-AC254</x:f>
        <x:v>-12352218720</x:v>
      </x:c>
      <x:c r="AE254" s="87" t="n">
        <x:f>AD254/D254</x:f>
        <x:v>-2058703120</x:v>
      </x:c>
      <x:c r="AF254" s="87" t="n">
        <x:f>AD254/P254</x:f>
        <x:v>-1029351560</x:v>
      </x:c>
      <x:c r="AG254" s="87" t="n">
        <x:f>IF(T254=0,0,AC254/T254/(1-'01 Base Costs'!$B$11))</x:f>
        <x:v>1031585174.3556422</x:v>
      </x:c>
      <x:c r="AH254" s="88" t="str">
        <x:f>IF(AD254&gt;0,"PROFIT","LOSS")</x:f>
        <x:v>LOSS</x:v>
      </x:c>
      <x:c r="AI254" s="89" t="str">
        <x:v>Base 6M Omega. MCT certificate bought with ISK market price. Extractor bought on market with ISK.</x:v>
      </x:c>
    </x:row>
    <x:row r="255">
      <x:c r="A255" s="86" t="n">
        <x:v>253</x:v>
      </x:c>
      <x:c r="B255" s="88" t="str">
        <x:v>Base</x:v>
      </x:c>
      <x:c r="C255" s="88" t="str">
        <x:v>6M Omega</x:v>
      </x:c>
      <x:c r="D255" s="88" t="n">
        <x:v>6</x:v>
      </x:c>
      <x:c r="E255" s="88" t="n">
        <x:v>3</x:v>
      </x:c>
      <x:c r="F255" s="88" t="str">
        <x:v>NES base MCT</x:v>
      </x:c>
      <x:c r="G255" s="88" t="str">
        <x:v>NES single extractor</x:v>
      </x:c>
      <x:c r="H255" s="87" t="n">
        <x:f>'01 Base Costs'!$B$23</x:f>
        <x:v>2100</x:v>
      </x:c>
      <x:c r="I255" s="87" t="n">
        <x:f>'01 Base Costs'!$B$16</x:f>
        <x:v>485</x:v>
      </x:c>
      <x:c r="J255" s="87" t="n">
        <x:f>0</x:f>
        <x:v>0</x:v>
      </x:c>
      <x:c r="K255" s="87" t="n">
        <x:f>D255*(E255-1)*I255</x:f>
        <x:v>5820</x:v>
      </x:c>
      <x:c r="L255" s="87" t="n">
        <x:f>D255*(E255-1)*J255</x:f>
        <x:v>0</x:v>
      </x:c>
      <x:c r="M255" s="87" t="n">
        <x:f>0</x:f>
        <x:v>0</x:v>
      </x:c>
      <x:c r="N255" s="87" t="n">
        <x:f>H255+K255+M255</x:f>
        <x:v>7920</x:v>
      </x:c>
      <x:c r="O255" s="87" t="n">
        <x:f>N255*'01 Base Costs'!$B$7+L255</x:f>
        <x:v>38095200000</x:v>
      </x:c>
      <x:c r="P255" s="87" t="n">
        <x:f>D255*E255</x:f>
        <x:v>18</x:v>
      </x:c>
      <x:c r="Q255" s="87" t="n">
        <x:f>P255*'01 Base Costs'!$B$12</x:f>
        <x:v>34992000</x:v>
      </x:c>
      <x:c r="R255" s="87" t="n">
        <x:f>0</x:f>
        <x:v>0</x:v>
      </x:c>
      <x:c r="S255" s="87" t="n">
        <x:f>Q255+R255</x:f>
        <x:v>34992000</x:v>
      </x:c>
      <x:c r="T255" s="141" t="n">
        <x:f>S255/'01 Base Costs'!$B$14</x:f>
        <x:v>69.984</x:v>
      </x:c>
      <x:c r="U255" s="87" t="n">
        <x:f>INT(T255)</x:f>
        <x:v>69</x:v>
      </x:c>
      <x:c r="V255" s="87" t="n">
        <x:f>S255-U255*'01 Base Costs'!$B$14</x:f>
        <x:v>492000</x:v>
      </x:c>
      <x:c r="W255" s="120" t="n">
        <x:f>'01 Base Costs'!$B$17</x:f>
        <x:v>140</x:v>
      </x:c>
      <x:c r="X255" s="120" t="n">
        <x:f>0</x:f>
        <x:v>0</x:v>
      </x:c>
      <x:c r="Y255" s="87" t="n">
        <x:f>T255*(W255*'01 Base Costs'!$B$7+X255)</x:f>
        <x:v>47127225600</x:v>
      </x:c>
      <x:c r="Z255" s="87" t="n">
        <x:f>T255*'01 Base Costs'!$B$8</x:f>
        <x:v>52690953599.99999</x:v>
      </x:c>
      <x:c r="AA255" s="87" t="n">
        <x:f>Z255*'01 Base Costs'!$B$11</x:f>
        <x:v>2634547680</x:v>
      </x:c>
      <x:c r="AB255" s="87" t="n">
        <x:f>Z255-AA255</x:f>
        <x:v>50056405919.99999</x:v>
      </x:c>
      <x:c r="AC255" s="87" t="n">
        <x:f>O255+Y255</x:f>
        <x:v>85222425600</x:v>
      </x:c>
      <x:c r="AD255" s="87" t="n">
        <x:f>AB255-AC255</x:f>
        <x:v>-35166019680.00001</x:v>
      </x:c>
      <x:c r="AE255" s="87" t="n">
        <x:f>AD255/D255</x:f>
        <x:v>-5861003280.000001</x:v>
      </x:c>
      <x:c r="AF255" s="87" t="n">
        <x:f>AD255/P255</x:f>
        <x:v>-1953667760.0000005</x:v>
      </x:c>
      <x:c r="AG255" s="87" t="n">
        <x:f>IF(T255=0,0,AC255/T255/(1-'01 Base Costs'!$B$11))</x:f>
        <x:v>1281833225.0379035</x:v>
      </x:c>
      <x:c r="AH255" s="88" t="str">
        <x:f>IF(AD255&gt;0,"PROFIT","LOSS")</x:f>
        <x:v>LOSS</x:v>
      </x:c>
      <x:c r="AI255" s="89" t="str">
        <x:v>Base 6M Omega. MCT purchased with PLEX in NES. Base single extractor.</x:v>
      </x:c>
    </x:row>
    <x:row r="256">
      <x:c r="A256" s="86" t="n">
        <x:v>254</x:v>
      </x:c>
      <x:c r="B256" s="88" t="str">
        <x:v>Base</x:v>
      </x:c>
      <x:c r="C256" s="88" t="str">
        <x:v>6M Omega</x:v>
      </x:c>
      <x:c r="D256" s="88" t="n">
        <x:v>6</x:v>
      </x:c>
      <x:c r="E256" s="88" t="n">
        <x:v>3</x:v>
      </x:c>
      <x:c r="F256" s="88" t="str">
        <x:v>NES base MCT</x:v>
      </x:c>
      <x:c r="G256" s="88" t="str">
        <x:v>NES 5-pack extractor</x:v>
      </x:c>
      <x:c r="H256" s="87" t="n">
        <x:f>'01 Base Costs'!$B$23</x:f>
        <x:v>2100</x:v>
      </x:c>
      <x:c r="I256" s="87" t="n">
        <x:f>'01 Base Costs'!$B$16</x:f>
        <x:v>485</x:v>
      </x:c>
      <x:c r="J256" s="87" t="n">
        <x:f>0</x:f>
        <x:v>0</x:v>
      </x:c>
      <x:c r="K256" s="87" t="n">
        <x:f>D256*(E256-1)*I256</x:f>
        <x:v>5820</x:v>
      </x:c>
      <x:c r="L256" s="87" t="n">
        <x:f>D256*(E256-1)*J256</x:f>
        <x:v>0</x:v>
      </x:c>
      <x:c r="M256" s="87" t="n">
        <x:f>0</x:f>
        <x:v>0</x:v>
      </x:c>
      <x:c r="N256" s="87" t="n">
        <x:f>H256+K256+M256</x:f>
        <x:v>7920</x:v>
      </x:c>
      <x:c r="O256" s="87" t="n">
        <x:f>N256*'01 Base Costs'!$B$7+L256</x:f>
        <x:v>38095200000</x:v>
      </x:c>
      <x:c r="P256" s="87" t="n">
        <x:f>D256*E256</x:f>
        <x:v>18</x:v>
      </x:c>
      <x:c r="Q256" s="87" t="n">
        <x:f>P256*'01 Base Costs'!$B$12</x:f>
        <x:v>34992000</x:v>
      </x:c>
      <x:c r="R256" s="87" t="n">
        <x:f>0</x:f>
        <x:v>0</x:v>
      </x:c>
      <x:c r="S256" s="87" t="n">
        <x:f>Q256+R256</x:f>
        <x:v>34992000</x:v>
      </x:c>
      <x:c r="T256" s="141" t="n">
        <x:f>S256/'01 Base Costs'!$B$14</x:f>
        <x:v>69.984</x:v>
      </x:c>
      <x:c r="U256" s="87" t="n">
        <x:f>INT(T256)</x:f>
        <x:v>69</x:v>
      </x:c>
      <x:c r="V256" s="87" t="n">
        <x:f>S256-U256*'01 Base Costs'!$B$14</x:f>
        <x:v>492000</x:v>
      </x:c>
      <x:c r="W256" s="120" t="n">
        <x:f>'01 Base Costs'!$B$18/5</x:f>
        <x:v>126</x:v>
      </x:c>
      <x:c r="X256" s="120" t="n">
        <x:f>0</x:f>
        <x:v>0</x:v>
      </x:c>
      <x:c r="Y256" s="87" t="n">
        <x:f>T256*(W256*'01 Base Costs'!$B$7+X256)</x:f>
        <x:v>42414503040</x:v>
      </x:c>
      <x:c r="Z256" s="87" t="n">
        <x:f>T256*'01 Base Costs'!$B$8</x:f>
        <x:v>52690953599.99999</x:v>
      </x:c>
      <x:c r="AA256" s="87" t="n">
        <x:f>Z256*'01 Base Costs'!$B$11</x:f>
        <x:v>2634547680</x:v>
      </x:c>
      <x:c r="AB256" s="87" t="n">
        <x:f>Z256-AA256</x:f>
        <x:v>50056405919.99999</x:v>
      </x:c>
      <x:c r="AC256" s="87" t="n">
        <x:f>O256+Y256</x:f>
        <x:v>80509703040</x:v>
      </x:c>
      <x:c r="AD256" s="87" t="n">
        <x:f>AB256-AC256</x:f>
        <x:v>-30453297120.000008</x:v>
      </x:c>
      <x:c r="AE256" s="87" t="n">
        <x:f>AD256/D256</x:f>
        <x:v>-5075549520.000001</x:v>
      </x:c>
      <x:c r="AF256" s="87" t="n">
        <x:f>AD256/P256</x:f>
        <x:v>-1691849840.0000005</x:v>
      </x:c>
      <x:c r="AG256" s="87" t="n">
        <x:f>IF(T256=0,0,AC256/T256/(1-'01 Base Costs'!$B$11))</x:f>
        <x:v>1210949014.5115879</x:v>
      </x:c>
      <x:c r="AH256" s="88" t="str">
        <x:f>IF(AD256&gt;0,"PROFIT","LOSS")</x:f>
        <x:v>LOSS</x:v>
      </x:c>
      <x:c r="AI256" s="89" t="str">
        <x:v>Base 6M Omega. MCT purchased with PLEX in NES. Base 5-pack average.</x:v>
      </x:c>
    </x:row>
    <x:row r="257">
      <x:c r="A257" s="86" t="n">
        <x:v>255</x:v>
      </x:c>
      <x:c r="B257" s="88" t="str">
        <x:v>Base</x:v>
      </x:c>
      <x:c r="C257" s="88" t="str">
        <x:v>6M Omega</x:v>
      </x:c>
      <x:c r="D257" s="88" t="n">
        <x:v>6</x:v>
      </x:c>
      <x:c r="E257" s="88" t="n">
        <x:v>3</x:v>
      </x:c>
      <x:c r="F257" s="88" t="str">
        <x:v>NES base MCT</x:v>
      </x:c>
      <x:c r="G257" s="88" t="str">
        <x:v>NES 10-pack extractor</x:v>
      </x:c>
      <x:c r="H257" s="87" t="n">
        <x:f>'01 Base Costs'!$B$23</x:f>
        <x:v>2100</x:v>
      </x:c>
      <x:c r="I257" s="87" t="n">
        <x:f>'01 Base Costs'!$B$16</x:f>
        <x:v>485</x:v>
      </x:c>
      <x:c r="J257" s="87" t="n">
        <x:f>0</x:f>
        <x:v>0</x:v>
      </x:c>
      <x:c r="K257" s="87" t="n">
        <x:f>D257*(E257-1)*I257</x:f>
        <x:v>5820</x:v>
      </x:c>
      <x:c r="L257" s="87" t="n">
        <x:f>D257*(E257-1)*J257</x:f>
        <x:v>0</x:v>
      </x:c>
      <x:c r="M257" s="87" t="n">
        <x:f>0</x:f>
        <x:v>0</x:v>
      </x:c>
      <x:c r="N257" s="87" t="n">
        <x:f>H257+K257+M257</x:f>
        <x:v>7920</x:v>
      </x:c>
      <x:c r="O257" s="87" t="n">
        <x:f>N257*'01 Base Costs'!$B$7+L257</x:f>
        <x:v>38095200000</x:v>
      </x:c>
      <x:c r="P257" s="87" t="n">
        <x:f>D257*E257</x:f>
        <x:v>18</x:v>
      </x:c>
      <x:c r="Q257" s="87" t="n">
        <x:f>P257*'01 Base Costs'!$B$12</x:f>
        <x:v>34992000</x:v>
      </x:c>
      <x:c r="R257" s="87" t="n">
        <x:f>0</x:f>
        <x:v>0</x:v>
      </x:c>
      <x:c r="S257" s="87" t="n">
        <x:f>Q257+R257</x:f>
        <x:v>34992000</x:v>
      </x:c>
      <x:c r="T257" s="141" t="n">
        <x:f>S257/'01 Base Costs'!$B$14</x:f>
        <x:v>69.984</x:v>
      </x:c>
      <x:c r="U257" s="87" t="n">
        <x:f>INT(T257)</x:f>
        <x:v>69</x:v>
      </x:c>
      <x:c r="V257" s="87" t="n">
        <x:f>S257-U257*'01 Base Costs'!$B$14</x:f>
        <x:v>492000</x:v>
      </x:c>
      <x:c r="W257" s="120" t="n">
        <x:f>'01 Base Costs'!$B$19/10</x:f>
        <x:v>119</x:v>
      </x:c>
      <x:c r="X257" s="120" t="n">
        <x:f>0</x:f>
        <x:v>0</x:v>
      </x:c>
      <x:c r="Y257" s="87" t="n">
        <x:f>T257*(W257*'01 Base Costs'!$B$7+X257)</x:f>
        <x:v>40058141760</x:v>
      </x:c>
      <x:c r="Z257" s="87" t="n">
        <x:f>T257*'01 Base Costs'!$B$8</x:f>
        <x:v>52690953599.99999</x:v>
      </x:c>
      <x:c r="AA257" s="87" t="n">
        <x:f>Z257*'01 Base Costs'!$B$11</x:f>
        <x:v>2634547680</x:v>
      </x:c>
      <x:c r="AB257" s="87" t="n">
        <x:f>Z257-AA257</x:f>
        <x:v>50056405919.99999</x:v>
      </x:c>
      <x:c r="AC257" s="87" t="n">
        <x:f>O257+Y257</x:f>
        <x:v>78153341760</x:v>
      </x:c>
      <x:c r="AD257" s="87" t="n">
        <x:f>AB257-AC257</x:f>
        <x:v>-28096935840.000008</x:v>
      </x:c>
      <x:c r="AE257" s="87" t="n">
        <x:f>AD257/D257</x:f>
        <x:v>-4682822640.000001</x:v>
      </x:c>
      <x:c r="AF257" s="87" t="n">
        <x:f>AD257/P257</x:f>
        <x:v>-1560940880.0000005</x:v>
      </x:c>
      <x:c r="AG257" s="87" t="n">
        <x:f>IF(T257=0,0,AC257/T257/(1-'01 Base Costs'!$B$11))</x:f>
        <x:v>1175506909.24843</x:v>
      </x:c>
      <x:c r="AH257" s="88" t="str">
        <x:f>IF(AD257&gt;0,"PROFIT","LOSS")</x:f>
        <x:v>LOSS</x:v>
      </x:c>
      <x:c r="AI257" s="89" t="str">
        <x:v>Base 6M Omega. MCT purchased with PLEX in NES. Base 10-pack average.</x:v>
      </x:c>
    </x:row>
    <x:row r="258">
      <x:c r="A258" s="86" t="n">
        <x:v>256</x:v>
      </x:c>
      <x:c r="B258" s="88" t="str">
        <x:v>Base</x:v>
      </x:c>
      <x:c r="C258" s="88" t="str">
        <x:v>6M Omega</x:v>
      </x:c>
      <x:c r="D258" s="88" t="n">
        <x:v>6</x:v>
      </x:c>
      <x:c r="E258" s="88" t="n">
        <x:v>3</x:v>
      </x:c>
      <x:c r="F258" s="88" t="str">
        <x:v>NES base MCT</x:v>
      </x:c>
      <x:c r="G258" s="88" t="str">
        <x:v>NES 50-pack extractor</x:v>
      </x:c>
      <x:c r="H258" s="87" t="n">
        <x:f>'01 Base Costs'!$B$23</x:f>
        <x:v>2100</x:v>
      </x:c>
      <x:c r="I258" s="87" t="n">
        <x:f>'01 Base Costs'!$B$16</x:f>
        <x:v>485</x:v>
      </x:c>
      <x:c r="J258" s="87" t="n">
        <x:f>0</x:f>
        <x:v>0</x:v>
      </x:c>
      <x:c r="K258" s="87" t="n">
        <x:f>D258*(E258-1)*I258</x:f>
        <x:v>5820</x:v>
      </x:c>
      <x:c r="L258" s="87" t="n">
        <x:f>D258*(E258-1)*J258</x:f>
        <x:v>0</x:v>
      </x:c>
      <x:c r="M258" s="87" t="n">
        <x:f>0</x:f>
        <x:v>0</x:v>
      </x:c>
      <x:c r="N258" s="87" t="n">
        <x:f>H258+K258+M258</x:f>
        <x:v>7920</x:v>
      </x:c>
      <x:c r="O258" s="87" t="n">
        <x:f>N258*'01 Base Costs'!$B$7+L258</x:f>
        <x:v>38095200000</x:v>
      </x:c>
      <x:c r="P258" s="87" t="n">
        <x:f>D258*E258</x:f>
        <x:v>18</x:v>
      </x:c>
      <x:c r="Q258" s="87" t="n">
        <x:f>P258*'01 Base Costs'!$B$12</x:f>
        <x:v>34992000</x:v>
      </x:c>
      <x:c r="R258" s="87" t="n">
        <x:f>0</x:f>
        <x:v>0</x:v>
      </x:c>
      <x:c r="S258" s="87" t="n">
        <x:f>Q258+R258</x:f>
        <x:v>34992000</x:v>
      </x:c>
      <x:c r="T258" s="141" t="n">
        <x:f>S258/'01 Base Costs'!$B$14</x:f>
        <x:v>69.984</x:v>
      </x:c>
      <x:c r="U258" s="87" t="n">
        <x:f>INT(T258)</x:f>
        <x:v>69</x:v>
      </x:c>
      <x:c r="V258" s="87" t="n">
        <x:f>S258-U258*'01 Base Costs'!$B$14</x:f>
        <x:v>492000</x:v>
      </x:c>
      <x:c r="W258" s="120" t="n">
        <x:f>'01 Base Costs'!$B$20/50</x:f>
        <x:v>112</x:v>
      </x:c>
      <x:c r="X258" s="120" t="n">
        <x:f>0</x:f>
        <x:v>0</x:v>
      </x:c>
      <x:c r="Y258" s="87" t="n">
        <x:f>T258*(W258*'01 Base Costs'!$B$7+X258)</x:f>
        <x:v>37701780480</x:v>
      </x:c>
      <x:c r="Z258" s="87" t="n">
        <x:f>T258*'01 Base Costs'!$B$8</x:f>
        <x:v>52690953599.99999</x:v>
      </x:c>
      <x:c r="AA258" s="87" t="n">
        <x:f>Z258*'01 Base Costs'!$B$11</x:f>
        <x:v>2634547680</x:v>
      </x:c>
      <x:c r="AB258" s="87" t="n">
        <x:f>Z258-AA258</x:f>
        <x:v>50056405919.99999</x:v>
      </x:c>
      <x:c r="AC258" s="87" t="n">
        <x:f>O258+Y258</x:f>
        <x:v>75796980480</x:v>
      </x:c>
      <x:c r="AD258" s="87" t="n">
        <x:f>AB258-AC258</x:f>
        <x:v>-25740574560.000008</x:v>
      </x:c>
      <x:c r="AE258" s="87" t="n">
        <x:f>AD258/D258</x:f>
        <x:v>-4290095760.0000014</x:v>
      </x:c>
      <x:c r="AF258" s="87" t="n">
        <x:f>AD258/P258</x:f>
        <x:v>-1430031920.0000005</x:v>
      </x:c>
      <x:c r="AG258" s="87" t="n">
        <x:f>IF(T258=0,0,AC258/T258/(1-'01 Base Costs'!$B$11))</x:f>
        <x:v>1140064803.985272</x:v>
      </x:c>
      <x:c r="AH258" s="88" t="str">
        <x:f>IF(AD258&gt;0,"PROFIT","LOSS")</x:f>
        <x:v>LOSS</x:v>
      </x:c>
      <x:c r="AI258" s="89" t="str">
        <x:v>Base 6M Omega. MCT purchased with PLEX in NES. Base 50-pack average.</x:v>
      </x:c>
    </x:row>
    <x:row r="259">
      <x:c r="A259" s="86" t="n">
        <x:v>257</x:v>
      </x:c>
      <x:c r="B259" s="88" t="str">
        <x:v>Base</x:v>
      </x:c>
      <x:c r="C259" s="88" t="str">
        <x:v>6M Omega</x:v>
      </x:c>
      <x:c r="D259" s="88" t="n">
        <x:v>6</x:v>
      </x:c>
      <x:c r="E259" s="88" t="n">
        <x:v>3</x:v>
      </x:c>
      <x:c r="F259" s="88" t="str">
        <x:v>NES base MCT</x:v>
      </x:c>
      <x:c r="G259" s="88" t="str">
        <x:v>NES 3-for-2 extractor sale</x:v>
      </x:c>
      <x:c r="H259" s="87" t="n">
        <x:f>'01 Base Costs'!$B$23</x:f>
        <x:v>2100</x:v>
      </x:c>
      <x:c r="I259" s="87" t="n">
        <x:f>'01 Base Costs'!$B$16</x:f>
        <x:v>485</x:v>
      </x:c>
      <x:c r="J259" s="87" t="n">
        <x:f>0</x:f>
        <x:v>0</x:v>
      </x:c>
      <x:c r="K259" s="87" t="n">
        <x:f>D259*(E259-1)*I259</x:f>
        <x:v>5820</x:v>
      </x:c>
      <x:c r="L259" s="87" t="n">
        <x:f>D259*(E259-1)*J259</x:f>
        <x:v>0</x:v>
      </x:c>
      <x:c r="M259" s="87" t="n">
        <x:f>0</x:f>
        <x:v>0</x:v>
      </x:c>
      <x:c r="N259" s="87" t="n">
        <x:f>H259+K259+M259</x:f>
        <x:v>7920</x:v>
      </x:c>
      <x:c r="O259" s="87" t="n">
        <x:f>N259*'01 Base Costs'!$B$7+L259</x:f>
        <x:v>38095200000</x:v>
      </x:c>
      <x:c r="P259" s="87" t="n">
        <x:f>D259*E259</x:f>
        <x:v>18</x:v>
      </x:c>
      <x:c r="Q259" s="87" t="n">
        <x:f>P259*'01 Base Costs'!$B$12</x:f>
        <x:v>34992000</x:v>
      </x:c>
      <x:c r="R259" s="87" t="n">
        <x:f>0</x:f>
        <x:v>0</x:v>
      </x:c>
      <x:c r="S259" s="87" t="n">
        <x:f>Q259+R259</x:f>
        <x:v>34992000</x:v>
      </x:c>
      <x:c r="T259" s="141" t="n">
        <x:f>S259/'01 Base Costs'!$B$14</x:f>
        <x:v>69.984</x:v>
      </x:c>
      <x:c r="U259" s="87" t="n">
        <x:f>INT(T259)</x:f>
        <x:v>69</x:v>
      </x:c>
      <x:c r="V259" s="87" t="n">
        <x:f>S259-U259*'01 Base Costs'!$B$14</x:f>
        <x:v>492000</x:v>
      </x:c>
      <x:c r="W259" s="120" t="n">
        <x:f>'01 Base Costs'!$B$17*2/3</x:f>
        <x:v>93.33333333333333</x:v>
      </x:c>
      <x:c r="X259" s="120" t="n">
        <x:f>0</x:f>
        <x:v>0</x:v>
      </x:c>
      <x:c r="Y259" s="87" t="n">
        <x:f>T259*(W259*'01 Base Costs'!$B$7+X259)</x:f>
        <x:v>31418150399.999996</x:v>
      </x:c>
      <x:c r="Z259" s="87" t="n">
        <x:f>T259*'01 Base Costs'!$B$8</x:f>
        <x:v>52690953599.99999</x:v>
      </x:c>
      <x:c r="AA259" s="87" t="n">
        <x:f>Z259*'01 Base Costs'!$B$11</x:f>
        <x:v>2634547680</x:v>
      </x:c>
      <x:c r="AB259" s="87" t="n">
        <x:f>Z259-AA259</x:f>
        <x:v>50056405919.99999</x:v>
      </x:c>
      <x:c r="AC259" s="87" t="n">
        <x:f>O259+Y259</x:f>
        <x:v>69513350400</x:v>
      </x:c>
      <x:c r="AD259" s="87" t="n">
        <x:f>AB259-AC259</x:f>
        <x:v>-19456944480.000008</x:v>
      </x:c>
      <x:c r="AE259" s="87" t="n">
        <x:f>AD259/D259</x:f>
        <x:v>-3242824080.0000014</x:v>
      </x:c>
      <x:c r="AF259" s="87" t="n">
        <x:f>AD259/P259</x:f>
        <x:v>-1080941360.0000005</x:v>
      </x:c>
      <x:c r="AG259" s="87" t="n">
        <x:f>IF(T259=0,0,AC259/T259/(1-'01 Base Costs'!$B$11))</x:f>
        <x:v>1045552523.2835175</x:v>
      </x:c>
      <x:c r="AH259" s="88" t="str">
        <x:f>IF(AD259&gt;0,"PROFIT","LOSS")</x:f>
        <x:v>LOSS</x:v>
      </x:c>
      <x:c r="AI259" s="89" t="str">
        <x:v>Base 6M Omega. MCT purchased with PLEX in NES. Extractor 3-for-2 sale.</x:v>
      </x:c>
    </x:row>
    <x:row r="260">
      <x:c r="A260" s="86" t="n">
        <x:v>258</x:v>
      </x:c>
      <x:c r="B260" s="88" t="str">
        <x:v>Base</x:v>
      </x:c>
      <x:c r="C260" s="88" t="str">
        <x:v>6M Omega</x:v>
      </x:c>
      <x:c r="D260" s="88" t="n">
        <x:v>6</x:v>
      </x:c>
      <x:c r="E260" s="88" t="n">
        <x:v>3</x:v>
      </x:c>
      <x:c r="F260" s="88" t="str">
        <x:v>NES base MCT</x:v>
      </x:c>
      <x:c r="G260" s="88" t="str">
        <x:v>NES 2-for-1 extractor sale</x:v>
      </x:c>
      <x:c r="H260" s="87" t="n">
        <x:f>'01 Base Costs'!$B$23</x:f>
        <x:v>2100</x:v>
      </x:c>
      <x:c r="I260" s="87" t="n">
        <x:f>'01 Base Costs'!$B$16</x:f>
        <x:v>485</x:v>
      </x:c>
      <x:c r="J260" s="87" t="n">
        <x:f>0</x:f>
        <x:v>0</x:v>
      </x:c>
      <x:c r="K260" s="87" t="n">
        <x:f>D260*(E260-1)*I260</x:f>
        <x:v>5820</x:v>
      </x:c>
      <x:c r="L260" s="87" t="n">
        <x:f>D260*(E260-1)*J260</x:f>
        <x:v>0</x:v>
      </x:c>
      <x:c r="M260" s="87" t="n">
        <x:f>0</x:f>
        <x:v>0</x:v>
      </x:c>
      <x:c r="N260" s="87" t="n">
        <x:f>H260+K260+M260</x:f>
        <x:v>7920</x:v>
      </x:c>
      <x:c r="O260" s="87" t="n">
        <x:f>N260*'01 Base Costs'!$B$7+L260</x:f>
        <x:v>38095200000</x:v>
      </x:c>
      <x:c r="P260" s="87" t="n">
        <x:f>D260*E260</x:f>
        <x:v>18</x:v>
      </x:c>
      <x:c r="Q260" s="87" t="n">
        <x:f>P260*'01 Base Costs'!$B$12</x:f>
        <x:v>34992000</x:v>
      </x:c>
      <x:c r="R260" s="87" t="n">
        <x:f>0</x:f>
        <x:v>0</x:v>
      </x:c>
      <x:c r="S260" s="87" t="n">
        <x:f>Q260+R260</x:f>
        <x:v>34992000</x:v>
      </x:c>
      <x:c r="T260" s="141" t="n">
        <x:f>S260/'01 Base Costs'!$B$14</x:f>
        <x:v>69.984</x:v>
      </x:c>
      <x:c r="U260" s="87" t="n">
        <x:f>INT(T260)</x:f>
        <x:v>69</x:v>
      </x:c>
      <x:c r="V260" s="87" t="n">
        <x:f>S260-U260*'01 Base Costs'!$B$14</x:f>
        <x:v>492000</x:v>
      </x:c>
      <x:c r="W260" s="120" t="n">
        <x:f>'01 Base Costs'!$B$17/2</x:f>
        <x:v>70</x:v>
      </x:c>
      <x:c r="X260" s="120" t="n">
        <x:f>0</x:f>
        <x:v>0</x:v>
      </x:c>
      <x:c r="Y260" s="87" t="n">
        <x:f>T260*(W260*'01 Base Costs'!$B$7+X260)</x:f>
        <x:v>23563612800</x:v>
      </x:c>
      <x:c r="Z260" s="87" t="n">
        <x:f>T260*'01 Base Costs'!$B$8</x:f>
        <x:v>52690953599.99999</x:v>
      </x:c>
      <x:c r="AA260" s="87" t="n">
        <x:f>Z260*'01 Base Costs'!$B$11</x:f>
        <x:v>2634547680</x:v>
      </x:c>
      <x:c r="AB260" s="87" t="n">
        <x:f>Z260-AA260</x:f>
        <x:v>50056405919.99999</x:v>
      </x:c>
      <x:c r="AC260" s="87" t="n">
        <x:f>O260+Y260</x:f>
        <x:v>61658812800</x:v>
      </x:c>
      <x:c r="AD260" s="87" t="n">
        <x:f>AB260-AC260</x:f>
        <x:v>-11602406880.000008</x:v>
      </x:c>
      <x:c r="AE260" s="87" t="n">
        <x:f>AD260/D260</x:f>
        <x:v>-1933734480.0000012</x:v>
      </x:c>
      <x:c r="AF260" s="87" t="n">
        <x:f>AD260/P260</x:f>
        <x:v>-644578160.0000005</x:v>
      </x:c>
      <x:c r="AG260" s="87" t="n">
        <x:f>IF(T260=0,0,AC260/T260/(1-'01 Base Costs'!$B$11))</x:f>
        <x:v>927412172.4063245</x:v>
      </x:c>
      <x:c r="AH260" s="88" t="str">
        <x:f>IF(AD260&gt;0,"PROFIT","LOSS")</x:f>
        <x:v>LOSS</x:v>
      </x:c>
      <x:c r="AI260" s="89" t="str">
        <x:v>Base 6M Omega. MCT purchased with PLEX in NES. Extractor 2-for-1 sale.</x:v>
      </x:c>
    </x:row>
    <x:row r="261">
      <x:c r="A261" s="86" t="n">
        <x:v>259</x:v>
      </x:c>
      <x:c r="B261" s="88" t="str">
        <x:v>Base</x:v>
      </x:c>
      <x:c r="C261" s="88" t="str">
        <x:v>6M Omega</x:v>
      </x:c>
      <x:c r="D261" s="88" t="n">
        <x:v>6</x:v>
      </x:c>
      <x:c r="E261" s="88" t="n">
        <x:v>3</x:v>
      </x:c>
      <x:c r="F261" s="88" t="str">
        <x:v>NES base MCT</x:v>
      </x:c>
      <x:c r="G261" s="88" t="str">
        <x:v>NES 10-pack extractor 20% sale</x:v>
      </x:c>
      <x:c r="H261" s="87" t="n">
        <x:f>'01 Base Costs'!$B$23</x:f>
        <x:v>2100</x:v>
      </x:c>
      <x:c r="I261" s="87" t="n">
        <x:f>'01 Base Costs'!$B$16</x:f>
        <x:v>485</x:v>
      </x:c>
      <x:c r="J261" s="87" t="n">
        <x:f>0</x:f>
        <x:v>0</x:v>
      </x:c>
      <x:c r="K261" s="87" t="n">
        <x:f>D261*(E261-1)*I261</x:f>
        <x:v>5820</x:v>
      </x:c>
      <x:c r="L261" s="87" t="n">
        <x:f>D261*(E261-1)*J261</x:f>
        <x:v>0</x:v>
      </x:c>
      <x:c r="M261" s="87" t="n">
        <x:f>0</x:f>
        <x:v>0</x:v>
      </x:c>
      <x:c r="N261" s="87" t="n">
        <x:f>H261+K261+M261</x:f>
        <x:v>7920</x:v>
      </x:c>
      <x:c r="O261" s="87" t="n">
        <x:f>N261*'01 Base Costs'!$B$7+L261</x:f>
        <x:v>38095200000</x:v>
      </x:c>
      <x:c r="P261" s="87" t="n">
        <x:f>D261*E261</x:f>
        <x:v>18</x:v>
      </x:c>
      <x:c r="Q261" s="87" t="n">
        <x:f>P261*'01 Base Costs'!$B$12</x:f>
        <x:v>34992000</x:v>
      </x:c>
      <x:c r="R261" s="87" t="n">
        <x:f>0</x:f>
        <x:v>0</x:v>
      </x:c>
      <x:c r="S261" s="87" t="n">
        <x:f>Q261+R261</x:f>
        <x:v>34992000</x:v>
      </x:c>
      <x:c r="T261" s="141" t="n">
        <x:f>S261/'01 Base Costs'!$B$14</x:f>
        <x:v>69.984</x:v>
      </x:c>
      <x:c r="U261" s="87" t="n">
        <x:f>INT(T261)</x:f>
        <x:v>69</x:v>
      </x:c>
      <x:c r="V261" s="87" t="n">
        <x:f>S261-U261*'01 Base Costs'!$B$14</x:f>
        <x:v>492000</x:v>
      </x:c>
      <x:c r="W261" s="120" t="n">
        <x:f>'01 Base Costs'!$B$19*0.8/10</x:f>
        <x:v>95.2</x:v>
      </x:c>
      <x:c r="X261" s="120" t="n">
        <x:f>0</x:f>
        <x:v>0</x:v>
      </x:c>
      <x:c r="Y261" s="87" t="n">
        <x:f>T261*(W261*'01 Base Costs'!$B$7+X261)</x:f>
        <x:v>32046513407.999996</x:v>
      </x:c>
      <x:c r="Z261" s="87" t="n">
        <x:f>T261*'01 Base Costs'!$B$8</x:f>
        <x:v>52690953599.99999</x:v>
      </x:c>
      <x:c r="AA261" s="87" t="n">
        <x:f>Z261*'01 Base Costs'!$B$11</x:f>
        <x:v>2634547680</x:v>
      </x:c>
      <x:c r="AB261" s="87" t="n">
        <x:f>Z261-AA261</x:f>
        <x:v>50056405919.99999</x:v>
      </x:c>
      <x:c r="AC261" s="87" t="n">
        <x:f>O261+Y261</x:f>
        <x:v>70141713408</x:v>
      </x:c>
      <x:c r="AD261" s="87" t="n">
        <x:f>AB261-AC261</x:f>
        <x:v>-20085307488.000008</x:v>
      </x:c>
      <x:c r="AE261" s="87" t="n">
        <x:f>AD261/D261</x:f>
        <x:v>-3347551248.0000014</x:v>
      </x:c>
      <x:c r="AF261" s="87" t="n">
        <x:f>AD261/P261</x:f>
        <x:v>-1115850416.0000005</x:v>
      </x:c>
      <x:c r="AG261" s="87" t="n">
        <x:f>IF(T261=0,0,AC261/T261/(1-'01 Base Costs'!$B$11))</x:f>
        <x:v>1055003751.353693</x:v>
      </x:c>
      <x:c r="AH261" s="88" t="str">
        <x:f>IF(AD261&gt;0,"PROFIT","LOSS")</x:f>
        <x:v>LOSS</x:v>
      </x:c>
      <x:c r="AI261" s="89" t="str">
        <x:v>Base 6M Omega. MCT purchased with PLEX in NES. 10-pack at 20% off.</x:v>
      </x:c>
    </x:row>
    <x:row r="262">
      <x:c r="A262" s="86" t="n">
        <x:v>260</x:v>
      </x:c>
      <x:c r="B262" s="88" t="str">
        <x:v>Base</x:v>
      </x:c>
      <x:c r="C262" s="88" t="str">
        <x:v>6M Omega</x:v>
      </x:c>
      <x:c r="D262" s="88" t="n">
        <x:v>6</x:v>
      </x:c>
      <x:c r="E262" s="88" t="n">
        <x:v>3</x:v>
      </x:c>
      <x:c r="F262" s="88" t="str">
        <x:v>NES base MCT</x:v>
      </x:c>
      <x:c r="G262" s="88" t="str">
        <x:v>NES 50-pack extractor 20% sale</x:v>
      </x:c>
      <x:c r="H262" s="87" t="n">
        <x:f>'01 Base Costs'!$B$23</x:f>
        <x:v>2100</x:v>
      </x:c>
      <x:c r="I262" s="87" t="n">
        <x:f>'01 Base Costs'!$B$16</x:f>
        <x:v>485</x:v>
      </x:c>
      <x:c r="J262" s="87" t="n">
        <x:f>0</x:f>
        <x:v>0</x:v>
      </x:c>
      <x:c r="K262" s="87" t="n">
        <x:f>D262*(E262-1)*I262</x:f>
        <x:v>5820</x:v>
      </x:c>
      <x:c r="L262" s="87" t="n">
        <x:f>D262*(E262-1)*J262</x:f>
        <x:v>0</x:v>
      </x:c>
      <x:c r="M262" s="87" t="n">
        <x:f>0</x:f>
        <x:v>0</x:v>
      </x:c>
      <x:c r="N262" s="87" t="n">
        <x:f>H262+K262+M262</x:f>
        <x:v>7920</x:v>
      </x:c>
      <x:c r="O262" s="87" t="n">
        <x:f>N262*'01 Base Costs'!$B$7+L262</x:f>
        <x:v>38095200000</x:v>
      </x:c>
      <x:c r="P262" s="87" t="n">
        <x:f>D262*E262</x:f>
        <x:v>18</x:v>
      </x:c>
      <x:c r="Q262" s="87" t="n">
        <x:f>P262*'01 Base Costs'!$B$12</x:f>
        <x:v>34992000</x:v>
      </x:c>
      <x:c r="R262" s="87" t="n">
        <x:f>0</x:f>
        <x:v>0</x:v>
      </x:c>
      <x:c r="S262" s="87" t="n">
        <x:f>Q262+R262</x:f>
        <x:v>34992000</x:v>
      </x:c>
      <x:c r="T262" s="141" t="n">
        <x:f>S262/'01 Base Costs'!$B$14</x:f>
        <x:v>69.984</x:v>
      </x:c>
      <x:c r="U262" s="87" t="n">
        <x:f>INT(T262)</x:f>
        <x:v>69</x:v>
      </x:c>
      <x:c r="V262" s="87" t="n">
        <x:f>S262-U262*'01 Base Costs'!$B$14</x:f>
        <x:v>492000</x:v>
      </x:c>
      <x:c r="W262" s="120" t="n">
        <x:f>'01 Base Costs'!$B$20*0.8/50</x:f>
        <x:v>89.6</x:v>
      </x:c>
      <x:c r="X262" s="120" t="n">
        <x:f>0</x:f>
        <x:v>0</x:v>
      </x:c>
      <x:c r="Y262" s="87" t="n">
        <x:f>T262*(W262*'01 Base Costs'!$B$7+X262)</x:f>
        <x:v>30161424383.999996</x:v>
      </x:c>
      <x:c r="Z262" s="87" t="n">
        <x:f>T262*'01 Base Costs'!$B$8</x:f>
        <x:v>52690953599.99999</x:v>
      </x:c>
      <x:c r="AA262" s="87" t="n">
        <x:f>Z262*'01 Base Costs'!$B$11</x:f>
        <x:v>2634547680</x:v>
      </x:c>
      <x:c r="AB262" s="87" t="n">
        <x:f>Z262-AA262</x:f>
        <x:v>50056405919.99999</x:v>
      </x:c>
      <x:c r="AC262" s="87" t="n">
        <x:f>O262+Y262</x:f>
        <x:v>68256624384</x:v>
      </x:c>
      <x:c r="AD262" s="87" t="n">
        <x:f>AB262-AC262</x:f>
        <x:v>-18200218464.000008</x:v>
      </x:c>
      <x:c r="AE262" s="87" t="n">
        <x:f>AD262/D262</x:f>
        <x:v>-3033369744.0000014</x:v>
      </x:c>
      <x:c r="AF262" s="87" t="n">
        <x:f>AD262/P262</x:f>
        <x:v>-1011123248.0000005</x:v>
      </x:c>
      <x:c r="AG262" s="87" t="n">
        <x:f>IF(T262=0,0,AC262/T262/(1-'01 Base Costs'!$B$11))</x:f>
        <x:v>1026650067.1431668</x:v>
      </x:c>
      <x:c r="AH262" s="88" t="str">
        <x:f>IF(AD262&gt;0,"PROFIT","LOSS")</x:f>
        <x:v>LOSS</x:v>
      </x:c>
      <x:c r="AI262" s="89" t="str">
        <x:v>Base 6M Omega. MCT purchased with PLEX in NES. 50-pack at 20% off.</x:v>
      </x:c>
    </x:row>
    <x:row r="263">
      <x:c r="A263" s="86" t="n">
        <x:v>261</x:v>
      </x:c>
      <x:c r="B263" s="88" t="str">
        <x:v>Base</x:v>
      </x:c>
      <x:c r="C263" s="88" t="str">
        <x:v>6M Omega</x:v>
      </x:c>
      <x:c r="D263" s="88" t="n">
        <x:v>6</x:v>
      </x:c>
      <x:c r="E263" s="88" t="n">
        <x:v>3</x:v>
      </x:c>
      <x:c r="F263" s="88" t="str">
        <x:v>NES base MCT</x:v>
      </x:c>
      <x:c r="G263" s="88" t="str">
        <x:v>Market Skill Extractor</x:v>
      </x:c>
      <x:c r="H263" s="87" t="n">
        <x:f>'01 Base Costs'!$B$23</x:f>
        <x:v>2100</x:v>
      </x:c>
      <x:c r="I263" s="87" t="n">
        <x:f>'01 Base Costs'!$B$16</x:f>
        <x:v>485</x:v>
      </x:c>
      <x:c r="J263" s="87" t="n">
        <x:f>0</x:f>
        <x:v>0</x:v>
      </x:c>
      <x:c r="K263" s="87" t="n">
        <x:f>D263*(E263-1)*I263</x:f>
        <x:v>5820</x:v>
      </x:c>
      <x:c r="L263" s="87" t="n">
        <x:f>D263*(E263-1)*J263</x:f>
        <x:v>0</x:v>
      </x:c>
      <x:c r="M263" s="87" t="n">
        <x:f>0</x:f>
        <x:v>0</x:v>
      </x:c>
      <x:c r="N263" s="87" t="n">
        <x:f>H263+K263+M263</x:f>
        <x:v>7920</x:v>
      </x:c>
      <x:c r="O263" s="87" t="n">
        <x:f>N263*'01 Base Costs'!$B$7+L263</x:f>
        <x:v>38095200000</x:v>
      </x:c>
      <x:c r="P263" s="87" t="n">
        <x:f>D263*E263</x:f>
        <x:v>18</x:v>
      </x:c>
      <x:c r="Q263" s="87" t="n">
        <x:f>P263*'01 Base Costs'!$B$12</x:f>
        <x:v>34992000</x:v>
      </x:c>
      <x:c r="R263" s="87" t="n">
        <x:f>0</x:f>
        <x:v>0</x:v>
      </x:c>
      <x:c r="S263" s="87" t="n">
        <x:f>Q263+R263</x:f>
        <x:v>34992000</x:v>
      </x:c>
      <x:c r="T263" s="141" t="n">
        <x:f>S263/'01 Base Costs'!$B$14</x:f>
        <x:v>69.984</x:v>
      </x:c>
      <x:c r="U263" s="87" t="n">
        <x:f>INT(T263)</x:f>
        <x:v>69</x:v>
      </x:c>
      <x:c r="V263" s="87" t="n">
        <x:f>S263-U263*'01 Base Costs'!$B$14</x:f>
        <x:v>492000</x:v>
      </x:c>
      <x:c r="W263" s="120" t="n">
        <x:f>0</x:f>
        <x:v>0</x:v>
      </x:c>
      <x:c r="X263" s="120" t="n">
        <x:f>'01 Base Costs'!$B$9</x:f>
        <x:v>463500000</x:v>
      </x:c>
      <x:c r="Y263" s="87" t="n">
        <x:f>T263*(W263*'01 Base Costs'!$B$7+X263)</x:f>
        <x:v>32437583999.999996</x:v>
      </x:c>
      <x:c r="Z263" s="87" t="n">
        <x:f>T263*'01 Base Costs'!$B$8</x:f>
        <x:v>52690953599.99999</x:v>
      </x:c>
      <x:c r="AA263" s="87" t="n">
        <x:f>Z263*'01 Base Costs'!$B$11</x:f>
        <x:v>2634547680</x:v>
      </x:c>
      <x:c r="AB263" s="87" t="n">
        <x:f>Z263-AA263</x:f>
        <x:v>50056405919.99999</x:v>
      </x:c>
      <x:c r="AC263" s="87" t="n">
        <x:f>O263+Y263</x:f>
        <x:v>70532784000</x:v>
      </x:c>
      <x:c r="AD263" s="87" t="n">
        <x:f>AB263-AC263</x:f>
        <x:v>-20476378080.000008</x:v>
      </x:c>
      <x:c r="AE263" s="87" t="n">
        <x:f>AD263/D263</x:f>
        <x:v>-3412729680.0000014</x:v>
      </x:c>
      <x:c r="AF263" s="87" t="n">
        <x:f>AD263/P263</x:f>
        <x:v>-1137576560.0000005</x:v>
      </x:c>
      <x:c r="AG263" s="87" t="n">
        <x:f>IF(T263=0,0,AC263/T263/(1-'01 Base Costs'!$B$11))</x:f>
        <x:v>1060885856.616851</x:v>
      </x:c>
      <x:c r="AH263" s="88" t="str">
        <x:f>IF(AD263&gt;0,"PROFIT","LOSS")</x:f>
        <x:v>LOSS</x:v>
      </x:c>
      <x:c r="AI263" s="89" t="str">
        <x:v>Base 6M Omega. MCT purchased with PLEX in NES. Extractor bought on market with ISK.</x:v>
      </x:c>
    </x:row>
    <x:row r="264">
      <x:c r="A264" s="86" t="n">
        <x:v>262</x:v>
      </x:c>
      <x:c r="B264" s="88" t="str">
        <x:v>Base</x:v>
      </x:c>
      <x:c r="C264" s="88" t="str">
        <x:v>6M Omega</x:v>
      </x:c>
      <x:c r="D264" s="88" t="n">
        <x:v>6</x:v>
      </x:c>
      <x:c r="E264" s="88" t="n">
        <x:v>3</x:v>
      </x:c>
      <x:c r="F264" s="88" t="str">
        <x:v>NES MCT 20% sale</x:v>
      </x:c>
      <x:c r="G264" s="88" t="str">
        <x:v>NES single extractor</x:v>
      </x:c>
      <x:c r="H264" s="87" t="n">
        <x:f>'01 Base Costs'!$B$23</x:f>
        <x:v>2100</x:v>
      </x:c>
      <x:c r="I264" s="87" t="n">
        <x:f>'01 Base Costs'!$B$16*0.8</x:f>
        <x:v>388</x:v>
      </x:c>
      <x:c r="J264" s="87" t="n">
        <x:f>0</x:f>
        <x:v>0</x:v>
      </x:c>
      <x:c r="K264" s="87" t="n">
        <x:f>D264*(E264-1)*I264</x:f>
        <x:v>4656</x:v>
      </x:c>
      <x:c r="L264" s="87" t="n">
        <x:f>D264*(E264-1)*J264</x:f>
        <x:v>0</x:v>
      </x:c>
      <x:c r="M264" s="87" t="n">
        <x:f>0</x:f>
        <x:v>0</x:v>
      </x:c>
      <x:c r="N264" s="87" t="n">
        <x:f>H264+K264+M264</x:f>
        <x:v>6756</x:v>
      </x:c>
      <x:c r="O264" s="87" t="n">
        <x:f>N264*'01 Base Costs'!$B$7+L264</x:f>
        <x:v>32496360000</x:v>
      </x:c>
      <x:c r="P264" s="87" t="n">
        <x:f>D264*E264</x:f>
        <x:v>18</x:v>
      </x:c>
      <x:c r="Q264" s="87" t="n">
        <x:f>P264*'01 Base Costs'!$B$12</x:f>
        <x:v>34992000</x:v>
      </x:c>
      <x:c r="R264" s="87" t="n">
        <x:f>0</x:f>
        <x:v>0</x:v>
      </x:c>
      <x:c r="S264" s="87" t="n">
        <x:f>Q264+R264</x:f>
        <x:v>34992000</x:v>
      </x:c>
      <x:c r="T264" s="141" t="n">
        <x:f>S264/'01 Base Costs'!$B$14</x:f>
        <x:v>69.984</x:v>
      </x:c>
      <x:c r="U264" s="87" t="n">
        <x:f>INT(T264)</x:f>
        <x:v>69</x:v>
      </x:c>
      <x:c r="V264" s="87" t="n">
        <x:f>S264-U264*'01 Base Costs'!$B$14</x:f>
        <x:v>492000</x:v>
      </x:c>
      <x:c r="W264" s="120" t="n">
        <x:f>'01 Base Costs'!$B$17</x:f>
        <x:v>140</x:v>
      </x:c>
      <x:c r="X264" s="120" t="n">
        <x:f>0</x:f>
        <x:v>0</x:v>
      </x:c>
      <x:c r="Y264" s="87" t="n">
        <x:f>T264*(W264*'01 Base Costs'!$B$7+X264)</x:f>
        <x:v>47127225600</x:v>
      </x:c>
      <x:c r="Z264" s="87" t="n">
        <x:f>T264*'01 Base Costs'!$B$8</x:f>
        <x:v>52690953599.99999</x:v>
      </x:c>
      <x:c r="AA264" s="87" t="n">
        <x:f>Z264*'01 Base Costs'!$B$11</x:f>
        <x:v>2634547680</x:v>
      </x:c>
      <x:c r="AB264" s="87" t="n">
        <x:f>Z264-AA264</x:f>
        <x:v>50056405919.99999</x:v>
      </x:c>
      <x:c r="AC264" s="87" t="n">
        <x:f>O264+Y264</x:f>
        <x:v>79623585600</x:v>
      </x:c>
      <x:c r="AD264" s="87" t="n">
        <x:f>AB264-AC264</x:f>
        <x:v>-29567179680.000008</x:v>
      </x:c>
      <x:c r="AE264" s="87" t="n">
        <x:f>AD264/D264</x:f>
        <x:v>-4927863280.000001</x:v>
      </x:c>
      <x:c r="AF264" s="87" t="n">
        <x:f>AD264/P264</x:f>
        <x:v>-1642621093.3333337</x:v>
      </x:c>
      <x:c r="AG264" s="87" t="n">
        <x:f>IF(T264=0,0,AC264/T264/(1-'01 Base Costs'!$B$11))</x:f>
        <x:v>1197620893.798282</x:v>
      </x:c>
      <x:c r="AH264" s="88" t="str">
        <x:f>IF(AD264&gt;0,"PROFIT","LOSS")</x:f>
        <x:v>LOSS</x:v>
      </x:c>
      <x:c r="AI264" s="89" t="str">
        <x:v>Base 6M Omega. MCT sale 20% off. Base single extractor.</x:v>
      </x:c>
    </x:row>
    <x:row r="265">
      <x:c r="A265" s="86" t="n">
        <x:v>263</x:v>
      </x:c>
      <x:c r="B265" s="88" t="str">
        <x:v>Base</x:v>
      </x:c>
      <x:c r="C265" s="88" t="str">
        <x:v>6M Omega</x:v>
      </x:c>
      <x:c r="D265" s="88" t="n">
        <x:v>6</x:v>
      </x:c>
      <x:c r="E265" s="88" t="n">
        <x:v>3</x:v>
      </x:c>
      <x:c r="F265" s="88" t="str">
        <x:v>NES MCT 20% sale</x:v>
      </x:c>
      <x:c r="G265" s="88" t="str">
        <x:v>NES 5-pack extractor</x:v>
      </x:c>
      <x:c r="H265" s="87" t="n">
        <x:f>'01 Base Costs'!$B$23</x:f>
        <x:v>2100</x:v>
      </x:c>
      <x:c r="I265" s="87" t="n">
        <x:f>'01 Base Costs'!$B$16*0.8</x:f>
        <x:v>388</x:v>
      </x:c>
      <x:c r="J265" s="87" t="n">
        <x:f>0</x:f>
        <x:v>0</x:v>
      </x:c>
      <x:c r="K265" s="87" t="n">
        <x:f>D265*(E265-1)*I265</x:f>
        <x:v>4656</x:v>
      </x:c>
      <x:c r="L265" s="87" t="n">
        <x:f>D265*(E265-1)*J265</x:f>
        <x:v>0</x:v>
      </x:c>
      <x:c r="M265" s="87" t="n">
        <x:f>0</x:f>
        <x:v>0</x:v>
      </x:c>
      <x:c r="N265" s="87" t="n">
        <x:f>H265+K265+M265</x:f>
        <x:v>6756</x:v>
      </x:c>
      <x:c r="O265" s="87" t="n">
        <x:f>N265*'01 Base Costs'!$B$7+L265</x:f>
        <x:v>32496360000</x:v>
      </x:c>
      <x:c r="P265" s="87" t="n">
        <x:f>D265*E265</x:f>
        <x:v>18</x:v>
      </x:c>
      <x:c r="Q265" s="87" t="n">
        <x:f>P265*'01 Base Costs'!$B$12</x:f>
        <x:v>34992000</x:v>
      </x:c>
      <x:c r="R265" s="87" t="n">
        <x:f>0</x:f>
        <x:v>0</x:v>
      </x:c>
      <x:c r="S265" s="87" t="n">
        <x:f>Q265+R265</x:f>
        <x:v>34992000</x:v>
      </x:c>
      <x:c r="T265" s="141" t="n">
        <x:f>S265/'01 Base Costs'!$B$14</x:f>
        <x:v>69.984</x:v>
      </x:c>
      <x:c r="U265" s="87" t="n">
        <x:f>INT(T265)</x:f>
        <x:v>69</x:v>
      </x:c>
      <x:c r="V265" s="87" t="n">
        <x:f>S265-U265*'01 Base Costs'!$B$14</x:f>
        <x:v>492000</x:v>
      </x:c>
      <x:c r="W265" s="120" t="n">
        <x:f>'01 Base Costs'!$B$18/5</x:f>
        <x:v>126</x:v>
      </x:c>
      <x:c r="X265" s="120" t="n">
        <x:f>0</x:f>
        <x:v>0</x:v>
      </x:c>
      <x:c r="Y265" s="87" t="n">
        <x:f>T265*(W265*'01 Base Costs'!$B$7+X265)</x:f>
        <x:v>42414503040</x:v>
      </x:c>
      <x:c r="Z265" s="87" t="n">
        <x:f>T265*'01 Base Costs'!$B$8</x:f>
        <x:v>52690953599.99999</x:v>
      </x:c>
      <x:c r="AA265" s="87" t="n">
        <x:f>Z265*'01 Base Costs'!$B$11</x:f>
        <x:v>2634547680</x:v>
      </x:c>
      <x:c r="AB265" s="87" t="n">
        <x:f>Z265-AA265</x:f>
        <x:v>50056405919.99999</x:v>
      </x:c>
      <x:c r="AC265" s="87" t="n">
        <x:f>O265+Y265</x:f>
        <x:v>74910863040</x:v>
      </x:c>
      <x:c r="AD265" s="87" t="n">
        <x:f>AB265-AC265</x:f>
        <x:v>-24854457120.000008</x:v>
      </x:c>
      <x:c r="AE265" s="87" t="n">
        <x:f>AD265/D265</x:f>
        <x:v>-4142409520.0000014</x:v>
      </x:c>
      <x:c r="AF265" s="87" t="n">
        <x:f>AD265/P265</x:f>
        <x:v>-1380803173.3333337</x:v>
      </x:c>
      <x:c r="AG265" s="87" t="n">
        <x:f>IF(T265=0,0,AC265/T265/(1-'01 Base Costs'!$B$11))</x:f>
        <x:v>1126736683.271966</x:v>
      </x:c>
      <x:c r="AH265" s="88" t="str">
        <x:f>IF(AD265&gt;0,"PROFIT","LOSS")</x:f>
        <x:v>LOSS</x:v>
      </x:c>
      <x:c r="AI265" s="89" t="str">
        <x:v>Base 6M Omega. MCT sale 20% off. Base 5-pack average.</x:v>
      </x:c>
    </x:row>
    <x:row r="266">
      <x:c r="A266" s="86" t="n">
        <x:v>264</x:v>
      </x:c>
      <x:c r="B266" s="88" t="str">
        <x:v>Base</x:v>
      </x:c>
      <x:c r="C266" s="88" t="str">
        <x:v>6M Omega</x:v>
      </x:c>
      <x:c r="D266" s="88" t="n">
        <x:v>6</x:v>
      </x:c>
      <x:c r="E266" s="88" t="n">
        <x:v>3</x:v>
      </x:c>
      <x:c r="F266" s="88" t="str">
        <x:v>NES MCT 20% sale</x:v>
      </x:c>
      <x:c r="G266" s="88" t="str">
        <x:v>NES 10-pack extractor</x:v>
      </x:c>
      <x:c r="H266" s="87" t="n">
        <x:f>'01 Base Costs'!$B$23</x:f>
        <x:v>2100</x:v>
      </x:c>
      <x:c r="I266" s="87" t="n">
        <x:f>'01 Base Costs'!$B$16*0.8</x:f>
        <x:v>388</x:v>
      </x:c>
      <x:c r="J266" s="87" t="n">
        <x:f>0</x:f>
        <x:v>0</x:v>
      </x:c>
      <x:c r="K266" s="87" t="n">
        <x:f>D266*(E266-1)*I266</x:f>
        <x:v>4656</x:v>
      </x:c>
      <x:c r="L266" s="87" t="n">
        <x:f>D266*(E266-1)*J266</x:f>
        <x:v>0</x:v>
      </x:c>
      <x:c r="M266" s="87" t="n">
        <x:f>0</x:f>
        <x:v>0</x:v>
      </x:c>
      <x:c r="N266" s="87" t="n">
        <x:f>H266+K266+M266</x:f>
        <x:v>6756</x:v>
      </x:c>
      <x:c r="O266" s="87" t="n">
        <x:f>N266*'01 Base Costs'!$B$7+L266</x:f>
        <x:v>32496360000</x:v>
      </x:c>
      <x:c r="P266" s="87" t="n">
        <x:f>D266*E266</x:f>
        <x:v>18</x:v>
      </x:c>
      <x:c r="Q266" s="87" t="n">
        <x:f>P266*'01 Base Costs'!$B$12</x:f>
        <x:v>34992000</x:v>
      </x:c>
      <x:c r="R266" s="87" t="n">
        <x:f>0</x:f>
        <x:v>0</x:v>
      </x:c>
      <x:c r="S266" s="87" t="n">
        <x:f>Q266+R266</x:f>
        <x:v>34992000</x:v>
      </x:c>
      <x:c r="T266" s="141" t="n">
        <x:f>S266/'01 Base Costs'!$B$14</x:f>
        <x:v>69.984</x:v>
      </x:c>
      <x:c r="U266" s="87" t="n">
        <x:f>INT(T266)</x:f>
        <x:v>69</x:v>
      </x:c>
      <x:c r="V266" s="87" t="n">
        <x:f>S266-U266*'01 Base Costs'!$B$14</x:f>
        <x:v>492000</x:v>
      </x:c>
      <x:c r="W266" s="120" t="n">
        <x:f>'01 Base Costs'!$B$19/10</x:f>
        <x:v>119</x:v>
      </x:c>
      <x:c r="X266" s="120" t="n">
        <x:f>0</x:f>
        <x:v>0</x:v>
      </x:c>
      <x:c r="Y266" s="87" t="n">
        <x:f>T266*(W266*'01 Base Costs'!$B$7+X266)</x:f>
        <x:v>40058141760</x:v>
      </x:c>
      <x:c r="Z266" s="87" t="n">
        <x:f>T266*'01 Base Costs'!$B$8</x:f>
        <x:v>52690953599.99999</x:v>
      </x:c>
      <x:c r="AA266" s="87" t="n">
        <x:f>Z266*'01 Base Costs'!$B$11</x:f>
        <x:v>2634547680</x:v>
      </x:c>
      <x:c r="AB266" s="87" t="n">
        <x:f>Z266-AA266</x:f>
        <x:v>50056405919.99999</x:v>
      </x:c>
      <x:c r="AC266" s="87" t="n">
        <x:f>O266+Y266</x:f>
        <x:v>72554501760</x:v>
      </x:c>
      <x:c r="AD266" s="87" t="n">
        <x:f>AB266-AC266</x:f>
        <x:v>-22498095840.000008</x:v>
      </x:c>
      <x:c r="AE266" s="87" t="n">
        <x:f>AD266/D266</x:f>
        <x:v>-3749682640.0000014</x:v>
      </x:c>
      <x:c r="AF266" s="87" t="n">
        <x:f>AD266/P266</x:f>
        <x:v>-1249894213.3333337</x:v>
      </x:c>
      <x:c r="AG266" s="87" t="n">
        <x:f>IF(T266=0,0,AC266/T266/(1-'01 Base Costs'!$B$11))</x:f>
        <x:v>1091294578.0088081</x:v>
      </x:c>
      <x:c r="AH266" s="88" t="str">
        <x:f>IF(AD266&gt;0,"PROFIT","LOSS")</x:f>
        <x:v>LOSS</x:v>
      </x:c>
      <x:c r="AI266" s="89" t="str">
        <x:v>Base 6M Omega. MCT sale 20% off. Base 10-pack average.</x:v>
      </x:c>
    </x:row>
    <x:row r="267">
      <x:c r="A267" s="86" t="n">
        <x:v>265</x:v>
      </x:c>
      <x:c r="B267" s="88" t="str">
        <x:v>Base</x:v>
      </x:c>
      <x:c r="C267" s="88" t="str">
        <x:v>6M Omega</x:v>
      </x:c>
      <x:c r="D267" s="88" t="n">
        <x:v>6</x:v>
      </x:c>
      <x:c r="E267" s="88" t="n">
        <x:v>3</x:v>
      </x:c>
      <x:c r="F267" s="88" t="str">
        <x:v>NES MCT 20% sale</x:v>
      </x:c>
      <x:c r="G267" s="88" t="str">
        <x:v>NES 50-pack extractor</x:v>
      </x:c>
      <x:c r="H267" s="87" t="n">
        <x:f>'01 Base Costs'!$B$23</x:f>
        <x:v>2100</x:v>
      </x:c>
      <x:c r="I267" s="87" t="n">
        <x:f>'01 Base Costs'!$B$16*0.8</x:f>
        <x:v>388</x:v>
      </x:c>
      <x:c r="J267" s="87" t="n">
        <x:f>0</x:f>
        <x:v>0</x:v>
      </x:c>
      <x:c r="K267" s="87" t="n">
        <x:f>D267*(E267-1)*I267</x:f>
        <x:v>4656</x:v>
      </x:c>
      <x:c r="L267" s="87" t="n">
        <x:f>D267*(E267-1)*J267</x:f>
        <x:v>0</x:v>
      </x:c>
      <x:c r="M267" s="87" t="n">
        <x:f>0</x:f>
        <x:v>0</x:v>
      </x:c>
      <x:c r="N267" s="87" t="n">
        <x:f>H267+K267+M267</x:f>
        <x:v>6756</x:v>
      </x:c>
      <x:c r="O267" s="87" t="n">
        <x:f>N267*'01 Base Costs'!$B$7+L267</x:f>
        <x:v>32496360000</x:v>
      </x:c>
      <x:c r="P267" s="87" t="n">
        <x:f>D267*E267</x:f>
        <x:v>18</x:v>
      </x:c>
      <x:c r="Q267" s="87" t="n">
        <x:f>P267*'01 Base Costs'!$B$12</x:f>
        <x:v>34992000</x:v>
      </x:c>
      <x:c r="R267" s="87" t="n">
        <x:f>0</x:f>
        <x:v>0</x:v>
      </x:c>
      <x:c r="S267" s="87" t="n">
        <x:f>Q267+R267</x:f>
        <x:v>34992000</x:v>
      </x:c>
      <x:c r="T267" s="141" t="n">
        <x:f>S267/'01 Base Costs'!$B$14</x:f>
        <x:v>69.984</x:v>
      </x:c>
      <x:c r="U267" s="87" t="n">
        <x:f>INT(T267)</x:f>
        <x:v>69</x:v>
      </x:c>
      <x:c r="V267" s="87" t="n">
        <x:f>S267-U267*'01 Base Costs'!$B$14</x:f>
        <x:v>492000</x:v>
      </x:c>
      <x:c r="W267" s="120" t="n">
        <x:f>'01 Base Costs'!$B$20/50</x:f>
        <x:v>112</x:v>
      </x:c>
      <x:c r="X267" s="120" t="n">
        <x:f>0</x:f>
        <x:v>0</x:v>
      </x:c>
      <x:c r="Y267" s="87" t="n">
        <x:f>T267*(W267*'01 Base Costs'!$B$7+X267)</x:f>
        <x:v>37701780480</x:v>
      </x:c>
      <x:c r="Z267" s="87" t="n">
        <x:f>T267*'01 Base Costs'!$B$8</x:f>
        <x:v>52690953599.99999</x:v>
      </x:c>
      <x:c r="AA267" s="87" t="n">
        <x:f>Z267*'01 Base Costs'!$B$11</x:f>
        <x:v>2634547680</x:v>
      </x:c>
      <x:c r="AB267" s="87" t="n">
        <x:f>Z267-AA267</x:f>
        <x:v>50056405919.99999</x:v>
      </x:c>
      <x:c r="AC267" s="87" t="n">
        <x:f>O267+Y267</x:f>
        <x:v>70198140480</x:v>
      </x:c>
      <x:c r="AD267" s="87" t="n">
        <x:f>AB267-AC267</x:f>
        <x:v>-20141734560.000008</x:v>
      </x:c>
      <x:c r="AE267" s="87" t="n">
        <x:f>AD267/D267</x:f>
        <x:v>-3356955760.0000014</x:v>
      </x:c>
      <x:c r="AF267" s="87" t="n">
        <x:f>AD267/P267</x:f>
        <x:v>-1118985253.3333337</x:v>
      </x:c>
      <x:c r="AG267" s="87" t="n">
        <x:f>IF(T267=0,0,AC267/T267/(1-'01 Base Costs'!$B$11))</x:f>
        <x:v>1055852472.7456503</x:v>
      </x:c>
      <x:c r="AH267" s="88" t="str">
        <x:f>IF(AD267&gt;0,"PROFIT","LOSS")</x:f>
        <x:v>LOSS</x:v>
      </x:c>
      <x:c r="AI267" s="89" t="str">
        <x:v>Base 6M Omega. MCT sale 20% off. Base 50-pack average.</x:v>
      </x:c>
    </x:row>
    <x:row r="268">
      <x:c r="A268" s="86" t="n">
        <x:v>266</x:v>
      </x:c>
      <x:c r="B268" s="88" t="str">
        <x:v>Base</x:v>
      </x:c>
      <x:c r="C268" s="88" t="str">
        <x:v>6M Omega</x:v>
      </x:c>
      <x:c r="D268" s="88" t="n">
        <x:v>6</x:v>
      </x:c>
      <x:c r="E268" s="88" t="n">
        <x:v>3</x:v>
      </x:c>
      <x:c r="F268" s="88" t="str">
        <x:v>NES MCT 20% sale</x:v>
      </x:c>
      <x:c r="G268" s="88" t="str">
        <x:v>NES 3-for-2 extractor sale</x:v>
      </x:c>
      <x:c r="H268" s="87" t="n">
        <x:f>'01 Base Costs'!$B$23</x:f>
        <x:v>2100</x:v>
      </x:c>
      <x:c r="I268" s="87" t="n">
        <x:f>'01 Base Costs'!$B$16*0.8</x:f>
        <x:v>388</x:v>
      </x:c>
      <x:c r="J268" s="87" t="n">
        <x:f>0</x:f>
        <x:v>0</x:v>
      </x:c>
      <x:c r="K268" s="87" t="n">
        <x:f>D268*(E268-1)*I268</x:f>
        <x:v>4656</x:v>
      </x:c>
      <x:c r="L268" s="87" t="n">
        <x:f>D268*(E268-1)*J268</x:f>
        <x:v>0</x:v>
      </x:c>
      <x:c r="M268" s="87" t="n">
        <x:f>0</x:f>
        <x:v>0</x:v>
      </x:c>
      <x:c r="N268" s="87" t="n">
        <x:f>H268+K268+M268</x:f>
        <x:v>6756</x:v>
      </x:c>
      <x:c r="O268" s="87" t="n">
        <x:f>N268*'01 Base Costs'!$B$7+L268</x:f>
        <x:v>32496360000</x:v>
      </x:c>
      <x:c r="P268" s="87" t="n">
        <x:f>D268*E268</x:f>
        <x:v>18</x:v>
      </x:c>
      <x:c r="Q268" s="87" t="n">
        <x:f>P268*'01 Base Costs'!$B$12</x:f>
        <x:v>34992000</x:v>
      </x:c>
      <x:c r="R268" s="87" t="n">
        <x:f>0</x:f>
        <x:v>0</x:v>
      </x:c>
      <x:c r="S268" s="87" t="n">
        <x:f>Q268+R268</x:f>
        <x:v>34992000</x:v>
      </x:c>
      <x:c r="T268" s="141" t="n">
        <x:f>S268/'01 Base Costs'!$B$14</x:f>
        <x:v>69.984</x:v>
      </x:c>
      <x:c r="U268" s="87" t="n">
        <x:f>INT(T268)</x:f>
        <x:v>69</x:v>
      </x:c>
      <x:c r="V268" s="87" t="n">
        <x:f>S268-U268*'01 Base Costs'!$B$14</x:f>
        <x:v>492000</x:v>
      </x:c>
      <x:c r="W268" s="120" t="n">
        <x:f>'01 Base Costs'!$B$17*2/3</x:f>
        <x:v>93.33333333333333</x:v>
      </x:c>
      <x:c r="X268" s="120" t="n">
        <x:f>0</x:f>
        <x:v>0</x:v>
      </x:c>
      <x:c r="Y268" s="87" t="n">
        <x:f>T268*(W268*'01 Base Costs'!$B$7+X268)</x:f>
        <x:v>31418150399.999996</x:v>
      </x:c>
      <x:c r="Z268" s="87" t="n">
        <x:f>T268*'01 Base Costs'!$B$8</x:f>
        <x:v>52690953599.99999</x:v>
      </x:c>
      <x:c r="AA268" s="87" t="n">
        <x:f>Z268*'01 Base Costs'!$B$11</x:f>
        <x:v>2634547680</x:v>
      </x:c>
      <x:c r="AB268" s="87" t="n">
        <x:f>Z268-AA268</x:f>
        <x:v>50056405919.99999</x:v>
      </x:c>
      <x:c r="AC268" s="87" t="n">
        <x:f>O268+Y268</x:f>
        <x:v>63914510400</x:v>
      </x:c>
      <x:c r="AD268" s="87" t="n">
        <x:f>AB268-AC268</x:f>
        <x:v>-13858104480.000008</x:v>
      </x:c>
      <x:c r="AE268" s="87" t="n">
        <x:f>AD268/D268</x:f>
        <x:v>-2309684080.0000014</x:v>
      </x:c>
      <x:c r="AF268" s="87" t="n">
        <x:f>AD268/P268</x:f>
        <x:v>-769894693.3333337</x:v>
      </x:c>
      <x:c r="AG268" s="87" t="n">
        <x:f>IF(T268=0,0,AC268/T268/(1-'01 Base Costs'!$B$11))</x:f>
        <x:v>961340192.0438958</x:v>
      </x:c>
      <x:c r="AH268" s="88" t="str">
        <x:f>IF(AD268&gt;0,"PROFIT","LOSS")</x:f>
        <x:v>LOSS</x:v>
      </x:c>
      <x:c r="AI268" s="89" t="str">
        <x:v>Base 6M Omega. MCT sale 20% off. Extractor 3-for-2 sale.</x:v>
      </x:c>
    </x:row>
    <x:row r="269">
      <x:c r="A269" s="86" t="n">
        <x:v>267</x:v>
      </x:c>
      <x:c r="B269" s="88" t="str">
        <x:v>Base</x:v>
      </x:c>
      <x:c r="C269" s="88" t="str">
        <x:v>6M Omega</x:v>
      </x:c>
      <x:c r="D269" s="88" t="n">
        <x:v>6</x:v>
      </x:c>
      <x:c r="E269" s="88" t="n">
        <x:v>3</x:v>
      </x:c>
      <x:c r="F269" s="88" t="str">
        <x:v>NES MCT 20% sale</x:v>
      </x:c>
      <x:c r="G269" s="88" t="str">
        <x:v>NES 2-for-1 extractor sale</x:v>
      </x:c>
      <x:c r="H269" s="87" t="n">
        <x:f>'01 Base Costs'!$B$23</x:f>
        <x:v>2100</x:v>
      </x:c>
      <x:c r="I269" s="87" t="n">
        <x:f>'01 Base Costs'!$B$16*0.8</x:f>
        <x:v>388</x:v>
      </x:c>
      <x:c r="J269" s="87" t="n">
        <x:f>0</x:f>
        <x:v>0</x:v>
      </x:c>
      <x:c r="K269" s="87" t="n">
        <x:f>D269*(E269-1)*I269</x:f>
        <x:v>4656</x:v>
      </x:c>
      <x:c r="L269" s="87" t="n">
        <x:f>D269*(E269-1)*J269</x:f>
        <x:v>0</x:v>
      </x:c>
      <x:c r="M269" s="87" t="n">
        <x:f>0</x:f>
        <x:v>0</x:v>
      </x:c>
      <x:c r="N269" s="87" t="n">
        <x:f>H269+K269+M269</x:f>
        <x:v>6756</x:v>
      </x:c>
      <x:c r="O269" s="87" t="n">
        <x:f>N269*'01 Base Costs'!$B$7+L269</x:f>
        <x:v>32496360000</x:v>
      </x:c>
      <x:c r="P269" s="87" t="n">
        <x:f>D269*E269</x:f>
        <x:v>18</x:v>
      </x:c>
      <x:c r="Q269" s="87" t="n">
        <x:f>P269*'01 Base Costs'!$B$12</x:f>
        <x:v>34992000</x:v>
      </x:c>
      <x:c r="R269" s="87" t="n">
        <x:f>0</x:f>
        <x:v>0</x:v>
      </x:c>
      <x:c r="S269" s="87" t="n">
        <x:f>Q269+R269</x:f>
        <x:v>34992000</x:v>
      </x:c>
      <x:c r="T269" s="141" t="n">
        <x:f>S269/'01 Base Costs'!$B$14</x:f>
        <x:v>69.984</x:v>
      </x:c>
      <x:c r="U269" s="87" t="n">
        <x:f>INT(T269)</x:f>
        <x:v>69</x:v>
      </x:c>
      <x:c r="V269" s="87" t="n">
        <x:f>S269-U269*'01 Base Costs'!$B$14</x:f>
        <x:v>492000</x:v>
      </x:c>
      <x:c r="W269" s="120" t="n">
        <x:f>'01 Base Costs'!$B$17/2</x:f>
        <x:v>70</x:v>
      </x:c>
      <x:c r="X269" s="120" t="n">
        <x:f>0</x:f>
        <x:v>0</x:v>
      </x:c>
      <x:c r="Y269" s="87" t="n">
        <x:f>T269*(W269*'01 Base Costs'!$B$7+X269)</x:f>
        <x:v>23563612800</x:v>
      </x:c>
      <x:c r="Z269" s="87" t="n">
        <x:f>T269*'01 Base Costs'!$B$8</x:f>
        <x:v>52690953599.99999</x:v>
      </x:c>
      <x:c r="AA269" s="87" t="n">
        <x:f>Z269*'01 Base Costs'!$B$11</x:f>
        <x:v>2634547680</x:v>
      </x:c>
      <x:c r="AB269" s="87" t="n">
        <x:f>Z269-AA269</x:f>
        <x:v>50056405919.99999</x:v>
      </x:c>
      <x:c r="AC269" s="87" t="n">
        <x:f>O269+Y269</x:f>
        <x:v>56059972800</x:v>
      </x:c>
      <x:c r="AD269" s="87" t="n">
        <x:f>AB269-AC269</x:f>
        <x:v>-6003566880.000008</x:v>
      </x:c>
      <x:c r="AE269" s="87" t="n">
        <x:f>AD269/D269</x:f>
        <x:v>-1000594480.0000013</x:v>
      </x:c>
      <x:c r="AF269" s="87" t="n">
        <x:f>AD269/P269</x:f>
        <x:v>-333531493.33333373</x:v>
      </x:c>
      <x:c r="AG269" s="87" t="n">
        <x:f>IF(T269=0,0,AC269/T269/(1-'01 Base Costs'!$B$11))</x:f>
        <x:v>843199841.1667029</x:v>
      </x:c>
      <x:c r="AH269" s="88" t="str">
        <x:f>IF(AD269&gt;0,"PROFIT","LOSS")</x:f>
        <x:v>LOSS</x:v>
      </x:c>
      <x:c r="AI269" s="89" t="str">
        <x:v>Base 6M Omega. MCT sale 20% off. Extractor 2-for-1 sale.</x:v>
      </x:c>
    </x:row>
    <x:row r="270">
      <x:c r="A270" s="86" t="n">
        <x:v>268</x:v>
      </x:c>
      <x:c r="B270" s="88" t="str">
        <x:v>Base</x:v>
      </x:c>
      <x:c r="C270" s="88" t="str">
        <x:v>6M Omega</x:v>
      </x:c>
      <x:c r="D270" s="88" t="n">
        <x:v>6</x:v>
      </x:c>
      <x:c r="E270" s="88" t="n">
        <x:v>3</x:v>
      </x:c>
      <x:c r="F270" s="88" t="str">
        <x:v>NES MCT 20% sale</x:v>
      </x:c>
      <x:c r="G270" s="88" t="str">
        <x:v>NES 10-pack extractor 20% sale</x:v>
      </x:c>
      <x:c r="H270" s="87" t="n">
        <x:f>'01 Base Costs'!$B$23</x:f>
        <x:v>2100</x:v>
      </x:c>
      <x:c r="I270" s="87" t="n">
        <x:f>'01 Base Costs'!$B$16*0.8</x:f>
        <x:v>388</x:v>
      </x:c>
      <x:c r="J270" s="87" t="n">
        <x:f>0</x:f>
        <x:v>0</x:v>
      </x:c>
      <x:c r="K270" s="87" t="n">
        <x:f>D270*(E270-1)*I270</x:f>
        <x:v>4656</x:v>
      </x:c>
      <x:c r="L270" s="87" t="n">
        <x:f>D270*(E270-1)*J270</x:f>
        <x:v>0</x:v>
      </x:c>
      <x:c r="M270" s="87" t="n">
        <x:f>0</x:f>
        <x:v>0</x:v>
      </x:c>
      <x:c r="N270" s="87" t="n">
        <x:f>H270+K270+M270</x:f>
        <x:v>6756</x:v>
      </x:c>
      <x:c r="O270" s="87" t="n">
        <x:f>N270*'01 Base Costs'!$B$7+L270</x:f>
        <x:v>32496360000</x:v>
      </x:c>
      <x:c r="P270" s="87" t="n">
        <x:f>D270*E270</x:f>
        <x:v>18</x:v>
      </x:c>
      <x:c r="Q270" s="87" t="n">
        <x:f>P270*'01 Base Costs'!$B$12</x:f>
        <x:v>34992000</x:v>
      </x:c>
      <x:c r="R270" s="87" t="n">
        <x:f>0</x:f>
        <x:v>0</x:v>
      </x:c>
      <x:c r="S270" s="87" t="n">
        <x:f>Q270+R270</x:f>
        <x:v>34992000</x:v>
      </x:c>
      <x:c r="T270" s="141" t="n">
        <x:f>S270/'01 Base Costs'!$B$14</x:f>
        <x:v>69.984</x:v>
      </x:c>
      <x:c r="U270" s="87" t="n">
        <x:f>INT(T270)</x:f>
        <x:v>69</x:v>
      </x:c>
      <x:c r="V270" s="87" t="n">
        <x:f>S270-U270*'01 Base Costs'!$B$14</x:f>
        <x:v>492000</x:v>
      </x:c>
      <x:c r="W270" s="120" t="n">
        <x:f>'01 Base Costs'!$B$19*0.8/10</x:f>
        <x:v>95.2</x:v>
      </x:c>
      <x:c r="X270" s="120" t="n">
        <x:f>0</x:f>
        <x:v>0</x:v>
      </x:c>
      <x:c r="Y270" s="87" t="n">
        <x:f>T270*(W270*'01 Base Costs'!$B$7+X270)</x:f>
        <x:v>32046513407.999996</x:v>
      </x:c>
      <x:c r="Z270" s="87" t="n">
        <x:f>T270*'01 Base Costs'!$B$8</x:f>
        <x:v>52690953599.99999</x:v>
      </x:c>
      <x:c r="AA270" s="87" t="n">
        <x:f>Z270*'01 Base Costs'!$B$11</x:f>
        <x:v>2634547680</x:v>
      </x:c>
      <x:c r="AB270" s="87" t="n">
        <x:f>Z270-AA270</x:f>
        <x:v>50056405919.99999</x:v>
      </x:c>
      <x:c r="AC270" s="87" t="n">
        <x:f>O270+Y270</x:f>
        <x:v>64542873408</x:v>
      </x:c>
      <x:c r="AD270" s="87" t="n">
        <x:f>AB270-AC270</x:f>
        <x:v>-14486467488.000008</x:v>
      </x:c>
      <x:c r="AE270" s="87" t="n">
        <x:f>AD270/D270</x:f>
        <x:v>-2414411248.0000014</x:v>
      </x:c>
      <x:c r="AF270" s="87" t="n">
        <x:f>AD270/P270</x:f>
        <x:v>-804803749.3333337</x:v>
      </x:c>
      <x:c r="AG270" s="87" t="n">
        <x:f>IF(T270=0,0,AC270/T270/(1-'01 Base Costs'!$B$11))</x:f>
        <x:v>970791420.1140712</x:v>
      </x:c>
      <x:c r="AH270" s="88" t="str">
        <x:f>IF(AD270&gt;0,"PROFIT","LOSS")</x:f>
        <x:v>LOSS</x:v>
      </x:c>
      <x:c r="AI270" s="89" t="str">
        <x:v>Base 6M Omega. MCT sale 20% off. 10-pack at 20% off.</x:v>
      </x:c>
    </x:row>
    <x:row r="271">
      <x:c r="A271" s="86" t="n">
        <x:v>269</x:v>
      </x:c>
      <x:c r="B271" s="88" t="str">
        <x:v>Base</x:v>
      </x:c>
      <x:c r="C271" s="88" t="str">
        <x:v>6M Omega</x:v>
      </x:c>
      <x:c r="D271" s="88" t="n">
        <x:v>6</x:v>
      </x:c>
      <x:c r="E271" s="88" t="n">
        <x:v>3</x:v>
      </x:c>
      <x:c r="F271" s="88" t="str">
        <x:v>NES MCT 20% sale</x:v>
      </x:c>
      <x:c r="G271" s="88" t="str">
        <x:v>NES 50-pack extractor 20% sale</x:v>
      </x:c>
      <x:c r="H271" s="87" t="n">
        <x:f>'01 Base Costs'!$B$23</x:f>
        <x:v>2100</x:v>
      </x:c>
      <x:c r="I271" s="87" t="n">
        <x:f>'01 Base Costs'!$B$16*0.8</x:f>
        <x:v>388</x:v>
      </x:c>
      <x:c r="J271" s="87" t="n">
        <x:f>0</x:f>
        <x:v>0</x:v>
      </x:c>
      <x:c r="K271" s="87" t="n">
        <x:f>D271*(E271-1)*I271</x:f>
        <x:v>4656</x:v>
      </x:c>
      <x:c r="L271" s="87" t="n">
        <x:f>D271*(E271-1)*J271</x:f>
        <x:v>0</x:v>
      </x:c>
      <x:c r="M271" s="87" t="n">
        <x:f>0</x:f>
        <x:v>0</x:v>
      </x:c>
      <x:c r="N271" s="87" t="n">
        <x:f>H271+K271+M271</x:f>
        <x:v>6756</x:v>
      </x:c>
      <x:c r="O271" s="87" t="n">
        <x:f>N271*'01 Base Costs'!$B$7+L271</x:f>
        <x:v>32496360000</x:v>
      </x:c>
      <x:c r="P271" s="87" t="n">
        <x:f>D271*E271</x:f>
        <x:v>18</x:v>
      </x:c>
      <x:c r="Q271" s="87" t="n">
        <x:f>P271*'01 Base Costs'!$B$12</x:f>
        <x:v>34992000</x:v>
      </x:c>
      <x:c r="R271" s="87" t="n">
        <x:f>0</x:f>
        <x:v>0</x:v>
      </x:c>
      <x:c r="S271" s="87" t="n">
        <x:f>Q271+R271</x:f>
        <x:v>34992000</x:v>
      </x:c>
      <x:c r="T271" s="141" t="n">
        <x:f>S271/'01 Base Costs'!$B$14</x:f>
        <x:v>69.984</x:v>
      </x:c>
      <x:c r="U271" s="87" t="n">
        <x:f>INT(T271)</x:f>
        <x:v>69</x:v>
      </x:c>
      <x:c r="V271" s="87" t="n">
        <x:f>S271-U271*'01 Base Costs'!$B$14</x:f>
        <x:v>492000</x:v>
      </x:c>
      <x:c r="W271" s="120" t="n">
        <x:f>'01 Base Costs'!$B$20*0.8/50</x:f>
        <x:v>89.6</x:v>
      </x:c>
      <x:c r="X271" s="120" t="n">
        <x:f>0</x:f>
        <x:v>0</x:v>
      </x:c>
      <x:c r="Y271" s="87" t="n">
        <x:f>T271*(W271*'01 Base Costs'!$B$7+X271)</x:f>
        <x:v>30161424383.999996</x:v>
      </x:c>
      <x:c r="Z271" s="87" t="n">
        <x:f>T271*'01 Base Costs'!$B$8</x:f>
        <x:v>52690953599.99999</x:v>
      </x:c>
      <x:c r="AA271" s="87" t="n">
        <x:f>Z271*'01 Base Costs'!$B$11</x:f>
        <x:v>2634547680</x:v>
      </x:c>
      <x:c r="AB271" s="87" t="n">
        <x:f>Z271-AA271</x:f>
        <x:v>50056405919.99999</x:v>
      </x:c>
      <x:c r="AC271" s="87" t="n">
        <x:f>O271+Y271</x:f>
        <x:v>62657784384</x:v>
      </x:c>
      <x:c r="AD271" s="87" t="n">
        <x:f>AB271-AC271</x:f>
        <x:v>-12601378464.000008</x:v>
      </x:c>
      <x:c r="AE271" s="87" t="n">
        <x:f>AD271/D271</x:f>
        <x:v>-2100229744.0000012</x:v>
      </x:c>
      <x:c r="AF271" s="87" t="n">
        <x:f>AD271/P271</x:f>
        <x:v>-700076581.3333337</x:v>
      </x:c>
      <x:c r="AG271" s="87" t="n">
        <x:f>IF(T271=0,0,AC271/T271/(1-'01 Base Costs'!$B$11))</x:f>
        <x:v>942437735.903545</x:v>
      </x:c>
      <x:c r="AH271" s="88" t="str">
        <x:f>IF(AD271&gt;0,"PROFIT","LOSS")</x:f>
        <x:v>LOSS</x:v>
      </x:c>
      <x:c r="AI271" s="89" t="str">
        <x:v>Base 6M Omega. MCT sale 20% off. 50-pack at 20% off.</x:v>
      </x:c>
    </x:row>
    <x:row r="272">
      <x:c r="A272" s="86" t="n">
        <x:v>270</x:v>
      </x:c>
      <x:c r="B272" s="88" t="str">
        <x:v>Base</x:v>
      </x:c>
      <x:c r="C272" s="88" t="str">
        <x:v>6M Omega</x:v>
      </x:c>
      <x:c r="D272" s="88" t="n">
        <x:v>6</x:v>
      </x:c>
      <x:c r="E272" s="88" t="n">
        <x:v>3</x:v>
      </x:c>
      <x:c r="F272" s="88" t="str">
        <x:v>NES MCT 20% sale</x:v>
      </x:c>
      <x:c r="G272" s="88" t="str">
        <x:v>Market Skill Extractor</x:v>
      </x:c>
      <x:c r="H272" s="87" t="n">
        <x:f>'01 Base Costs'!$B$23</x:f>
        <x:v>2100</x:v>
      </x:c>
      <x:c r="I272" s="87" t="n">
        <x:f>'01 Base Costs'!$B$16*0.8</x:f>
        <x:v>388</x:v>
      </x:c>
      <x:c r="J272" s="87" t="n">
        <x:f>0</x:f>
        <x:v>0</x:v>
      </x:c>
      <x:c r="K272" s="87" t="n">
        <x:f>D272*(E272-1)*I272</x:f>
        <x:v>4656</x:v>
      </x:c>
      <x:c r="L272" s="87" t="n">
        <x:f>D272*(E272-1)*J272</x:f>
        <x:v>0</x:v>
      </x:c>
      <x:c r="M272" s="87" t="n">
        <x:f>0</x:f>
        <x:v>0</x:v>
      </x:c>
      <x:c r="N272" s="87" t="n">
        <x:f>H272+K272+M272</x:f>
        <x:v>6756</x:v>
      </x:c>
      <x:c r="O272" s="87" t="n">
        <x:f>N272*'01 Base Costs'!$B$7+L272</x:f>
        <x:v>32496360000</x:v>
      </x:c>
      <x:c r="P272" s="87" t="n">
        <x:f>D272*E272</x:f>
        <x:v>18</x:v>
      </x:c>
      <x:c r="Q272" s="87" t="n">
        <x:f>P272*'01 Base Costs'!$B$12</x:f>
        <x:v>34992000</x:v>
      </x:c>
      <x:c r="R272" s="87" t="n">
        <x:f>0</x:f>
        <x:v>0</x:v>
      </x:c>
      <x:c r="S272" s="87" t="n">
        <x:f>Q272+R272</x:f>
        <x:v>34992000</x:v>
      </x:c>
      <x:c r="T272" s="141" t="n">
        <x:f>S272/'01 Base Costs'!$B$14</x:f>
        <x:v>69.984</x:v>
      </x:c>
      <x:c r="U272" s="87" t="n">
        <x:f>INT(T272)</x:f>
        <x:v>69</x:v>
      </x:c>
      <x:c r="V272" s="87" t="n">
        <x:f>S272-U272*'01 Base Costs'!$B$14</x:f>
        <x:v>492000</x:v>
      </x:c>
      <x:c r="W272" s="120" t="n">
        <x:f>0</x:f>
        <x:v>0</x:v>
      </x:c>
      <x:c r="X272" s="120" t="n">
        <x:f>'01 Base Costs'!$B$9</x:f>
        <x:v>463500000</x:v>
      </x:c>
      <x:c r="Y272" s="87" t="n">
        <x:f>T272*(W272*'01 Base Costs'!$B$7+X272)</x:f>
        <x:v>32437583999.999996</x:v>
      </x:c>
      <x:c r="Z272" s="87" t="n">
        <x:f>T272*'01 Base Costs'!$B$8</x:f>
        <x:v>52690953599.99999</x:v>
      </x:c>
      <x:c r="AA272" s="87" t="n">
        <x:f>Z272*'01 Base Costs'!$B$11</x:f>
        <x:v>2634547680</x:v>
      </x:c>
      <x:c r="AB272" s="87" t="n">
        <x:f>Z272-AA272</x:f>
        <x:v>50056405919.99999</x:v>
      </x:c>
      <x:c r="AC272" s="87" t="n">
        <x:f>O272+Y272</x:f>
        <x:v>64933944000</x:v>
      </x:c>
      <x:c r="AD272" s="87" t="n">
        <x:f>AB272-AC272</x:f>
        <x:v>-14877538080.000008</x:v>
      </x:c>
      <x:c r="AE272" s="87" t="n">
        <x:f>AD272/D272</x:f>
        <x:v>-2479589680.0000014</x:v>
      </x:c>
      <x:c r="AF272" s="87" t="n">
        <x:f>AD272/P272</x:f>
        <x:v>-826529893.3333337</x:v>
      </x:c>
      <x:c r="AG272" s="87" t="n">
        <x:f>IF(T272=0,0,AC272/T272/(1-'01 Base Costs'!$B$11))</x:f>
        <x:v>976673525.3772292</x:v>
      </x:c>
      <x:c r="AH272" s="88" t="str">
        <x:f>IF(AD272&gt;0,"PROFIT","LOSS")</x:f>
        <x:v>LOSS</x:v>
      </x:c>
      <x:c r="AI272" s="89" t="str">
        <x:v>Base 6M Omega. MCT sale 20% off. Extractor bought on market with ISK.</x:v>
      </x:c>
    </x:row>
    <x:row r="273">
      <x:c r="A273" s="86" t="n">
        <x:v>271</x:v>
      </x:c>
      <x:c r="B273" s="88" t="str">
        <x:v>Base</x:v>
      </x:c>
      <x:c r="C273" s="88" t="str">
        <x:v>6M Omega</x:v>
      </x:c>
      <x:c r="D273" s="88" t="n">
        <x:v>6</x:v>
      </x:c>
      <x:c r="E273" s="88" t="n">
        <x:v>3</x:v>
      </x:c>
      <x:c r="F273" s="88" t="str">
        <x:v>NES MCT 30% sale</x:v>
      </x:c>
      <x:c r="G273" s="88" t="str">
        <x:v>NES single extractor</x:v>
      </x:c>
      <x:c r="H273" s="87" t="n">
        <x:f>'01 Base Costs'!$B$23</x:f>
        <x:v>2100</x:v>
      </x:c>
      <x:c r="I273" s="87" t="n">
        <x:f>'01 Base Costs'!$B$16*0.7</x:f>
        <x:v>339.5</x:v>
      </x:c>
      <x:c r="J273" s="87" t="n">
        <x:f>0</x:f>
        <x:v>0</x:v>
      </x:c>
      <x:c r="K273" s="87" t="n">
        <x:f>D273*(E273-1)*I273</x:f>
        <x:v>4074</x:v>
      </x:c>
      <x:c r="L273" s="87" t="n">
        <x:f>D273*(E273-1)*J273</x:f>
        <x:v>0</x:v>
      </x:c>
      <x:c r="M273" s="87" t="n">
        <x:f>0</x:f>
        <x:v>0</x:v>
      </x:c>
      <x:c r="N273" s="87" t="n">
        <x:f>H273+K273+M273</x:f>
        <x:v>6174</x:v>
      </x:c>
      <x:c r="O273" s="87" t="n">
        <x:f>N273*'01 Base Costs'!$B$7+L273</x:f>
        <x:v>29696940000</x:v>
      </x:c>
      <x:c r="P273" s="87" t="n">
        <x:f>D273*E273</x:f>
        <x:v>18</x:v>
      </x:c>
      <x:c r="Q273" s="87" t="n">
        <x:f>P273*'01 Base Costs'!$B$12</x:f>
        <x:v>34992000</x:v>
      </x:c>
      <x:c r="R273" s="87" t="n">
        <x:f>0</x:f>
        <x:v>0</x:v>
      </x:c>
      <x:c r="S273" s="87" t="n">
        <x:f>Q273+R273</x:f>
        <x:v>34992000</x:v>
      </x:c>
      <x:c r="T273" s="141" t="n">
        <x:f>S273/'01 Base Costs'!$B$14</x:f>
        <x:v>69.984</x:v>
      </x:c>
      <x:c r="U273" s="87" t="n">
        <x:f>INT(T273)</x:f>
        <x:v>69</x:v>
      </x:c>
      <x:c r="V273" s="87" t="n">
        <x:f>S273-U273*'01 Base Costs'!$B$14</x:f>
        <x:v>492000</x:v>
      </x:c>
      <x:c r="W273" s="120" t="n">
        <x:f>'01 Base Costs'!$B$17</x:f>
        <x:v>140</x:v>
      </x:c>
      <x:c r="X273" s="120" t="n">
        <x:f>0</x:f>
        <x:v>0</x:v>
      </x:c>
      <x:c r="Y273" s="87" t="n">
        <x:f>T273*(W273*'01 Base Costs'!$B$7+X273)</x:f>
        <x:v>47127225600</x:v>
      </x:c>
      <x:c r="Z273" s="87" t="n">
        <x:f>T273*'01 Base Costs'!$B$8</x:f>
        <x:v>52690953599.99999</x:v>
      </x:c>
      <x:c r="AA273" s="87" t="n">
        <x:f>Z273*'01 Base Costs'!$B$11</x:f>
        <x:v>2634547680</x:v>
      </x:c>
      <x:c r="AB273" s="87" t="n">
        <x:f>Z273-AA273</x:f>
        <x:v>50056405919.99999</x:v>
      </x:c>
      <x:c r="AC273" s="87" t="n">
        <x:f>O273+Y273</x:f>
        <x:v>76824165600</x:v>
      </x:c>
      <x:c r="AD273" s="87" t="n">
        <x:f>AB273-AC273</x:f>
        <x:v>-26767759680.000008</x:v>
      </x:c>
      <x:c r="AE273" s="87" t="n">
        <x:f>AD273/D273</x:f>
        <x:v>-4461293280.000001</x:v>
      </x:c>
      <x:c r="AF273" s="87" t="n">
        <x:f>AD273/P273</x:f>
        <x:v>-1487097760.0000005</x:v>
      </x:c>
      <x:c r="AG273" s="87" t="n">
        <x:f>IF(T273=0,0,AC273/T273/(1-'01 Base Costs'!$B$11))</x:f>
        <x:v>1155514728.178471</x:v>
      </x:c>
      <x:c r="AH273" s="88" t="str">
        <x:f>IF(AD273&gt;0,"PROFIT","LOSS")</x:f>
        <x:v>LOSS</x:v>
      </x:c>
      <x:c r="AI273" s="89" t="str">
        <x:v>Base 6M Omega. MCT sale 30% off. Base single extractor.</x:v>
      </x:c>
    </x:row>
    <x:row r="274">
      <x:c r="A274" s="86" t="n">
        <x:v>272</x:v>
      </x:c>
      <x:c r="B274" s="88" t="str">
        <x:v>Base</x:v>
      </x:c>
      <x:c r="C274" s="88" t="str">
        <x:v>6M Omega</x:v>
      </x:c>
      <x:c r="D274" s="88" t="n">
        <x:v>6</x:v>
      </x:c>
      <x:c r="E274" s="88" t="n">
        <x:v>3</x:v>
      </x:c>
      <x:c r="F274" s="88" t="str">
        <x:v>NES MCT 30% sale</x:v>
      </x:c>
      <x:c r="G274" s="88" t="str">
        <x:v>NES 5-pack extractor</x:v>
      </x:c>
      <x:c r="H274" s="87" t="n">
        <x:f>'01 Base Costs'!$B$23</x:f>
        <x:v>2100</x:v>
      </x:c>
      <x:c r="I274" s="87" t="n">
        <x:f>'01 Base Costs'!$B$16*0.7</x:f>
        <x:v>339.5</x:v>
      </x:c>
      <x:c r="J274" s="87" t="n">
        <x:f>0</x:f>
        <x:v>0</x:v>
      </x:c>
      <x:c r="K274" s="87" t="n">
        <x:f>D274*(E274-1)*I274</x:f>
        <x:v>4074</x:v>
      </x:c>
      <x:c r="L274" s="87" t="n">
        <x:f>D274*(E274-1)*J274</x:f>
        <x:v>0</x:v>
      </x:c>
      <x:c r="M274" s="87" t="n">
        <x:f>0</x:f>
        <x:v>0</x:v>
      </x:c>
      <x:c r="N274" s="87" t="n">
        <x:f>H274+K274+M274</x:f>
        <x:v>6174</x:v>
      </x:c>
      <x:c r="O274" s="87" t="n">
        <x:f>N274*'01 Base Costs'!$B$7+L274</x:f>
        <x:v>29696940000</x:v>
      </x:c>
      <x:c r="P274" s="87" t="n">
        <x:f>D274*E274</x:f>
        <x:v>18</x:v>
      </x:c>
      <x:c r="Q274" s="87" t="n">
        <x:f>P274*'01 Base Costs'!$B$12</x:f>
        <x:v>34992000</x:v>
      </x:c>
      <x:c r="R274" s="87" t="n">
        <x:f>0</x:f>
        <x:v>0</x:v>
      </x:c>
      <x:c r="S274" s="87" t="n">
        <x:f>Q274+R274</x:f>
        <x:v>34992000</x:v>
      </x:c>
      <x:c r="T274" s="141" t="n">
        <x:f>S274/'01 Base Costs'!$B$14</x:f>
        <x:v>69.984</x:v>
      </x:c>
      <x:c r="U274" s="87" t="n">
        <x:f>INT(T274)</x:f>
        <x:v>69</x:v>
      </x:c>
      <x:c r="V274" s="87" t="n">
        <x:f>S274-U274*'01 Base Costs'!$B$14</x:f>
        <x:v>492000</x:v>
      </x:c>
      <x:c r="W274" s="120" t="n">
        <x:f>'01 Base Costs'!$B$18/5</x:f>
        <x:v>126</x:v>
      </x:c>
      <x:c r="X274" s="120" t="n">
        <x:f>0</x:f>
        <x:v>0</x:v>
      </x:c>
      <x:c r="Y274" s="87" t="n">
        <x:f>T274*(W274*'01 Base Costs'!$B$7+X274)</x:f>
        <x:v>42414503040</x:v>
      </x:c>
      <x:c r="Z274" s="87" t="n">
        <x:f>T274*'01 Base Costs'!$B$8</x:f>
        <x:v>52690953599.99999</x:v>
      </x:c>
      <x:c r="AA274" s="87" t="n">
        <x:f>Z274*'01 Base Costs'!$B$11</x:f>
        <x:v>2634547680</x:v>
      </x:c>
      <x:c r="AB274" s="87" t="n">
        <x:f>Z274-AA274</x:f>
        <x:v>50056405919.99999</x:v>
      </x:c>
      <x:c r="AC274" s="87" t="n">
        <x:f>O274+Y274</x:f>
        <x:v>72111443040</x:v>
      </x:c>
      <x:c r="AD274" s="87" t="n">
        <x:f>AB274-AC274</x:f>
        <x:v>-22055037120.000008</x:v>
      </x:c>
      <x:c r="AE274" s="87" t="n">
        <x:f>AD274/D274</x:f>
        <x:v>-3675839520.0000014</x:v>
      </x:c>
      <x:c r="AF274" s="87" t="n">
        <x:f>AD274/P274</x:f>
        <x:v>-1225279840.0000005</x:v>
      </x:c>
      <x:c r="AG274" s="87" t="n">
        <x:f>IF(T274=0,0,AC274/T274/(1-'01 Base Costs'!$B$11))</x:f>
        <x:v>1084630517.6521552</x:v>
      </x:c>
      <x:c r="AH274" s="88" t="str">
        <x:f>IF(AD274&gt;0,"PROFIT","LOSS")</x:f>
        <x:v>LOSS</x:v>
      </x:c>
      <x:c r="AI274" s="89" t="str">
        <x:v>Base 6M Omega. MCT sale 30% off. Base 5-pack average.</x:v>
      </x:c>
    </x:row>
    <x:row r="275">
      <x:c r="A275" s="86" t="n">
        <x:v>273</x:v>
      </x:c>
      <x:c r="B275" s="88" t="str">
        <x:v>Base</x:v>
      </x:c>
      <x:c r="C275" s="88" t="str">
        <x:v>6M Omega</x:v>
      </x:c>
      <x:c r="D275" s="88" t="n">
        <x:v>6</x:v>
      </x:c>
      <x:c r="E275" s="88" t="n">
        <x:v>3</x:v>
      </x:c>
      <x:c r="F275" s="88" t="str">
        <x:v>NES MCT 30% sale</x:v>
      </x:c>
      <x:c r="G275" s="88" t="str">
        <x:v>NES 10-pack extractor</x:v>
      </x:c>
      <x:c r="H275" s="87" t="n">
        <x:f>'01 Base Costs'!$B$23</x:f>
        <x:v>2100</x:v>
      </x:c>
      <x:c r="I275" s="87" t="n">
        <x:f>'01 Base Costs'!$B$16*0.7</x:f>
        <x:v>339.5</x:v>
      </x:c>
      <x:c r="J275" s="87" t="n">
        <x:f>0</x:f>
        <x:v>0</x:v>
      </x:c>
      <x:c r="K275" s="87" t="n">
        <x:f>D275*(E275-1)*I275</x:f>
        <x:v>4074</x:v>
      </x:c>
      <x:c r="L275" s="87" t="n">
        <x:f>D275*(E275-1)*J275</x:f>
        <x:v>0</x:v>
      </x:c>
      <x:c r="M275" s="87" t="n">
        <x:f>0</x:f>
        <x:v>0</x:v>
      </x:c>
      <x:c r="N275" s="87" t="n">
        <x:f>H275+K275+M275</x:f>
        <x:v>6174</x:v>
      </x:c>
      <x:c r="O275" s="87" t="n">
        <x:f>N275*'01 Base Costs'!$B$7+L275</x:f>
        <x:v>29696940000</x:v>
      </x:c>
      <x:c r="P275" s="87" t="n">
        <x:f>D275*E275</x:f>
        <x:v>18</x:v>
      </x:c>
      <x:c r="Q275" s="87" t="n">
        <x:f>P275*'01 Base Costs'!$B$12</x:f>
        <x:v>34992000</x:v>
      </x:c>
      <x:c r="R275" s="87" t="n">
        <x:f>0</x:f>
        <x:v>0</x:v>
      </x:c>
      <x:c r="S275" s="87" t="n">
        <x:f>Q275+R275</x:f>
        <x:v>34992000</x:v>
      </x:c>
      <x:c r="T275" s="141" t="n">
        <x:f>S275/'01 Base Costs'!$B$14</x:f>
        <x:v>69.984</x:v>
      </x:c>
      <x:c r="U275" s="87" t="n">
        <x:f>INT(T275)</x:f>
        <x:v>69</x:v>
      </x:c>
      <x:c r="V275" s="87" t="n">
        <x:f>S275-U275*'01 Base Costs'!$B$14</x:f>
        <x:v>492000</x:v>
      </x:c>
      <x:c r="W275" s="120" t="n">
        <x:f>'01 Base Costs'!$B$19/10</x:f>
        <x:v>119</x:v>
      </x:c>
      <x:c r="X275" s="120" t="n">
        <x:f>0</x:f>
        <x:v>0</x:v>
      </x:c>
      <x:c r="Y275" s="87" t="n">
        <x:f>T275*(W275*'01 Base Costs'!$B$7+X275)</x:f>
        <x:v>40058141760</x:v>
      </x:c>
      <x:c r="Z275" s="87" t="n">
        <x:f>T275*'01 Base Costs'!$B$8</x:f>
        <x:v>52690953599.99999</x:v>
      </x:c>
      <x:c r="AA275" s="87" t="n">
        <x:f>Z275*'01 Base Costs'!$B$11</x:f>
        <x:v>2634547680</x:v>
      </x:c>
      <x:c r="AB275" s="87" t="n">
        <x:f>Z275-AA275</x:f>
        <x:v>50056405919.99999</x:v>
      </x:c>
      <x:c r="AC275" s="87" t="n">
        <x:f>O275+Y275</x:f>
        <x:v>69755081760</x:v>
      </x:c>
      <x:c r="AD275" s="87" t="n">
        <x:f>AB275-AC275</x:f>
        <x:v>-19698675840.000008</x:v>
      </x:c>
      <x:c r="AE275" s="87" t="n">
        <x:f>AD275/D275</x:f>
        <x:v>-3283112640.0000014</x:v>
      </x:c>
      <x:c r="AF275" s="87" t="n">
        <x:f>AD275/P275</x:f>
        <x:v>-1094370880.0000005</x:v>
      </x:c>
      <x:c r="AG275" s="87" t="n">
        <x:f>IF(T275=0,0,AC275/T275/(1-'01 Base Costs'!$B$11))</x:f>
        <x:v>1049188412.3889972</x:v>
      </x:c>
      <x:c r="AH275" s="88" t="str">
        <x:f>IF(AD275&gt;0,"PROFIT","LOSS")</x:f>
        <x:v>LOSS</x:v>
      </x:c>
      <x:c r="AI275" s="89" t="str">
        <x:v>Base 6M Omega. MCT sale 30% off. Base 10-pack average.</x:v>
      </x:c>
    </x:row>
    <x:row r="276">
      <x:c r="A276" s="86" t="n">
        <x:v>274</x:v>
      </x:c>
      <x:c r="B276" s="88" t="str">
        <x:v>Base</x:v>
      </x:c>
      <x:c r="C276" s="88" t="str">
        <x:v>6M Omega</x:v>
      </x:c>
      <x:c r="D276" s="88" t="n">
        <x:v>6</x:v>
      </x:c>
      <x:c r="E276" s="88" t="n">
        <x:v>3</x:v>
      </x:c>
      <x:c r="F276" s="88" t="str">
        <x:v>NES MCT 30% sale</x:v>
      </x:c>
      <x:c r="G276" s="88" t="str">
        <x:v>NES 50-pack extractor</x:v>
      </x:c>
      <x:c r="H276" s="87" t="n">
        <x:f>'01 Base Costs'!$B$23</x:f>
        <x:v>2100</x:v>
      </x:c>
      <x:c r="I276" s="87" t="n">
        <x:f>'01 Base Costs'!$B$16*0.7</x:f>
        <x:v>339.5</x:v>
      </x:c>
      <x:c r="J276" s="87" t="n">
        <x:f>0</x:f>
        <x:v>0</x:v>
      </x:c>
      <x:c r="K276" s="87" t="n">
        <x:f>D276*(E276-1)*I276</x:f>
        <x:v>4074</x:v>
      </x:c>
      <x:c r="L276" s="87" t="n">
        <x:f>D276*(E276-1)*J276</x:f>
        <x:v>0</x:v>
      </x:c>
      <x:c r="M276" s="87" t="n">
        <x:f>0</x:f>
        <x:v>0</x:v>
      </x:c>
      <x:c r="N276" s="87" t="n">
        <x:f>H276+K276+M276</x:f>
        <x:v>6174</x:v>
      </x:c>
      <x:c r="O276" s="87" t="n">
        <x:f>N276*'01 Base Costs'!$B$7+L276</x:f>
        <x:v>29696940000</x:v>
      </x:c>
      <x:c r="P276" s="87" t="n">
        <x:f>D276*E276</x:f>
        <x:v>18</x:v>
      </x:c>
      <x:c r="Q276" s="87" t="n">
        <x:f>P276*'01 Base Costs'!$B$12</x:f>
        <x:v>34992000</x:v>
      </x:c>
      <x:c r="R276" s="87" t="n">
        <x:f>0</x:f>
        <x:v>0</x:v>
      </x:c>
      <x:c r="S276" s="87" t="n">
        <x:f>Q276+R276</x:f>
        <x:v>34992000</x:v>
      </x:c>
      <x:c r="T276" s="141" t="n">
        <x:f>S276/'01 Base Costs'!$B$14</x:f>
        <x:v>69.984</x:v>
      </x:c>
      <x:c r="U276" s="87" t="n">
        <x:f>INT(T276)</x:f>
        <x:v>69</x:v>
      </x:c>
      <x:c r="V276" s="87" t="n">
        <x:f>S276-U276*'01 Base Costs'!$B$14</x:f>
        <x:v>492000</x:v>
      </x:c>
      <x:c r="W276" s="120" t="n">
        <x:f>'01 Base Costs'!$B$20/50</x:f>
        <x:v>112</x:v>
      </x:c>
      <x:c r="X276" s="120" t="n">
        <x:f>0</x:f>
        <x:v>0</x:v>
      </x:c>
      <x:c r="Y276" s="87" t="n">
        <x:f>T276*(W276*'01 Base Costs'!$B$7+X276)</x:f>
        <x:v>37701780480</x:v>
      </x:c>
      <x:c r="Z276" s="87" t="n">
        <x:f>T276*'01 Base Costs'!$B$8</x:f>
        <x:v>52690953599.99999</x:v>
      </x:c>
      <x:c r="AA276" s="87" t="n">
        <x:f>Z276*'01 Base Costs'!$B$11</x:f>
        <x:v>2634547680</x:v>
      </x:c>
      <x:c r="AB276" s="87" t="n">
        <x:f>Z276-AA276</x:f>
        <x:v>50056405919.99999</x:v>
      </x:c>
      <x:c r="AC276" s="87" t="n">
        <x:f>O276+Y276</x:f>
        <x:v>67398720480</x:v>
      </x:c>
      <x:c r="AD276" s="87" t="n">
        <x:f>AB276-AC276</x:f>
        <x:v>-17342314560.000008</x:v>
      </x:c>
      <x:c r="AE276" s="87" t="n">
        <x:f>AD276/D276</x:f>
        <x:v>-2890385760.0000014</x:v>
      </x:c>
      <x:c r="AF276" s="87" t="n">
        <x:f>AD276/P276</x:f>
        <x:v>-963461920.0000005</x:v>
      </x:c>
      <x:c r="AG276" s="87" t="n">
        <x:f>IF(T276=0,0,AC276/T276/(1-'01 Base Costs'!$B$11))</x:f>
        <x:v>1013746307.1258394</x:v>
      </x:c>
      <x:c r="AH276" s="88" t="str">
        <x:f>IF(AD276&gt;0,"PROFIT","LOSS")</x:f>
        <x:v>LOSS</x:v>
      </x:c>
      <x:c r="AI276" s="89" t="str">
        <x:v>Base 6M Omega. MCT sale 30% off. Base 50-pack average.</x:v>
      </x:c>
    </x:row>
    <x:row r="277">
      <x:c r="A277" s="86" t="n">
        <x:v>275</x:v>
      </x:c>
      <x:c r="B277" s="88" t="str">
        <x:v>Base</x:v>
      </x:c>
      <x:c r="C277" s="88" t="str">
        <x:v>6M Omega</x:v>
      </x:c>
      <x:c r="D277" s="88" t="n">
        <x:v>6</x:v>
      </x:c>
      <x:c r="E277" s="88" t="n">
        <x:v>3</x:v>
      </x:c>
      <x:c r="F277" s="88" t="str">
        <x:v>NES MCT 30% sale</x:v>
      </x:c>
      <x:c r="G277" s="88" t="str">
        <x:v>NES 3-for-2 extractor sale</x:v>
      </x:c>
      <x:c r="H277" s="87" t="n">
        <x:f>'01 Base Costs'!$B$23</x:f>
        <x:v>2100</x:v>
      </x:c>
      <x:c r="I277" s="87" t="n">
        <x:f>'01 Base Costs'!$B$16*0.7</x:f>
        <x:v>339.5</x:v>
      </x:c>
      <x:c r="J277" s="87" t="n">
        <x:f>0</x:f>
        <x:v>0</x:v>
      </x:c>
      <x:c r="K277" s="87" t="n">
        <x:f>D277*(E277-1)*I277</x:f>
        <x:v>4074</x:v>
      </x:c>
      <x:c r="L277" s="87" t="n">
        <x:f>D277*(E277-1)*J277</x:f>
        <x:v>0</x:v>
      </x:c>
      <x:c r="M277" s="87" t="n">
        <x:f>0</x:f>
        <x:v>0</x:v>
      </x:c>
      <x:c r="N277" s="87" t="n">
        <x:f>H277+K277+M277</x:f>
        <x:v>6174</x:v>
      </x:c>
      <x:c r="O277" s="87" t="n">
        <x:f>N277*'01 Base Costs'!$B$7+L277</x:f>
        <x:v>29696940000</x:v>
      </x:c>
      <x:c r="P277" s="87" t="n">
        <x:f>D277*E277</x:f>
        <x:v>18</x:v>
      </x:c>
      <x:c r="Q277" s="87" t="n">
        <x:f>P277*'01 Base Costs'!$B$12</x:f>
        <x:v>34992000</x:v>
      </x:c>
      <x:c r="R277" s="87" t="n">
        <x:f>0</x:f>
        <x:v>0</x:v>
      </x:c>
      <x:c r="S277" s="87" t="n">
        <x:f>Q277+R277</x:f>
        <x:v>34992000</x:v>
      </x:c>
      <x:c r="T277" s="141" t="n">
        <x:f>S277/'01 Base Costs'!$B$14</x:f>
        <x:v>69.984</x:v>
      </x:c>
      <x:c r="U277" s="87" t="n">
        <x:f>INT(T277)</x:f>
        <x:v>69</x:v>
      </x:c>
      <x:c r="V277" s="87" t="n">
        <x:f>S277-U277*'01 Base Costs'!$B$14</x:f>
        <x:v>492000</x:v>
      </x:c>
      <x:c r="W277" s="120" t="n">
        <x:f>'01 Base Costs'!$B$17*2/3</x:f>
        <x:v>93.33333333333333</x:v>
      </x:c>
      <x:c r="X277" s="120" t="n">
        <x:f>0</x:f>
        <x:v>0</x:v>
      </x:c>
      <x:c r="Y277" s="87" t="n">
        <x:f>T277*(W277*'01 Base Costs'!$B$7+X277)</x:f>
        <x:v>31418150399.999996</x:v>
      </x:c>
      <x:c r="Z277" s="87" t="n">
        <x:f>T277*'01 Base Costs'!$B$8</x:f>
        <x:v>52690953599.99999</x:v>
      </x:c>
      <x:c r="AA277" s="87" t="n">
        <x:f>Z277*'01 Base Costs'!$B$11</x:f>
        <x:v>2634547680</x:v>
      </x:c>
      <x:c r="AB277" s="87" t="n">
        <x:f>Z277-AA277</x:f>
        <x:v>50056405919.99999</x:v>
      </x:c>
      <x:c r="AC277" s="87" t="n">
        <x:f>O277+Y277</x:f>
        <x:v>61115090400</x:v>
      </x:c>
      <x:c r="AD277" s="87" t="n">
        <x:f>AB277-AC277</x:f>
        <x:v>-11058684480.000008</x:v>
      </x:c>
      <x:c r="AE277" s="87" t="n">
        <x:f>AD277/D277</x:f>
        <x:v>-1843114080.0000012</x:v>
      </x:c>
      <x:c r="AF277" s="87" t="n">
        <x:f>AD277/P277</x:f>
        <x:v>-614371360.0000005</x:v>
      </x:c>
      <x:c r="AG277" s="87" t="n">
        <x:f>IF(T277=0,0,AC277/T277/(1-'01 Base Costs'!$B$11))</x:f>
        <x:v>919234026.424085</x:v>
      </x:c>
      <x:c r="AH277" s="88" t="str">
        <x:f>IF(AD277&gt;0,"PROFIT","LOSS")</x:f>
        <x:v>LOSS</x:v>
      </x:c>
      <x:c r="AI277" s="89" t="str">
        <x:v>Base 6M Omega. MCT sale 30% off. Extractor 3-for-2 sale.</x:v>
      </x:c>
    </x:row>
    <x:row r="278">
      <x:c r="A278" s="86" t="n">
        <x:v>276</x:v>
      </x:c>
      <x:c r="B278" s="88" t="str">
        <x:v>Base</x:v>
      </x:c>
      <x:c r="C278" s="88" t="str">
        <x:v>6M Omega</x:v>
      </x:c>
      <x:c r="D278" s="88" t="n">
        <x:v>6</x:v>
      </x:c>
      <x:c r="E278" s="88" t="n">
        <x:v>3</x:v>
      </x:c>
      <x:c r="F278" s="88" t="str">
        <x:v>NES MCT 30% sale</x:v>
      </x:c>
      <x:c r="G278" s="88" t="str">
        <x:v>NES 2-for-1 extractor sale</x:v>
      </x:c>
      <x:c r="H278" s="87" t="n">
        <x:f>'01 Base Costs'!$B$23</x:f>
        <x:v>2100</x:v>
      </x:c>
      <x:c r="I278" s="87" t="n">
        <x:f>'01 Base Costs'!$B$16*0.7</x:f>
        <x:v>339.5</x:v>
      </x:c>
      <x:c r="J278" s="87" t="n">
        <x:f>0</x:f>
        <x:v>0</x:v>
      </x:c>
      <x:c r="K278" s="87" t="n">
        <x:f>D278*(E278-1)*I278</x:f>
        <x:v>4074</x:v>
      </x:c>
      <x:c r="L278" s="87" t="n">
        <x:f>D278*(E278-1)*J278</x:f>
        <x:v>0</x:v>
      </x:c>
      <x:c r="M278" s="87" t="n">
        <x:f>0</x:f>
        <x:v>0</x:v>
      </x:c>
      <x:c r="N278" s="87" t="n">
        <x:f>H278+K278+M278</x:f>
        <x:v>6174</x:v>
      </x:c>
      <x:c r="O278" s="87" t="n">
        <x:f>N278*'01 Base Costs'!$B$7+L278</x:f>
        <x:v>29696940000</x:v>
      </x:c>
      <x:c r="P278" s="87" t="n">
        <x:f>D278*E278</x:f>
        <x:v>18</x:v>
      </x:c>
      <x:c r="Q278" s="87" t="n">
        <x:f>P278*'01 Base Costs'!$B$12</x:f>
        <x:v>34992000</x:v>
      </x:c>
      <x:c r="R278" s="87" t="n">
        <x:f>0</x:f>
        <x:v>0</x:v>
      </x:c>
      <x:c r="S278" s="87" t="n">
        <x:f>Q278+R278</x:f>
        <x:v>34992000</x:v>
      </x:c>
      <x:c r="T278" s="141" t="n">
        <x:f>S278/'01 Base Costs'!$B$14</x:f>
        <x:v>69.984</x:v>
      </x:c>
      <x:c r="U278" s="87" t="n">
        <x:f>INT(T278)</x:f>
        <x:v>69</x:v>
      </x:c>
      <x:c r="V278" s="87" t="n">
        <x:f>S278-U278*'01 Base Costs'!$B$14</x:f>
        <x:v>492000</x:v>
      </x:c>
      <x:c r="W278" s="120" t="n">
        <x:f>'01 Base Costs'!$B$17/2</x:f>
        <x:v>70</x:v>
      </x:c>
      <x:c r="X278" s="120" t="n">
        <x:f>0</x:f>
        <x:v>0</x:v>
      </x:c>
      <x:c r="Y278" s="87" t="n">
        <x:f>T278*(W278*'01 Base Costs'!$B$7+X278)</x:f>
        <x:v>23563612800</x:v>
      </x:c>
      <x:c r="Z278" s="87" t="n">
        <x:f>T278*'01 Base Costs'!$B$8</x:f>
        <x:v>52690953599.99999</x:v>
      </x:c>
      <x:c r="AA278" s="87" t="n">
        <x:f>Z278*'01 Base Costs'!$B$11</x:f>
        <x:v>2634547680</x:v>
      </x:c>
      <x:c r="AB278" s="87" t="n">
        <x:f>Z278-AA278</x:f>
        <x:v>50056405919.99999</x:v>
      </x:c>
      <x:c r="AC278" s="87" t="n">
        <x:f>O278+Y278</x:f>
        <x:v>53260552800</x:v>
      </x:c>
      <x:c r="AD278" s="87" t="n">
        <x:f>AB278-AC278</x:f>
        <x:v>-3204146880.0000076</x:v>
      </x:c>
      <x:c r="AE278" s="87" t="n">
        <x:f>AD278/D278</x:f>
        <x:v>-534024480.00000125</x:v>
      </x:c>
      <x:c r="AF278" s="87" t="n">
        <x:f>AD278/P278</x:f>
        <x:v>-178008160.00000042</x:v>
      </x:c>
      <x:c r="AG278" s="87" t="n">
        <x:f>IF(T278=0,0,AC278/T278/(1-'01 Base Costs'!$B$11))</x:f>
        <x:v>801093675.5468919</x:v>
      </x:c>
      <x:c r="AH278" s="88" t="str">
        <x:f>IF(AD278&gt;0,"PROFIT","LOSS")</x:f>
        <x:v>LOSS</x:v>
      </x:c>
      <x:c r="AI278" s="89" t="str">
        <x:v>Base 6M Omega. MCT sale 30% off. Extractor 2-for-1 sale.</x:v>
      </x:c>
    </x:row>
    <x:row r="279">
      <x:c r="A279" s="86" t="n">
        <x:v>277</x:v>
      </x:c>
      <x:c r="B279" s="88" t="str">
        <x:v>Base</x:v>
      </x:c>
      <x:c r="C279" s="88" t="str">
        <x:v>6M Omega</x:v>
      </x:c>
      <x:c r="D279" s="88" t="n">
        <x:v>6</x:v>
      </x:c>
      <x:c r="E279" s="88" t="n">
        <x:v>3</x:v>
      </x:c>
      <x:c r="F279" s="88" t="str">
        <x:v>NES MCT 30% sale</x:v>
      </x:c>
      <x:c r="G279" s="88" t="str">
        <x:v>NES 10-pack extractor 20% sale</x:v>
      </x:c>
      <x:c r="H279" s="87" t="n">
        <x:f>'01 Base Costs'!$B$23</x:f>
        <x:v>2100</x:v>
      </x:c>
      <x:c r="I279" s="87" t="n">
        <x:f>'01 Base Costs'!$B$16*0.7</x:f>
        <x:v>339.5</x:v>
      </x:c>
      <x:c r="J279" s="87" t="n">
        <x:f>0</x:f>
        <x:v>0</x:v>
      </x:c>
      <x:c r="K279" s="87" t="n">
        <x:f>D279*(E279-1)*I279</x:f>
        <x:v>4074</x:v>
      </x:c>
      <x:c r="L279" s="87" t="n">
        <x:f>D279*(E279-1)*J279</x:f>
        <x:v>0</x:v>
      </x:c>
      <x:c r="M279" s="87" t="n">
        <x:f>0</x:f>
        <x:v>0</x:v>
      </x:c>
      <x:c r="N279" s="87" t="n">
        <x:f>H279+K279+M279</x:f>
        <x:v>6174</x:v>
      </x:c>
      <x:c r="O279" s="87" t="n">
        <x:f>N279*'01 Base Costs'!$B$7+L279</x:f>
        <x:v>29696940000</x:v>
      </x:c>
      <x:c r="P279" s="87" t="n">
        <x:f>D279*E279</x:f>
        <x:v>18</x:v>
      </x:c>
      <x:c r="Q279" s="87" t="n">
        <x:f>P279*'01 Base Costs'!$B$12</x:f>
        <x:v>34992000</x:v>
      </x:c>
      <x:c r="R279" s="87" t="n">
        <x:f>0</x:f>
        <x:v>0</x:v>
      </x:c>
      <x:c r="S279" s="87" t="n">
        <x:f>Q279+R279</x:f>
        <x:v>34992000</x:v>
      </x:c>
      <x:c r="T279" s="141" t="n">
        <x:f>S279/'01 Base Costs'!$B$14</x:f>
        <x:v>69.984</x:v>
      </x:c>
      <x:c r="U279" s="87" t="n">
        <x:f>INT(T279)</x:f>
        <x:v>69</x:v>
      </x:c>
      <x:c r="V279" s="87" t="n">
        <x:f>S279-U279*'01 Base Costs'!$B$14</x:f>
        <x:v>492000</x:v>
      </x:c>
      <x:c r="W279" s="120" t="n">
        <x:f>'01 Base Costs'!$B$19*0.8/10</x:f>
        <x:v>95.2</x:v>
      </x:c>
      <x:c r="X279" s="120" t="n">
        <x:f>0</x:f>
        <x:v>0</x:v>
      </x:c>
      <x:c r="Y279" s="87" t="n">
        <x:f>T279*(W279*'01 Base Costs'!$B$7+X279)</x:f>
        <x:v>32046513407.999996</x:v>
      </x:c>
      <x:c r="Z279" s="87" t="n">
        <x:f>T279*'01 Base Costs'!$B$8</x:f>
        <x:v>52690953599.99999</x:v>
      </x:c>
      <x:c r="AA279" s="87" t="n">
        <x:f>Z279*'01 Base Costs'!$B$11</x:f>
        <x:v>2634547680</x:v>
      </x:c>
      <x:c r="AB279" s="87" t="n">
        <x:f>Z279-AA279</x:f>
        <x:v>50056405919.99999</x:v>
      </x:c>
      <x:c r="AC279" s="87" t="n">
        <x:f>O279+Y279</x:f>
        <x:v>61743453408</x:v>
      </x:c>
      <x:c r="AD279" s="87" t="n">
        <x:f>AB279-AC279</x:f>
        <x:v>-11687047488.000008</x:v>
      </x:c>
      <x:c r="AE279" s="87" t="n">
        <x:f>AD279/D279</x:f>
        <x:v>-1947841248.0000012</x:v>
      </x:c>
      <x:c r="AF279" s="87" t="n">
        <x:f>AD279/P279</x:f>
        <x:v>-649280416.0000005</x:v>
      </x:c>
      <x:c r="AG279" s="87" t="n">
        <x:f>IF(T279=0,0,AC279/T279/(1-'01 Base Costs'!$B$11))</x:f>
        <x:v>928685254.4942604</x:v>
      </x:c>
      <x:c r="AH279" s="88" t="str">
        <x:f>IF(AD279&gt;0,"PROFIT","LOSS")</x:f>
        <x:v>LOSS</x:v>
      </x:c>
      <x:c r="AI279" s="89" t="str">
        <x:v>Base 6M Omega. MCT sale 30% off. 10-pack at 20% off.</x:v>
      </x:c>
    </x:row>
    <x:row r="280">
      <x:c r="A280" s="86" t="n">
        <x:v>278</x:v>
      </x:c>
      <x:c r="B280" s="88" t="str">
        <x:v>Base</x:v>
      </x:c>
      <x:c r="C280" s="88" t="str">
        <x:v>6M Omega</x:v>
      </x:c>
      <x:c r="D280" s="88" t="n">
        <x:v>6</x:v>
      </x:c>
      <x:c r="E280" s="88" t="n">
        <x:v>3</x:v>
      </x:c>
      <x:c r="F280" s="88" t="str">
        <x:v>NES MCT 30% sale</x:v>
      </x:c>
      <x:c r="G280" s="88" t="str">
        <x:v>NES 50-pack extractor 20% sale</x:v>
      </x:c>
      <x:c r="H280" s="87" t="n">
        <x:f>'01 Base Costs'!$B$23</x:f>
        <x:v>2100</x:v>
      </x:c>
      <x:c r="I280" s="87" t="n">
        <x:f>'01 Base Costs'!$B$16*0.7</x:f>
        <x:v>339.5</x:v>
      </x:c>
      <x:c r="J280" s="87" t="n">
        <x:f>0</x:f>
        <x:v>0</x:v>
      </x:c>
      <x:c r="K280" s="87" t="n">
        <x:f>D280*(E280-1)*I280</x:f>
        <x:v>4074</x:v>
      </x:c>
      <x:c r="L280" s="87" t="n">
        <x:f>D280*(E280-1)*J280</x:f>
        <x:v>0</x:v>
      </x:c>
      <x:c r="M280" s="87" t="n">
        <x:f>0</x:f>
        <x:v>0</x:v>
      </x:c>
      <x:c r="N280" s="87" t="n">
        <x:f>H280+K280+M280</x:f>
        <x:v>6174</x:v>
      </x:c>
      <x:c r="O280" s="87" t="n">
        <x:f>N280*'01 Base Costs'!$B$7+L280</x:f>
        <x:v>29696940000</x:v>
      </x:c>
      <x:c r="P280" s="87" t="n">
        <x:f>D280*E280</x:f>
        <x:v>18</x:v>
      </x:c>
      <x:c r="Q280" s="87" t="n">
        <x:f>P280*'01 Base Costs'!$B$12</x:f>
        <x:v>34992000</x:v>
      </x:c>
      <x:c r="R280" s="87" t="n">
        <x:f>0</x:f>
        <x:v>0</x:v>
      </x:c>
      <x:c r="S280" s="87" t="n">
        <x:f>Q280+R280</x:f>
        <x:v>34992000</x:v>
      </x:c>
      <x:c r="T280" s="141" t="n">
        <x:f>S280/'01 Base Costs'!$B$14</x:f>
        <x:v>69.984</x:v>
      </x:c>
      <x:c r="U280" s="87" t="n">
        <x:f>INT(T280)</x:f>
        <x:v>69</x:v>
      </x:c>
      <x:c r="V280" s="87" t="n">
        <x:f>S280-U280*'01 Base Costs'!$B$14</x:f>
        <x:v>492000</x:v>
      </x:c>
      <x:c r="W280" s="120" t="n">
        <x:f>'01 Base Costs'!$B$20*0.8/50</x:f>
        <x:v>89.6</x:v>
      </x:c>
      <x:c r="X280" s="120" t="n">
        <x:f>0</x:f>
        <x:v>0</x:v>
      </x:c>
      <x:c r="Y280" s="87" t="n">
        <x:f>T280*(W280*'01 Base Costs'!$B$7+X280)</x:f>
        <x:v>30161424383.999996</x:v>
      </x:c>
      <x:c r="Z280" s="87" t="n">
        <x:f>T280*'01 Base Costs'!$B$8</x:f>
        <x:v>52690953599.99999</x:v>
      </x:c>
      <x:c r="AA280" s="87" t="n">
        <x:f>Z280*'01 Base Costs'!$B$11</x:f>
        <x:v>2634547680</x:v>
      </x:c>
      <x:c r="AB280" s="87" t="n">
        <x:f>Z280-AA280</x:f>
        <x:v>50056405919.99999</x:v>
      </x:c>
      <x:c r="AC280" s="87" t="n">
        <x:f>O280+Y280</x:f>
        <x:v>59858364384</x:v>
      </x:c>
      <x:c r="AD280" s="87" t="n">
        <x:f>AB280-AC280</x:f>
        <x:v>-9801958464.000008</x:v>
      </x:c>
      <x:c r="AE280" s="87" t="n">
        <x:f>AD280/D280</x:f>
        <x:v>-1633659744.0000012</x:v>
      </x:c>
      <x:c r="AF280" s="87" t="n">
        <x:f>AD280/P280</x:f>
        <x:v>-544553248.0000005</x:v>
      </x:c>
      <x:c r="AG280" s="87" t="n">
        <x:f>IF(T280=0,0,AC280/T280/(1-'01 Base Costs'!$B$11))</x:f>
        <x:v>900331570.2837341</x:v>
      </x:c>
      <x:c r="AH280" s="88" t="str">
        <x:f>IF(AD280&gt;0,"PROFIT","LOSS")</x:f>
        <x:v>LOSS</x:v>
      </x:c>
      <x:c r="AI280" s="89" t="str">
        <x:v>Base 6M Omega. MCT sale 30% off. 50-pack at 20% off.</x:v>
      </x:c>
    </x:row>
    <x:row r="281">
      <x:c r="A281" s="86" t="n">
        <x:v>279</x:v>
      </x:c>
      <x:c r="B281" s="88" t="str">
        <x:v>Base</x:v>
      </x:c>
      <x:c r="C281" s="88" t="str">
        <x:v>6M Omega</x:v>
      </x:c>
      <x:c r="D281" s="88" t="n">
        <x:v>6</x:v>
      </x:c>
      <x:c r="E281" s="88" t="n">
        <x:v>3</x:v>
      </x:c>
      <x:c r="F281" s="88" t="str">
        <x:v>NES MCT 30% sale</x:v>
      </x:c>
      <x:c r="G281" s="88" t="str">
        <x:v>Market Skill Extractor</x:v>
      </x:c>
      <x:c r="H281" s="87" t="n">
        <x:f>'01 Base Costs'!$B$23</x:f>
        <x:v>2100</x:v>
      </x:c>
      <x:c r="I281" s="87" t="n">
        <x:f>'01 Base Costs'!$B$16*0.7</x:f>
        <x:v>339.5</x:v>
      </x:c>
      <x:c r="J281" s="87" t="n">
        <x:f>0</x:f>
        <x:v>0</x:v>
      </x:c>
      <x:c r="K281" s="87" t="n">
        <x:f>D281*(E281-1)*I281</x:f>
        <x:v>4074</x:v>
      </x:c>
      <x:c r="L281" s="87" t="n">
        <x:f>D281*(E281-1)*J281</x:f>
        <x:v>0</x:v>
      </x:c>
      <x:c r="M281" s="87" t="n">
        <x:f>0</x:f>
        <x:v>0</x:v>
      </x:c>
      <x:c r="N281" s="87" t="n">
        <x:f>H281+K281+M281</x:f>
        <x:v>6174</x:v>
      </x:c>
      <x:c r="O281" s="87" t="n">
        <x:f>N281*'01 Base Costs'!$B$7+L281</x:f>
        <x:v>29696940000</x:v>
      </x:c>
      <x:c r="P281" s="87" t="n">
        <x:f>D281*E281</x:f>
        <x:v>18</x:v>
      </x:c>
      <x:c r="Q281" s="87" t="n">
        <x:f>P281*'01 Base Costs'!$B$12</x:f>
        <x:v>34992000</x:v>
      </x:c>
      <x:c r="R281" s="87" t="n">
        <x:f>0</x:f>
        <x:v>0</x:v>
      </x:c>
      <x:c r="S281" s="87" t="n">
        <x:f>Q281+R281</x:f>
        <x:v>34992000</x:v>
      </x:c>
      <x:c r="T281" s="141" t="n">
        <x:f>S281/'01 Base Costs'!$B$14</x:f>
        <x:v>69.984</x:v>
      </x:c>
      <x:c r="U281" s="87" t="n">
        <x:f>INT(T281)</x:f>
        <x:v>69</x:v>
      </x:c>
      <x:c r="V281" s="87" t="n">
        <x:f>S281-U281*'01 Base Costs'!$B$14</x:f>
        <x:v>492000</x:v>
      </x:c>
      <x:c r="W281" s="120" t="n">
        <x:f>0</x:f>
        <x:v>0</x:v>
      </x:c>
      <x:c r="X281" s="120" t="n">
        <x:f>'01 Base Costs'!$B$9</x:f>
        <x:v>463500000</x:v>
      </x:c>
      <x:c r="Y281" s="87" t="n">
        <x:f>T281*(W281*'01 Base Costs'!$B$7+X281)</x:f>
        <x:v>32437583999.999996</x:v>
      </x:c>
      <x:c r="Z281" s="87" t="n">
        <x:f>T281*'01 Base Costs'!$B$8</x:f>
        <x:v>52690953599.99999</x:v>
      </x:c>
      <x:c r="AA281" s="87" t="n">
        <x:f>Z281*'01 Base Costs'!$B$11</x:f>
        <x:v>2634547680</x:v>
      </x:c>
      <x:c r="AB281" s="87" t="n">
        <x:f>Z281-AA281</x:f>
        <x:v>50056405919.99999</x:v>
      </x:c>
      <x:c r="AC281" s="87" t="n">
        <x:f>O281+Y281</x:f>
        <x:v>62134524000</x:v>
      </x:c>
      <x:c r="AD281" s="87" t="n">
        <x:f>AB281-AC281</x:f>
        <x:v>-12078118080.000008</x:v>
      </x:c>
      <x:c r="AE281" s="87" t="n">
        <x:f>AD281/D281</x:f>
        <x:v>-2013019680.0000012</x:v>
      </x:c>
      <x:c r="AF281" s="87" t="n">
        <x:f>AD281/P281</x:f>
        <x:v>-671006560.0000005</x:v>
      </x:c>
      <x:c r="AG281" s="87" t="n">
        <x:f>IF(T281=0,0,AC281/T281/(1-'01 Base Costs'!$B$11))</x:f>
        <x:v>934567359.7574183</x:v>
      </x:c>
      <x:c r="AH281" s="88" t="str">
        <x:f>IF(AD281&gt;0,"PROFIT","LOSS")</x:f>
        <x:v>LOSS</x:v>
      </x:c>
      <x:c r="AI281" s="89" t="str">
        <x:v>Base 6M Omega. MCT sale 30% off. Extractor bought on market with ISK.</x:v>
      </x:c>
    </x:row>
    <x:row r="282">
      <x:c r="A282" s="86" t="n">
        <x:v>280</x:v>
      </x:c>
      <x:c r="B282" s="88" t="str">
        <x:v>Base</x:v>
      </x:c>
      <x:c r="C282" s="88" t="str">
        <x:v>6M Omega</x:v>
      </x:c>
      <x:c r="D282" s="88" t="n">
        <x:v>6</x:v>
      </x:c>
      <x:c r="E282" s="88" t="n">
        <x:v>3</x:v>
      </x:c>
      <x:c r="F282" s="88" t="str">
        <x:v>NES MCT 40% sale</x:v>
      </x:c>
      <x:c r="G282" s="88" t="str">
        <x:v>NES single extractor</x:v>
      </x:c>
      <x:c r="H282" s="87" t="n">
        <x:f>'01 Base Costs'!$B$23</x:f>
        <x:v>2100</x:v>
      </x:c>
      <x:c r="I282" s="87" t="n">
        <x:f>'01 Base Costs'!$B$16*0.6</x:f>
        <x:v>291</x:v>
      </x:c>
      <x:c r="J282" s="87" t="n">
        <x:f>0</x:f>
        <x:v>0</x:v>
      </x:c>
      <x:c r="K282" s="87" t="n">
        <x:f>D282*(E282-1)*I282</x:f>
        <x:v>3492</x:v>
      </x:c>
      <x:c r="L282" s="87" t="n">
        <x:f>D282*(E282-1)*J282</x:f>
        <x:v>0</x:v>
      </x:c>
      <x:c r="M282" s="87" t="n">
        <x:f>0</x:f>
        <x:v>0</x:v>
      </x:c>
      <x:c r="N282" s="87" t="n">
        <x:f>H282+K282+M282</x:f>
        <x:v>5592</x:v>
      </x:c>
      <x:c r="O282" s="87" t="n">
        <x:f>N282*'01 Base Costs'!$B$7+L282</x:f>
        <x:v>26897520000</x:v>
      </x:c>
      <x:c r="P282" s="87" t="n">
        <x:f>D282*E282</x:f>
        <x:v>18</x:v>
      </x:c>
      <x:c r="Q282" s="87" t="n">
        <x:f>P282*'01 Base Costs'!$B$12</x:f>
        <x:v>34992000</x:v>
      </x:c>
      <x:c r="R282" s="87" t="n">
        <x:f>0</x:f>
        <x:v>0</x:v>
      </x:c>
      <x:c r="S282" s="87" t="n">
        <x:f>Q282+R282</x:f>
        <x:v>34992000</x:v>
      </x:c>
      <x:c r="T282" s="141" t="n">
        <x:f>S282/'01 Base Costs'!$B$14</x:f>
        <x:v>69.984</x:v>
      </x:c>
      <x:c r="U282" s="87" t="n">
        <x:f>INT(T282)</x:f>
        <x:v>69</x:v>
      </x:c>
      <x:c r="V282" s="87" t="n">
        <x:f>S282-U282*'01 Base Costs'!$B$14</x:f>
        <x:v>492000</x:v>
      </x:c>
      <x:c r="W282" s="120" t="n">
        <x:f>'01 Base Costs'!$B$17</x:f>
        <x:v>140</x:v>
      </x:c>
      <x:c r="X282" s="120" t="n">
        <x:f>0</x:f>
        <x:v>0</x:v>
      </x:c>
      <x:c r="Y282" s="87" t="n">
        <x:f>T282*(W282*'01 Base Costs'!$B$7+X282)</x:f>
        <x:v>47127225600</x:v>
      </x:c>
      <x:c r="Z282" s="87" t="n">
        <x:f>T282*'01 Base Costs'!$B$8</x:f>
        <x:v>52690953599.99999</x:v>
      </x:c>
      <x:c r="AA282" s="87" t="n">
        <x:f>Z282*'01 Base Costs'!$B$11</x:f>
        <x:v>2634547680</x:v>
      </x:c>
      <x:c r="AB282" s="87" t="n">
        <x:f>Z282-AA282</x:f>
        <x:v>50056405919.99999</x:v>
      </x:c>
      <x:c r="AC282" s="87" t="n">
        <x:f>O282+Y282</x:f>
        <x:v>74024745600</x:v>
      </x:c>
      <x:c r="AD282" s="87" t="n">
        <x:f>AB282-AC282</x:f>
        <x:v>-23968339680.000008</x:v>
      </x:c>
      <x:c r="AE282" s="87" t="n">
        <x:f>AD282/D282</x:f>
        <x:v>-3994723280.0000014</x:v>
      </x:c>
      <x:c r="AF282" s="87" t="n">
        <x:f>AD282/P282</x:f>
        <x:v>-1331574426.666667</x:v>
      </x:c>
      <x:c r="AG282" s="87" t="n">
        <x:f>IF(T282=0,0,AC282/T282/(1-'01 Base Costs'!$B$11))</x:f>
        <x:v>1113408562.5586603</x:v>
      </x:c>
      <x:c r="AH282" s="88" t="str">
        <x:f>IF(AD282&gt;0,"PROFIT","LOSS")</x:f>
        <x:v>LOSS</x:v>
      </x:c>
      <x:c r="AI282" s="89" t="str">
        <x:v>Base 6M Omega. MCT sale 40% off. Base single extractor.</x:v>
      </x:c>
    </x:row>
    <x:row r="283">
      <x:c r="A283" s="86" t="n">
        <x:v>281</x:v>
      </x:c>
      <x:c r="B283" s="88" t="str">
        <x:v>Base</x:v>
      </x:c>
      <x:c r="C283" s="88" t="str">
        <x:v>6M Omega</x:v>
      </x:c>
      <x:c r="D283" s="88" t="n">
        <x:v>6</x:v>
      </x:c>
      <x:c r="E283" s="88" t="n">
        <x:v>3</x:v>
      </x:c>
      <x:c r="F283" s="88" t="str">
        <x:v>NES MCT 40% sale</x:v>
      </x:c>
      <x:c r="G283" s="88" t="str">
        <x:v>NES 5-pack extractor</x:v>
      </x:c>
      <x:c r="H283" s="87" t="n">
        <x:f>'01 Base Costs'!$B$23</x:f>
        <x:v>2100</x:v>
      </x:c>
      <x:c r="I283" s="87" t="n">
        <x:f>'01 Base Costs'!$B$16*0.6</x:f>
        <x:v>291</x:v>
      </x:c>
      <x:c r="J283" s="87" t="n">
        <x:f>0</x:f>
        <x:v>0</x:v>
      </x:c>
      <x:c r="K283" s="87" t="n">
        <x:f>D283*(E283-1)*I283</x:f>
        <x:v>3492</x:v>
      </x:c>
      <x:c r="L283" s="87" t="n">
        <x:f>D283*(E283-1)*J283</x:f>
        <x:v>0</x:v>
      </x:c>
      <x:c r="M283" s="87" t="n">
        <x:f>0</x:f>
        <x:v>0</x:v>
      </x:c>
      <x:c r="N283" s="87" t="n">
        <x:f>H283+K283+M283</x:f>
        <x:v>5592</x:v>
      </x:c>
      <x:c r="O283" s="87" t="n">
        <x:f>N283*'01 Base Costs'!$B$7+L283</x:f>
        <x:v>26897520000</x:v>
      </x:c>
      <x:c r="P283" s="87" t="n">
        <x:f>D283*E283</x:f>
        <x:v>18</x:v>
      </x:c>
      <x:c r="Q283" s="87" t="n">
        <x:f>P283*'01 Base Costs'!$B$12</x:f>
        <x:v>34992000</x:v>
      </x:c>
      <x:c r="R283" s="87" t="n">
        <x:f>0</x:f>
        <x:v>0</x:v>
      </x:c>
      <x:c r="S283" s="87" t="n">
        <x:f>Q283+R283</x:f>
        <x:v>34992000</x:v>
      </x:c>
      <x:c r="T283" s="141" t="n">
        <x:f>S283/'01 Base Costs'!$B$14</x:f>
        <x:v>69.984</x:v>
      </x:c>
      <x:c r="U283" s="87" t="n">
        <x:f>INT(T283)</x:f>
        <x:v>69</x:v>
      </x:c>
      <x:c r="V283" s="87" t="n">
        <x:f>S283-U283*'01 Base Costs'!$B$14</x:f>
        <x:v>492000</x:v>
      </x:c>
      <x:c r="W283" s="120" t="n">
        <x:f>'01 Base Costs'!$B$18/5</x:f>
        <x:v>126</x:v>
      </x:c>
      <x:c r="X283" s="120" t="n">
        <x:f>0</x:f>
        <x:v>0</x:v>
      </x:c>
      <x:c r="Y283" s="87" t="n">
        <x:f>T283*(W283*'01 Base Costs'!$B$7+X283)</x:f>
        <x:v>42414503040</x:v>
      </x:c>
      <x:c r="Z283" s="87" t="n">
        <x:f>T283*'01 Base Costs'!$B$8</x:f>
        <x:v>52690953599.99999</x:v>
      </x:c>
      <x:c r="AA283" s="87" t="n">
        <x:f>Z283*'01 Base Costs'!$B$11</x:f>
        <x:v>2634547680</x:v>
      </x:c>
      <x:c r="AB283" s="87" t="n">
        <x:f>Z283-AA283</x:f>
        <x:v>50056405919.99999</x:v>
      </x:c>
      <x:c r="AC283" s="87" t="n">
        <x:f>O283+Y283</x:f>
        <x:v>69312023040</x:v>
      </x:c>
      <x:c r="AD283" s="87" t="n">
        <x:f>AB283-AC283</x:f>
        <x:v>-19255617120.000008</x:v>
      </x:c>
      <x:c r="AE283" s="87" t="n">
        <x:f>AD283/D283</x:f>
        <x:v>-3209269520.0000014</x:v>
      </x:c>
      <x:c r="AF283" s="87" t="n">
        <x:f>AD283/P283</x:f>
        <x:v>-1069756506.6666671</x:v>
      </x:c>
      <x:c r="AG283" s="87" t="n">
        <x:f>IF(T283=0,0,AC283/T283/(1-'01 Base Costs'!$B$11))</x:f>
        <x:v>1042524352.0323443</x:v>
      </x:c>
      <x:c r="AH283" s="88" t="str">
        <x:f>IF(AD283&gt;0,"PROFIT","LOSS")</x:f>
        <x:v>LOSS</x:v>
      </x:c>
      <x:c r="AI283" s="89" t="str">
        <x:v>Base 6M Omega. MCT sale 40% off. Base 5-pack average.</x:v>
      </x:c>
    </x:row>
    <x:row r="284">
      <x:c r="A284" s="86" t="n">
        <x:v>282</x:v>
      </x:c>
      <x:c r="B284" s="88" t="str">
        <x:v>Base</x:v>
      </x:c>
      <x:c r="C284" s="88" t="str">
        <x:v>6M Omega</x:v>
      </x:c>
      <x:c r="D284" s="88" t="n">
        <x:v>6</x:v>
      </x:c>
      <x:c r="E284" s="88" t="n">
        <x:v>3</x:v>
      </x:c>
      <x:c r="F284" s="88" t="str">
        <x:v>NES MCT 40% sale</x:v>
      </x:c>
      <x:c r="G284" s="88" t="str">
        <x:v>NES 10-pack extractor</x:v>
      </x:c>
      <x:c r="H284" s="87" t="n">
        <x:f>'01 Base Costs'!$B$23</x:f>
        <x:v>2100</x:v>
      </x:c>
      <x:c r="I284" s="87" t="n">
        <x:f>'01 Base Costs'!$B$16*0.6</x:f>
        <x:v>291</x:v>
      </x:c>
      <x:c r="J284" s="87" t="n">
        <x:f>0</x:f>
        <x:v>0</x:v>
      </x:c>
      <x:c r="K284" s="87" t="n">
        <x:f>D284*(E284-1)*I284</x:f>
        <x:v>3492</x:v>
      </x:c>
      <x:c r="L284" s="87" t="n">
        <x:f>D284*(E284-1)*J284</x:f>
        <x:v>0</x:v>
      </x:c>
      <x:c r="M284" s="87" t="n">
        <x:f>0</x:f>
        <x:v>0</x:v>
      </x:c>
      <x:c r="N284" s="87" t="n">
        <x:f>H284+K284+M284</x:f>
        <x:v>5592</x:v>
      </x:c>
      <x:c r="O284" s="87" t="n">
        <x:f>N284*'01 Base Costs'!$B$7+L284</x:f>
        <x:v>26897520000</x:v>
      </x:c>
      <x:c r="P284" s="87" t="n">
        <x:f>D284*E284</x:f>
        <x:v>18</x:v>
      </x:c>
      <x:c r="Q284" s="87" t="n">
        <x:f>P284*'01 Base Costs'!$B$12</x:f>
        <x:v>34992000</x:v>
      </x:c>
      <x:c r="R284" s="87" t="n">
        <x:f>0</x:f>
        <x:v>0</x:v>
      </x:c>
      <x:c r="S284" s="87" t="n">
        <x:f>Q284+R284</x:f>
        <x:v>34992000</x:v>
      </x:c>
      <x:c r="T284" s="141" t="n">
        <x:f>S284/'01 Base Costs'!$B$14</x:f>
        <x:v>69.984</x:v>
      </x:c>
      <x:c r="U284" s="87" t="n">
        <x:f>INT(T284)</x:f>
        <x:v>69</x:v>
      </x:c>
      <x:c r="V284" s="87" t="n">
        <x:f>S284-U284*'01 Base Costs'!$B$14</x:f>
        <x:v>492000</x:v>
      </x:c>
      <x:c r="W284" s="120" t="n">
        <x:f>'01 Base Costs'!$B$19/10</x:f>
        <x:v>119</x:v>
      </x:c>
      <x:c r="X284" s="120" t="n">
        <x:f>0</x:f>
        <x:v>0</x:v>
      </x:c>
      <x:c r="Y284" s="87" t="n">
        <x:f>T284*(W284*'01 Base Costs'!$B$7+X284)</x:f>
        <x:v>40058141760</x:v>
      </x:c>
      <x:c r="Z284" s="87" t="n">
        <x:f>T284*'01 Base Costs'!$B$8</x:f>
        <x:v>52690953599.99999</x:v>
      </x:c>
      <x:c r="AA284" s="87" t="n">
        <x:f>Z284*'01 Base Costs'!$B$11</x:f>
        <x:v>2634547680</x:v>
      </x:c>
      <x:c r="AB284" s="87" t="n">
        <x:f>Z284-AA284</x:f>
        <x:v>50056405919.99999</x:v>
      </x:c>
      <x:c r="AC284" s="87" t="n">
        <x:f>O284+Y284</x:f>
        <x:v>66955661760</x:v>
      </x:c>
      <x:c r="AD284" s="87" t="n">
        <x:f>AB284-AC284</x:f>
        <x:v>-16899255840.000008</x:v>
      </x:c>
      <x:c r="AE284" s="87" t="n">
        <x:f>AD284/D284</x:f>
        <x:v>-2816542640.0000014</x:v>
      </x:c>
      <x:c r="AF284" s="87" t="n">
        <x:f>AD284/P284</x:f>
        <x:v>-938847546.6666671</x:v>
      </x:c>
      <x:c r="AG284" s="87" t="n">
        <x:f>IF(T284=0,0,AC284/T284/(1-'01 Base Costs'!$B$11))</x:f>
        <x:v>1007082246.7691865</x:v>
      </x:c>
      <x:c r="AH284" s="88" t="str">
        <x:f>IF(AD284&gt;0,"PROFIT","LOSS")</x:f>
        <x:v>LOSS</x:v>
      </x:c>
      <x:c r="AI284" s="89" t="str">
        <x:v>Base 6M Omega. MCT sale 40% off. Base 10-pack average.</x:v>
      </x:c>
    </x:row>
    <x:row r="285">
      <x:c r="A285" s="86" t="n">
        <x:v>283</x:v>
      </x:c>
      <x:c r="B285" s="88" t="str">
        <x:v>Base</x:v>
      </x:c>
      <x:c r="C285" s="88" t="str">
        <x:v>6M Omega</x:v>
      </x:c>
      <x:c r="D285" s="88" t="n">
        <x:v>6</x:v>
      </x:c>
      <x:c r="E285" s="88" t="n">
        <x:v>3</x:v>
      </x:c>
      <x:c r="F285" s="88" t="str">
        <x:v>NES MCT 40% sale</x:v>
      </x:c>
      <x:c r="G285" s="88" t="str">
        <x:v>NES 50-pack extractor</x:v>
      </x:c>
      <x:c r="H285" s="87" t="n">
        <x:f>'01 Base Costs'!$B$23</x:f>
        <x:v>2100</x:v>
      </x:c>
      <x:c r="I285" s="87" t="n">
        <x:f>'01 Base Costs'!$B$16*0.6</x:f>
        <x:v>291</x:v>
      </x:c>
      <x:c r="J285" s="87" t="n">
        <x:f>0</x:f>
        <x:v>0</x:v>
      </x:c>
      <x:c r="K285" s="87" t="n">
        <x:f>D285*(E285-1)*I285</x:f>
        <x:v>3492</x:v>
      </x:c>
      <x:c r="L285" s="87" t="n">
        <x:f>D285*(E285-1)*J285</x:f>
        <x:v>0</x:v>
      </x:c>
      <x:c r="M285" s="87" t="n">
        <x:f>0</x:f>
        <x:v>0</x:v>
      </x:c>
      <x:c r="N285" s="87" t="n">
        <x:f>H285+K285+M285</x:f>
        <x:v>5592</x:v>
      </x:c>
      <x:c r="O285" s="87" t="n">
        <x:f>N285*'01 Base Costs'!$B$7+L285</x:f>
        <x:v>26897520000</x:v>
      </x:c>
      <x:c r="P285" s="87" t="n">
        <x:f>D285*E285</x:f>
        <x:v>18</x:v>
      </x:c>
      <x:c r="Q285" s="87" t="n">
        <x:f>P285*'01 Base Costs'!$B$12</x:f>
        <x:v>34992000</x:v>
      </x:c>
      <x:c r="R285" s="87" t="n">
        <x:f>0</x:f>
        <x:v>0</x:v>
      </x:c>
      <x:c r="S285" s="87" t="n">
        <x:f>Q285+R285</x:f>
        <x:v>34992000</x:v>
      </x:c>
      <x:c r="T285" s="141" t="n">
        <x:f>S285/'01 Base Costs'!$B$14</x:f>
        <x:v>69.984</x:v>
      </x:c>
      <x:c r="U285" s="87" t="n">
        <x:f>INT(T285)</x:f>
        <x:v>69</x:v>
      </x:c>
      <x:c r="V285" s="87" t="n">
        <x:f>S285-U285*'01 Base Costs'!$B$14</x:f>
        <x:v>492000</x:v>
      </x:c>
      <x:c r="W285" s="120" t="n">
        <x:f>'01 Base Costs'!$B$20/50</x:f>
        <x:v>112</x:v>
      </x:c>
      <x:c r="X285" s="120" t="n">
        <x:f>0</x:f>
        <x:v>0</x:v>
      </x:c>
      <x:c r="Y285" s="87" t="n">
        <x:f>T285*(W285*'01 Base Costs'!$B$7+X285)</x:f>
        <x:v>37701780480</x:v>
      </x:c>
      <x:c r="Z285" s="87" t="n">
        <x:f>T285*'01 Base Costs'!$B$8</x:f>
        <x:v>52690953599.99999</x:v>
      </x:c>
      <x:c r="AA285" s="87" t="n">
        <x:f>Z285*'01 Base Costs'!$B$11</x:f>
        <x:v>2634547680</x:v>
      </x:c>
      <x:c r="AB285" s="87" t="n">
        <x:f>Z285-AA285</x:f>
        <x:v>50056405919.99999</x:v>
      </x:c>
      <x:c r="AC285" s="87" t="n">
        <x:f>O285+Y285</x:f>
        <x:v>64599300480</x:v>
      </x:c>
      <x:c r="AD285" s="87" t="n">
        <x:f>AB285-AC285</x:f>
        <x:v>-14542894560.000008</x:v>
      </x:c>
      <x:c r="AE285" s="87" t="n">
        <x:f>AD285/D285</x:f>
        <x:v>-2423815760.0000014</x:v>
      </x:c>
      <x:c r="AF285" s="87" t="n">
        <x:f>AD285/P285</x:f>
        <x:v>-807938586.6666671</x:v>
      </x:c>
      <x:c r="AG285" s="87" t="n">
        <x:f>IF(T285=0,0,AC285/T285/(1-'01 Base Costs'!$B$11))</x:f>
        <x:v>971640141.5060287</x:v>
      </x:c>
      <x:c r="AH285" s="88" t="str">
        <x:f>IF(AD285&gt;0,"PROFIT","LOSS")</x:f>
        <x:v>LOSS</x:v>
      </x:c>
      <x:c r="AI285" s="89" t="str">
        <x:v>Base 6M Omega. MCT sale 40% off. Base 50-pack average.</x:v>
      </x:c>
    </x:row>
    <x:row r="286">
      <x:c r="A286" s="86" t="n">
        <x:v>284</x:v>
      </x:c>
      <x:c r="B286" s="88" t="str">
        <x:v>Base</x:v>
      </x:c>
      <x:c r="C286" s="88" t="str">
        <x:v>6M Omega</x:v>
      </x:c>
      <x:c r="D286" s="88" t="n">
        <x:v>6</x:v>
      </x:c>
      <x:c r="E286" s="88" t="n">
        <x:v>3</x:v>
      </x:c>
      <x:c r="F286" s="88" t="str">
        <x:v>NES MCT 40% sale</x:v>
      </x:c>
      <x:c r="G286" s="88" t="str">
        <x:v>NES 3-for-2 extractor sale</x:v>
      </x:c>
      <x:c r="H286" s="87" t="n">
        <x:f>'01 Base Costs'!$B$23</x:f>
        <x:v>2100</x:v>
      </x:c>
      <x:c r="I286" s="87" t="n">
        <x:f>'01 Base Costs'!$B$16*0.6</x:f>
        <x:v>291</x:v>
      </x:c>
      <x:c r="J286" s="87" t="n">
        <x:f>0</x:f>
        <x:v>0</x:v>
      </x:c>
      <x:c r="K286" s="87" t="n">
        <x:f>D286*(E286-1)*I286</x:f>
        <x:v>3492</x:v>
      </x:c>
      <x:c r="L286" s="87" t="n">
        <x:f>D286*(E286-1)*J286</x:f>
        <x:v>0</x:v>
      </x:c>
      <x:c r="M286" s="87" t="n">
        <x:f>0</x:f>
        <x:v>0</x:v>
      </x:c>
      <x:c r="N286" s="87" t="n">
        <x:f>H286+K286+M286</x:f>
        <x:v>5592</x:v>
      </x:c>
      <x:c r="O286" s="87" t="n">
        <x:f>N286*'01 Base Costs'!$B$7+L286</x:f>
        <x:v>26897520000</x:v>
      </x:c>
      <x:c r="P286" s="87" t="n">
        <x:f>D286*E286</x:f>
        <x:v>18</x:v>
      </x:c>
      <x:c r="Q286" s="87" t="n">
        <x:f>P286*'01 Base Costs'!$B$12</x:f>
        <x:v>34992000</x:v>
      </x:c>
      <x:c r="R286" s="87" t="n">
        <x:f>0</x:f>
        <x:v>0</x:v>
      </x:c>
      <x:c r="S286" s="87" t="n">
        <x:f>Q286+R286</x:f>
        <x:v>34992000</x:v>
      </x:c>
      <x:c r="T286" s="141" t="n">
        <x:f>S286/'01 Base Costs'!$B$14</x:f>
        <x:v>69.984</x:v>
      </x:c>
      <x:c r="U286" s="87" t="n">
        <x:f>INT(T286)</x:f>
        <x:v>69</x:v>
      </x:c>
      <x:c r="V286" s="87" t="n">
        <x:f>S286-U286*'01 Base Costs'!$B$14</x:f>
        <x:v>492000</x:v>
      </x:c>
      <x:c r="W286" s="120" t="n">
        <x:f>'01 Base Costs'!$B$17*2/3</x:f>
        <x:v>93.33333333333333</x:v>
      </x:c>
      <x:c r="X286" s="120" t="n">
        <x:f>0</x:f>
        <x:v>0</x:v>
      </x:c>
      <x:c r="Y286" s="87" t="n">
        <x:f>T286*(W286*'01 Base Costs'!$B$7+X286)</x:f>
        <x:v>31418150399.999996</x:v>
      </x:c>
      <x:c r="Z286" s="87" t="n">
        <x:f>T286*'01 Base Costs'!$B$8</x:f>
        <x:v>52690953599.99999</x:v>
      </x:c>
      <x:c r="AA286" s="87" t="n">
        <x:f>Z286*'01 Base Costs'!$B$11</x:f>
        <x:v>2634547680</x:v>
      </x:c>
      <x:c r="AB286" s="87" t="n">
        <x:f>Z286-AA286</x:f>
        <x:v>50056405919.99999</x:v>
      </x:c>
      <x:c r="AC286" s="87" t="n">
        <x:f>O286+Y286</x:f>
        <x:v>58315670400</x:v>
      </x:c>
      <x:c r="AD286" s="87" t="n">
        <x:f>AB286-AC286</x:f>
        <x:v>-8259264480.000008</x:v>
      </x:c>
      <x:c r="AE286" s="87" t="n">
        <x:f>AD286/D286</x:f>
        <x:v>-1376544080.0000012</x:v>
      </x:c>
      <x:c r="AF286" s="87" t="n">
        <x:f>AD286/P286</x:f>
        <x:v>-458848026.6666671</x:v>
      </x:c>
      <x:c r="AG286" s="87" t="n">
        <x:f>IF(T286=0,0,AC286/T286/(1-'01 Base Costs'!$B$11))</x:f>
        <x:v>877127860.8042741</x:v>
      </x:c>
      <x:c r="AH286" s="88" t="str">
        <x:f>IF(AD286&gt;0,"PROFIT","LOSS")</x:f>
        <x:v>LOSS</x:v>
      </x:c>
      <x:c r="AI286" s="89" t="str">
        <x:v>Base 6M Omega. MCT sale 40% off. Extractor 3-for-2 sale.</x:v>
      </x:c>
    </x:row>
    <x:row r="287">
      <x:c r="A287" s="86" t="n">
        <x:v>285</x:v>
      </x:c>
      <x:c r="B287" s="88" t="str">
        <x:v>Base</x:v>
      </x:c>
      <x:c r="C287" s="88" t="str">
        <x:v>6M Omega</x:v>
      </x:c>
      <x:c r="D287" s="88" t="n">
        <x:v>6</x:v>
      </x:c>
      <x:c r="E287" s="88" t="n">
        <x:v>3</x:v>
      </x:c>
      <x:c r="F287" s="88" t="str">
        <x:v>NES MCT 40% sale</x:v>
      </x:c>
      <x:c r="G287" s="88" t="str">
        <x:v>NES 2-for-1 extractor sale</x:v>
      </x:c>
      <x:c r="H287" s="87" t="n">
        <x:f>'01 Base Costs'!$B$23</x:f>
        <x:v>2100</x:v>
      </x:c>
      <x:c r="I287" s="87" t="n">
        <x:f>'01 Base Costs'!$B$16*0.6</x:f>
        <x:v>291</x:v>
      </x:c>
      <x:c r="J287" s="87" t="n">
        <x:f>0</x:f>
        <x:v>0</x:v>
      </x:c>
      <x:c r="K287" s="87" t="n">
        <x:f>D287*(E287-1)*I287</x:f>
        <x:v>3492</x:v>
      </x:c>
      <x:c r="L287" s="87" t="n">
        <x:f>D287*(E287-1)*J287</x:f>
        <x:v>0</x:v>
      </x:c>
      <x:c r="M287" s="87" t="n">
        <x:f>0</x:f>
        <x:v>0</x:v>
      </x:c>
      <x:c r="N287" s="87" t="n">
        <x:f>H287+K287+M287</x:f>
        <x:v>5592</x:v>
      </x:c>
      <x:c r="O287" s="87" t="n">
        <x:f>N287*'01 Base Costs'!$B$7+L287</x:f>
        <x:v>26897520000</x:v>
      </x:c>
      <x:c r="P287" s="87" t="n">
        <x:f>D287*E287</x:f>
        <x:v>18</x:v>
      </x:c>
      <x:c r="Q287" s="87" t="n">
        <x:f>P287*'01 Base Costs'!$B$12</x:f>
        <x:v>34992000</x:v>
      </x:c>
      <x:c r="R287" s="87" t="n">
        <x:f>0</x:f>
        <x:v>0</x:v>
      </x:c>
      <x:c r="S287" s="87" t="n">
        <x:f>Q287+R287</x:f>
        <x:v>34992000</x:v>
      </x:c>
      <x:c r="T287" s="141" t="n">
        <x:f>S287/'01 Base Costs'!$B$14</x:f>
        <x:v>69.984</x:v>
      </x:c>
      <x:c r="U287" s="87" t="n">
        <x:f>INT(T287)</x:f>
        <x:v>69</x:v>
      </x:c>
      <x:c r="V287" s="87" t="n">
        <x:f>S287-U287*'01 Base Costs'!$B$14</x:f>
        <x:v>492000</x:v>
      </x:c>
      <x:c r="W287" s="120" t="n">
        <x:f>'01 Base Costs'!$B$17/2</x:f>
        <x:v>70</x:v>
      </x:c>
      <x:c r="X287" s="120" t="n">
        <x:f>0</x:f>
        <x:v>0</x:v>
      </x:c>
      <x:c r="Y287" s="87" t="n">
        <x:f>T287*(W287*'01 Base Costs'!$B$7+X287)</x:f>
        <x:v>23563612800</x:v>
      </x:c>
      <x:c r="Z287" s="87" t="n">
        <x:f>T287*'01 Base Costs'!$B$8</x:f>
        <x:v>52690953599.99999</x:v>
      </x:c>
      <x:c r="AA287" s="87" t="n">
        <x:f>Z287*'01 Base Costs'!$B$11</x:f>
        <x:v>2634547680</x:v>
      </x:c>
      <x:c r="AB287" s="87" t="n">
        <x:f>Z287-AA287</x:f>
        <x:v>50056405919.99999</x:v>
      </x:c>
      <x:c r="AC287" s="87" t="n">
        <x:f>O287+Y287</x:f>
        <x:v>50461132800</x:v>
      </x:c>
      <x:c r="AD287" s="87" t="n">
        <x:f>AB287-AC287</x:f>
        <x:v>-404726880.0000076</x:v>
      </x:c>
      <x:c r="AE287" s="87" t="n">
        <x:f>AD287/D287</x:f>
        <x:v>-67454480.00000127</x:v>
      </x:c>
      <x:c r="AF287" s="87" t="n">
        <x:f>AD287/P287</x:f>
        <x:v>-22484826.66666709</x:v>
      </x:c>
      <x:c r="AG287" s="87" t="n">
        <x:f>IF(T287=0,0,AC287/T287/(1-'01 Base Costs'!$B$11))</x:f>
        <x:v>758987509.9270812</x:v>
      </x:c>
      <x:c r="AH287" s="88" t="str">
        <x:f>IF(AD287&gt;0,"PROFIT","LOSS")</x:f>
        <x:v>LOSS</x:v>
      </x:c>
      <x:c r="AI287" s="89" t="str">
        <x:v>Base 6M Omega. MCT sale 40% off. Extractor 2-for-1 sale.</x:v>
      </x:c>
    </x:row>
    <x:row r="288">
      <x:c r="A288" s="86" t="n">
        <x:v>286</x:v>
      </x:c>
      <x:c r="B288" s="88" t="str">
        <x:v>Base</x:v>
      </x:c>
      <x:c r="C288" s="88" t="str">
        <x:v>6M Omega</x:v>
      </x:c>
      <x:c r="D288" s="88" t="n">
        <x:v>6</x:v>
      </x:c>
      <x:c r="E288" s="88" t="n">
        <x:v>3</x:v>
      </x:c>
      <x:c r="F288" s="88" t="str">
        <x:v>NES MCT 40% sale</x:v>
      </x:c>
      <x:c r="G288" s="88" t="str">
        <x:v>NES 10-pack extractor 20% sale</x:v>
      </x:c>
      <x:c r="H288" s="87" t="n">
        <x:f>'01 Base Costs'!$B$23</x:f>
        <x:v>2100</x:v>
      </x:c>
      <x:c r="I288" s="87" t="n">
        <x:f>'01 Base Costs'!$B$16*0.6</x:f>
        <x:v>291</x:v>
      </x:c>
      <x:c r="J288" s="87" t="n">
        <x:f>0</x:f>
        <x:v>0</x:v>
      </x:c>
      <x:c r="K288" s="87" t="n">
        <x:f>D288*(E288-1)*I288</x:f>
        <x:v>3492</x:v>
      </x:c>
      <x:c r="L288" s="87" t="n">
        <x:f>D288*(E288-1)*J288</x:f>
        <x:v>0</x:v>
      </x:c>
      <x:c r="M288" s="87" t="n">
        <x:f>0</x:f>
        <x:v>0</x:v>
      </x:c>
      <x:c r="N288" s="87" t="n">
        <x:f>H288+K288+M288</x:f>
        <x:v>5592</x:v>
      </x:c>
      <x:c r="O288" s="87" t="n">
        <x:f>N288*'01 Base Costs'!$B$7+L288</x:f>
        <x:v>26897520000</x:v>
      </x:c>
      <x:c r="P288" s="87" t="n">
        <x:f>D288*E288</x:f>
        <x:v>18</x:v>
      </x:c>
      <x:c r="Q288" s="87" t="n">
        <x:f>P288*'01 Base Costs'!$B$12</x:f>
        <x:v>34992000</x:v>
      </x:c>
      <x:c r="R288" s="87" t="n">
        <x:f>0</x:f>
        <x:v>0</x:v>
      </x:c>
      <x:c r="S288" s="87" t="n">
        <x:f>Q288+R288</x:f>
        <x:v>34992000</x:v>
      </x:c>
      <x:c r="T288" s="141" t="n">
        <x:f>S288/'01 Base Costs'!$B$14</x:f>
        <x:v>69.984</x:v>
      </x:c>
      <x:c r="U288" s="87" t="n">
        <x:f>INT(T288)</x:f>
        <x:v>69</x:v>
      </x:c>
      <x:c r="V288" s="87" t="n">
        <x:f>S288-U288*'01 Base Costs'!$B$14</x:f>
        <x:v>492000</x:v>
      </x:c>
      <x:c r="W288" s="120" t="n">
        <x:f>'01 Base Costs'!$B$19*0.8/10</x:f>
        <x:v>95.2</x:v>
      </x:c>
      <x:c r="X288" s="120" t="n">
        <x:f>0</x:f>
        <x:v>0</x:v>
      </x:c>
      <x:c r="Y288" s="87" t="n">
        <x:f>T288*(W288*'01 Base Costs'!$B$7+X288)</x:f>
        <x:v>32046513407.999996</x:v>
      </x:c>
      <x:c r="Z288" s="87" t="n">
        <x:f>T288*'01 Base Costs'!$B$8</x:f>
        <x:v>52690953599.99999</x:v>
      </x:c>
      <x:c r="AA288" s="87" t="n">
        <x:f>Z288*'01 Base Costs'!$B$11</x:f>
        <x:v>2634547680</x:v>
      </x:c>
      <x:c r="AB288" s="87" t="n">
        <x:f>Z288-AA288</x:f>
        <x:v>50056405919.99999</x:v>
      </x:c>
      <x:c r="AC288" s="87" t="n">
        <x:f>O288+Y288</x:f>
        <x:v>58944033408</x:v>
      </x:c>
      <x:c r="AD288" s="87" t="n">
        <x:f>AB288-AC288</x:f>
        <x:v>-8887627488.000008</x:v>
      </x:c>
      <x:c r="AE288" s="87" t="n">
        <x:f>AD288/D288</x:f>
        <x:v>-1481271248.0000012</x:v>
      </x:c>
      <x:c r="AF288" s="87" t="n">
        <x:f>AD288/P288</x:f>
        <x:v>-493757082.6666671</x:v>
      </x:c>
      <x:c r="AG288" s="87" t="n">
        <x:f>IF(T288=0,0,AC288/T288/(1-'01 Base Costs'!$B$11))</x:f>
        <x:v>886579088.8744496</x:v>
      </x:c>
      <x:c r="AH288" s="88" t="str">
        <x:f>IF(AD288&gt;0,"PROFIT","LOSS")</x:f>
        <x:v>LOSS</x:v>
      </x:c>
      <x:c r="AI288" s="89" t="str">
        <x:v>Base 6M Omega. MCT sale 40% off. 10-pack at 20% off.</x:v>
      </x:c>
    </x:row>
    <x:row r="289">
      <x:c r="A289" s="86" t="n">
        <x:v>287</x:v>
      </x:c>
      <x:c r="B289" s="88" t="str">
        <x:v>Base</x:v>
      </x:c>
      <x:c r="C289" s="88" t="str">
        <x:v>6M Omega</x:v>
      </x:c>
      <x:c r="D289" s="88" t="n">
        <x:v>6</x:v>
      </x:c>
      <x:c r="E289" s="88" t="n">
        <x:v>3</x:v>
      </x:c>
      <x:c r="F289" s="88" t="str">
        <x:v>NES MCT 40% sale</x:v>
      </x:c>
      <x:c r="G289" s="88" t="str">
        <x:v>NES 50-pack extractor 20% sale</x:v>
      </x:c>
      <x:c r="H289" s="87" t="n">
        <x:f>'01 Base Costs'!$B$23</x:f>
        <x:v>2100</x:v>
      </x:c>
      <x:c r="I289" s="87" t="n">
        <x:f>'01 Base Costs'!$B$16*0.6</x:f>
        <x:v>291</x:v>
      </x:c>
      <x:c r="J289" s="87" t="n">
        <x:f>0</x:f>
        <x:v>0</x:v>
      </x:c>
      <x:c r="K289" s="87" t="n">
        <x:f>D289*(E289-1)*I289</x:f>
        <x:v>3492</x:v>
      </x:c>
      <x:c r="L289" s="87" t="n">
        <x:f>D289*(E289-1)*J289</x:f>
        <x:v>0</x:v>
      </x:c>
      <x:c r="M289" s="87" t="n">
        <x:f>0</x:f>
        <x:v>0</x:v>
      </x:c>
      <x:c r="N289" s="87" t="n">
        <x:f>H289+K289+M289</x:f>
        <x:v>5592</x:v>
      </x:c>
      <x:c r="O289" s="87" t="n">
        <x:f>N289*'01 Base Costs'!$B$7+L289</x:f>
        <x:v>26897520000</x:v>
      </x:c>
      <x:c r="P289" s="87" t="n">
        <x:f>D289*E289</x:f>
        <x:v>18</x:v>
      </x:c>
      <x:c r="Q289" s="87" t="n">
        <x:f>P289*'01 Base Costs'!$B$12</x:f>
        <x:v>34992000</x:v>
      </x:c>
      <x:c r="R289" s="87" t="n">
        <x:f>0</x:f>
        <x:v>0</x:v>
      </x:c>
      <x:c r="S289" s="87" t="n">
        <x:f>Q289+R289</x:f>
        <x:v>34992000</x:v>
      </x:c>
      <x:c r="T289" s="141" t="n">
        <x:f>S289/'01 Base Costs'!$B$14</x:f>
        <x:v>69.984</x:v>
      </x:c>
      <x:c r="U289" s="87" t="n">
        <x:f>INT(T289)</x:f>
        <x:v>69</x:v>
      </x:c>
      <x:c r="V289" s="87" t="n">
        <x:f>S289-U289*'01 Base Costs'!$B$14</x:f>
        <x:v>492000</x:v>
      </x:c>
      <x:c r="W289" s="120" t="n">
        <x:f>'01 Base Costs'!$B$20*0.8/50</x:f>
        <x:v>89.6</x:v>
      </x:c>
      <x:c r="X289" s="120" t="n">
        <x:f>0</x:f>
        <x:v>0</x:v>
      </x:c>
      <x:c r="Y289" s="87" t="n">
        <x:f>T289*(W289*'01 Base Costs'!$B$7+X289)</x:f>
        <x:v>30161424383.999996</x:v>
      </x:c>
      <x:c r="Z289" s="87" t="n">
        <x:f>T289*'01 Base Costs'!$B$8</x:f>
        <x:v>52690953599.99999</x:v>
      </x:c>
      <x:c r="AA289" s="87" t="n">
        <x:f>Z289*'01 Base Costs'!$B$11</x:f>
        <x:v>2634547680</x:v>
      </x:c>
      <x:c r="AB289" s="87" t="n">
        <x:f>Z289-AA289</x:f>
        <x:v>50056405919.99999</x:v>
      </x:c>
      <x:c r="AC289" s="87" t="n">
        <x:f>O289+Y289</x:f>
        <x:v>57058944384</x:v>
      </x:c>
      <x:c r="AD289" s="87" t="n">
        <x:f>AB289-AC289</x:f>
        <x:v>-7002538464.000008</x:v>
      </x:c>
      <x:c r="AE289" s="87" t="n">
        <x:f>AD289/D289</x:f>
        <x:v>-1167089744.0000012</x:v>
      </x:c>
      <x:c r="AF289" s="87" t="n">
        <x:f>AD289/P289</x:f>
        <x:v>-389029914.6666671</x:v>
      </x:c>
      <x:c r="AG289" s="87" t="n">
        <x:f>IF(T289=0,0,AC289/T289/(1-'01 Base Costs'!$B$11))</x:f>
        <x:v>858225404.6639234</x:v>
      </x:c>
      <x:c r="AH289" s="88" t="str">
        <x:f>IF(AD289&gt;0,"PROFIT","LOSS")</x:f>
        <x:v>LOSS</x:v>
      </x:c>
      <x:c r="AI289" s="89" t="str">
        <x:v>Base 6M Omega. MCT sale 40% off. 50-pack at 20% off.</x:v>
      </x:c>
    </x:row>
    <x:row r="290">
      <x:c r="A290" s="86" t="n">
        <x:v>288</x:v>
      </x:c>
      <x:c r="B290" s="88" t="str">
        <x:v>Base</x:v>
      </x:c>
      <x:c r="C290" s="88" t="str">
        <x:v>6M Omega</x:v>
      </x:c>
      <x:c r="D290" s="88" t="n">
        <x:v>6</x:v>
      </x:c>
      <x:c r="E290" s="88" t="n">
        <x:v>3</x:v>
      </x:c>
      <x:c r="F290" s="88" t="str">
        <x:v>NES MCT 40% sale</x:v>
      </x:c>
      <x:c r="G290" s="88" t="str">
        <x:v>Market Skill Extractor</x:v>
      </x:c>
      <x:c r="H290" s="87" t="n">
        <x:f>'01 Base Costs'!$B$23</x:f>
        <x:v>2100</x:v>
      </x:c>
      <x:c r="I290" s="87" t="n">
        <x:f>'01 Base Costs'!$B$16*0.6</x:f>
        <x:v>291</x:v>
      </x:c>
      <x:c r="J290" s="87" t="n">
        <x:f>0</x:f>
        <x:v>0</x:v>
      </x:c>
      <x:c r="K290" s="87" t="n">
        <x:f>D290*(E290-1)*I290</x:f>
        <x:v>3492</x:v>
      </x:c>
      <x:c r="L290" s="87" t="n">
        <x:f>D290*(E290-1)*J290</x:f>
        <x:v>0</x:v>
      </x:c>
      <x:c r="M290" s="87" t="n">
        <x:f>0</x:f>
        <x:v>0</x:v>
      </x:c>
      <x:c r="N290" s="87" t="n">
        <x:f>H290+K290+M290</x:f>
        <x:v>5592</x:v>
      </x:c>
      <x:c r="O290" s="87" t="n">
        <x:f>N290*'01 Base Costs'!$B$7+L290</x:f>
        <x:v>26897520000</x:v>
      </x:c>
      <x:c r="P290" s="87" t="n">
        <x:f>D290*E290</x:f>
        <x:v>18</x:v>
      </x:c>
      <x:c r="Q290" s="87" t="n">
        <x:f>P290*'01 Base Costs'!$B$12</x:f>
        <x:v>34992000</x:v>
      </x:c>
      <x:c r="R290" s="87" t="n">
        <x:f>0</x:f>
        <x:v>0</x:v>
      </x:c>
      <x:c r="S290" s="87" t="n">
        <x:f>Q290+R290</x:f>
        <x:v>34992000</x:v>
      </x:c>
      <x:c r="T290" s="141" t="n">
        <x:f>S290/'01 Base Costs'!$B$14</x:f>
        <x:v>69.984</x:v>
      </x:c>
      <x:c r="U290" s="87" t="n">
        <x:f>INT(T290)</x:f>
        <x:v>69</x:v>
      </x:c>
      <x:c r="V290" s="87" t="n">
        <x:f>S290-U290*'01 Base Costs'!$B$14</x:f>
        <x:v>492000</x:v>
      </x:c>
      <x:c r="W290" s="120" t="n">
        <x:f>0</x:f>
        <x:v>0</x:v>
      </x:c>
      <x:c r="X290" s="120" t="n">
        <x:f>'01 Base Costs'!$B$9</x:f>
        <x:v>463500000</x:v>
      </x:c>
      <x:c r="Y290" s="87" t="n">
        <x:f>T290*(W290*'01 Base Costs'!$B$7+X290)</x:f>
        <x:v>32437583999.999996</x:v>
      </x:c>
      <x:c r="Z290" s="87" t="n">
        <x:f>T290*'01 Base Costs'!$B$8</x:f>
        <x:v>52690953599.99999</x:v>
      </x:c>
      <x:c r="AA290" s="87" t="n">
        <x:f>Z290*'01 Base Costs'!$B$11</x:f>
        <x:v>2634547680</x:v>
      </x:c>
      <x:c r="AB290" s="87" t="n">
        <x:f>Z290-AA290</x:f>
        <x:v>50056405919.99999</x:v>
      </x:c>
      <x:c r="AC290" s="87" t="n">
        <x:f>O290+Y290</x:f>
        <x:v>59335104000</x:v>
      </x:c>
      <x:c r="AD290" s="87" t="n">
        <x:f>AB290-AC290</x:f>
        <x:v>-9278698080.000008</x:v>
      </x:c>
      <x:c r="AE290" s="87" t="n">
        <x:f>AD290/D290</x:f>
        <x:v>-1546449680.0000012</x:v>
      </x:c>
      <x:c r="AF290" s="87" t="n">
        <x:f>AD290/P290</x:f>
        <x:v>-515483226.6666671</x:v>
      </x:c>
      <x:c r="AG290" s="87" t="n">
        <x:f>IF(T290=0,0,AC290/T290/(1-'01 Base Costs'!$B$11))</x:f>
        <x:v>892461194.1376076</x:v>
      </x:c>
      <x:c r="AH290" s="88" t="str">
        <x:f>IF(AD290&gt;0,"PROFIT","LOSS")</x:f>
        <x:v>LOSS</x:v>
      </x:c>
      <x:c r="AI290" s="89" t="str">
        <x:v>Base 6M Omega. MCT sale 40% off. Extractor bought on market with ISK.</x:v>
      </x:c>
    </x:row>
    <x:row r="291">
      <x:c r="A291" s="86" t="n">
        <x:v>289</x:v>
      </x:c>
      <x:c r="B291" s="88" t="str">
        <x:v>Base</x:v>
      </x:c>
      <x:c r="C291" s="88" t="str">
        <x:v>6M Omega</x:v>
      </x:c>
      <x:c r="D291" s="88" t="n">
        <x:v>6</x:v>
      </x:c>
      <x:c r="E291" s="88" t="n">
        <x:v>3</x:v>
      </x:c>
      <x:c r="F291" s="88" t="str">
        <x:v>Market MCT certificate</x:v>
      </x:c>
      <x:c r="G291" s="88" t="str">
        <x:v>NES single extractor</x:v>
      </x:c>
      <x:c r="H291" s="87" t="n">
        <x:f>'01 Base Costs'!$B$23</x:f>
        <x:v>2100</x:v>
      </x:c>
      <x:c r="I291" s="87" t="n">
        <x:f>0</x:f>
        <x:v>0</x:v>
      </x:c>
      <x:c r="J291" s="87" t="n">
        <x:f>'01 Base Costs'!$B$10</x:f>
        <x:v>2332850000</x:v>
      </x:c>
      <x:c r="K291" s="87" t="n">
        <x:f>D291*(E291-1)*I291</x:f>
        <x:v>0</x:v>
      </x:c>
      <x:c r="L291" s="87" t="n">
        <x:f>D291*(E291-1)*J291</x:f>
        <x:v>27994200000</x:v>
      </x:c>
      <x:c r="M291" s="87" t="n">
        <x:f>0</x:f>
        <x:v>0</x:v>
      </x:c>
      <x:c r="N291" s="87" t="n">
        <x:f>H291+K291+M291</x:f>
        <x:v>2100</x:v>
      </x:c>
      <x:c r="O291" s="87" t="n">
        <x:f>N291*'01 Base Costs'!$B$7+L291</x:f>
        <x:v>38095200000</x:v>
      </x:c>
      <x:c r="P291" s="87" t="n">
        <x:f>D291*E291</x:f>
        <x:v>18</x:v>
      </x:c>
      <x:c r="Q291" s="87" t="n">
        <x:f>P291*'01 Base Costs'!$B$12</x:f>
        <x:v>34992000</x:v>
      </x:c>
      <x:c r="R291" s="87" t="n">
        <x:f>0</x:f>
        <x:v>0</x:v>
      </x:c>
      <x:c r="S291" s="87" t="n">
        <x:f>Q291+R291</x:f>
        <x:v>34992000</x:v>
      </x:c>
      <x:c r="T291" s="141" t="n">
        <x:f>S291/'01 Base Costs'!$B$14</x:f>
        <x:v>69.984</x:v>
      </x:c>
      <x:c r="U291" s="87" t="n">
        <x:f>INT(T291)</x:f>
        <x:v>69</x:v>
      </x:c>
      <x:c r="V291" s="87" t="n">
        <x:f>S291-U291*'01 Base Costs'!$B$14</x:f>
        <x:v>492000</x:v>
      </x:c>
      <x:c r="W291" s="120" t="n">
        <x:f>'01 Base Costs'!$B$17</x:f>
        <x:v>140</x:v>
      </x:c>
      <x:c r="X291" s="120" t="n">
        <x:f>0</x:f>
        <x:v>0</x:v>
      </x:c>
      <x:c r="Y291" s="87" t="n">
        <x:f>T291*(W291*'01 Base Costs'!$B$7+X291)</x:f>
        <x:v>47127225600</x:v>
      </x:c>
      <x:c r="Z291" s="87" t="n">
        <x:f>T291*'01 Base Costs'!$B$8</x:f>
        <x:v>52690953599.99999</x:v>
      </x:c>
      <x:c r="AA291" s="87" t="n">
        <x:f>Z291*'01 Base Costs'!$B$11</x:f>
        <x:v>2634547680</x:v>
      </x:c>
      <x:c r="AB291" s="87" t="n">
        <x:f>Z291-AA291</x:f>
        <x:v>50056405919.99999</x:v>
      </x:c>
      <x:c r="AC291" s="87" t="n">
        <x:f>O291+Y291</x:f>
        <x:v>85222425600</x:v>
      </x:c>
      <x:c r="AD291" s="87" t="n">
        <x:f>AB291-AC291</x:f>
        <x:v>-35166019680.00001</x:v>
      </x:c>
      <x:c r="AE291" s="87" t="n">
        <x:f>AD291/D291</x:f>
        <x:v>-5861003280.000001</x:v>
      </x:c>
      <x:c r="AF291" s="87" t="n">
        <x:f>AD291/P291</x:f>
        <x:v>-1953667760.0000005</x:v>
      </x:c>
      <x:c r="AG291" s="87" t="n">
        <x:f>IF(T291=0,0,AC291/T291/(1-'01 Base Costs'!$B$11))</x:f>
        <x:v>1281833225.0379035</x:v>
      </x:c>
      <x:c r="AH291" s="88" t="str">
        <x:f>IF(AD291&gt;0,"PROFIT","LOSS")</x:f>
        <x:v>LOSS</x:v>
      </x:c>
      <x:c r="AI291" s="89" t="str">
        <x:v>Base 6M Omega. MCT certificate bought with ISK market price. Base single extractor.</x:v>
      </x:c>
    </x:row>
    <x:row r="292">
      <x:c r="A292" s="86" t="n">
        <x:v>290</x:v>
      </x:c>
      <x:c r="B292" s="88" t="str">
        <x:v>Base</x:v>
      </x:c>
      <x:c r="C292" s="88" t="str">
        <x:v>6M Omega</x:v>
      </x:c>
      <x:c r="D292" s="88" t="n">
        <x:v>6</x:v>
      </x:c>
      <x:c r="E292" s="88" t="n">
        <x:v>3</x:v>
      </x:c>
      <x:c r="F292" s="88" t="str">
        <x:v>Market MCT certificate</x:v>
      </x:c>
      <x:c r="G292" s="88" t="str">
        <x:v>NES 5-pack extractor</x:v>
      </x:c>
      <x:c r="H292" s="87" t="n">
        <x:f>'01 Base Costs'!$B$23</x:f>
        <x:v>2100</x:v>
      </x:c>
      <x:c r="I292" s="87" t="n">
        <x:f>0</x:f>
        <x:v>0</x:v>
      </x:c>
      <x:c r="J292" s="87" t="n">
        <x:f>'01 Base Costs'!$B$10</x:f>
        <x:v>2332850000</x:v>
      </x:c>
      <x:c r="K292" s="87" t="n">
        <x:f>D292*(E292-1)*I292</x:f>
        <x:v>0</x:v>
      </x:c>
      <x:c r="L292" s="87" t="n">
        <x:f>D292*(E292-1)*J292</x:f>
        <x:v>27994200000</x:v>
      </x:c>
      <x:c r="M292" s="87" t="n">
        <x:f>0</x:f>
        <x:v>0</x:v>
      </x:c>
      <x:c r="N292" s="87" t="n">
        <x:f>H292+K292+M292</x:f>
        <x:v>2100</x:v>
      </x:c>
      <x:c r="O292" s="87" t="n">
        <x:f>N292*'01 Base Costs'!$B$7+L292</x:f>
        <x:v>38095200000</x:v>
      </x:c>
      <x:c r="P292" s="87" t="n">
        <x:f>D292*E292</x:f>
        <x:v>18</x:v>
      </x:c>
      <x:c r="Q292" s="87" t="n">
        <x:f>P292*'01 Base Costs'!$B$12</x:f>
        <x:v>34992000</x:v>
      </x:c>
      <x:c r="R292" s="87" t="n">
        <x:f>0</x:f>
        <x:v>0</x:v>
      </x:c>
      <x:c r="S292" s="87" t="n">
        <x:f>Q292+R292</x:f>
        <x:v>34992000</x:v>
      </x:c>
      <x:c r="T292" s="141" t="n">
        <x:f>S292/'01 Base Costs'!$B$14</x:f>
        <x:v>69.984</x:v>
      </x:c>
      <x:c r="U292" s="87" t="n">
        <x:f>INT(T292)</x:f>
        <x:v>69</x:v>
      </x:c>
      <x:c r="V292" s="87" t="n">
        <x:f>S292-U292*'01 Base Costs'!$B$14</x:f>
        <x:v>492000</x:v>
      </x:c>
      <x:c r="W292" s="120" t="n">
        <x:f>'01 Base Costs'!$B$18/5</x:f>
        <x:v>126</x:v>
      </x:c>
      <x:c r="X292" s="120" t="n">
        <x:f>0</x:f>
        <x:v>0</x:v>
      </x:c>
      <x:c r="Y292" s="87" t="n">
        <x:f>T292*(W292*'01 Base Costs'!$B$7+X292)</x:f>
        <x:v>42414503040</x:v>
      </x:c>
      <x:c r="Z292" s="87" t="n">
        <x:f>T292*'01 Base Costs'!$B$8</x:f>
        <x:v>52690953599.99999</x:v>
      </x:c>
      <x:c r="AA292" s="87" t="n">
        <x:f>Z292*'01 Base Costs'!$B$11</x:f>
        <x:v>2634547680</x:v>
      </x:c>
      <x:c r="AB292" s="87" t="n">
        <x:f>Z292-AA292</x:f>
        <x:v>50056405919.99999</x:v>
      </x:c>
      <x:c r="AC292" s="87" t="n">
        <x:f>O292+Y292</x:f>
        <x:v>80509703040</x:v>
      </x:c>
      <x:c r="AD292" s="87" t="n">
        <x:f>AB292-AC292</x:f>
        <x:v>-30453297120.000008</x:v>
      </x:c>
      <x:c r="AE292" s="87" t="n">
        <x:f>AD292/D292</x:f>
        <x:v>-5075549520.000001</x:v>
      </x:c>
      <x:c r="AF292" s="87" t="n">
        <x:f>AD292/P292</x:f>
        <x:v>-1691849840.0000005</x:v>
      </x:c>
      <x:c r="AG292" s="87" t="n">
        <x:f>IF(T292=0,0,AC292/T292/(1-'01 Base Costs'!$B$11))</x:f>
        <x:v>1210949014.5115879</x:v>
      </x:c>
      <x:c r="AH292" s="88" t="str">
        <x:f>IF(AD292&gt;0,"PROFIT","LOSS")</x:f>
        <x:v>LOSS</x:v>
      </x:c>
      <x:c r="AI292" s="89" t="str">
        <x:v>Base 6M Omega. MCT certificate bought with ISK market price. Base 5-pack average.</x:v>
      </x:c>
    </x:row>
    <x:row r="293">
      <x:c r="A293" s="86" t="n">
        <x:v>291</x:v>
      </x:c>
      <x:c r="B293" s="88" t="str">
        <x:v>Base</x:v>
      </x:c>
      <x:c r="C293" s="88" t="str">
        <x:v>6M Omega</x:v>
      </x:c>
      <x:c r="D293" s="88" t="n">
        <x:v>6</x:v>
      </x:c>
      <x:c r="E293" s="88" t="n">
        <x:v>3</x:v>
      </x:c>
      <x:c r="F293" s="88" t="str">
        <x:v>Market MCT certificate</x:v>
      </x:c>
      <x:c r="G293" s="88" t="str">
        <x:v>NES 10-pack extractor</x:v>
      </x:c>
      <x:c r="H293" s="87" t="n">
        <x:f>'01 Base Costs'!$B$23</x:f>
        <x:v>2100</x:v>
      </x:c>
      <x:c r="I293" s="87" t="n">
        <x:f>0</x:f>
        <x:v>0</x:v>
      </x:c>
      <x:c r="J293" s="87" t="n">
        <x:f>'01 Base Costs'!$B$10</x:f>
        <x:v>2332850000</x:v>
      </x:c>
      <x:c r="K293" s="87" t="n">
        <x:f>D293*(E293-1)*I293</x:f>
        <x:v>0</x:v>
      </x:c>
      <x:c r="L293" s="87" t="n">
        <x:f>D293*(E293-1)*J293</x:f>
        <x:v>27994200000</x:v>
      </x:c>
      <x:c r="M293" s="87" t="n">
        <x:f>0</x:f>
        <x:v>0</x:v>
      </x:c>
      <x:c r="N293" s="87" t="n">
        <x:f>H293+K293+M293</x:f>
        <x:v>2100</x:v>
      </x:c>
      <x:c r="O293" s="87" t="n">
        <x:f>N293*'01 Base Costs'!$B$7+L293</x:f>
        <x:v>38095200000</x:v>
      </x:c>
      <x:c r="P293" s="87" t="n">
        <x:f>D293*E293</x:f>
        <x:v>18</x:v>
      </x:c>
      <x:c r="Q293" s="87" t="n">
        <x:f>P293*'01 Base Costs'!$B$12</x:f>
        <x:v>34992000</x:v>
      </x:c>
      <x:c r="R293" s="87" t="n">
        <x:f>0</x:f>
        <x:v>0</x:v>
      </x:c>
      <x:c r="S293" s="87" t="n">
        <x:f>Q293+R293</x:f>
        <x:v>34992000</x:v>
      </x:c>
      <x:c r="T293" s="141" t="n">
        <x:f>S293/'01 Base Costs'!$B$14</x:f>
        <x:v>69.984</x:v>
      </x:c>
      <x:c r="U293" s="87" t="n">
        <x:f>INT(T293)</x:f>
        <x:v>69</x:v>
      </x:c>
      <x:c r="V293" s="87" t="n">
        <x:f>S293-U293*'01 Base Costs'!$B$14</x:f>
        <x:v>492000</x:v>
      </x:c>
      <x:c r="W293" s="120" t="n">
        <x:f>'01 Base Costs'!$B$19/10</x:f>
        <x:v>119</x:v>
      </x:c>
      <x:c r="X293" s="120" t="n">
        <x:f>0</x:f>
        <x:v>0</x:v>
      </x:c>
      <x:c r="Y293" s="87" t="n">
        <x:f>T293*(W293*'01 Base Costs'!$B$7+X293)</x:f>
        <x:v>40058141760</x:v>
      </x:c>
      <x:c r="Z293" s="87" t="n">
        <x:f>T293*'01 Base Costs'!$B$8</x:f>
        <x:v>52690953599.99999</x:v>
      </x:c>
      <x:c r="AA293" s="87" t="n">
        <x:f>Z293*'01 Base Costs'!$B$11</x:f>
        <x:v>2634547680</x:v>
      </x:c>
      <x:c r="AB293" s="87" t="n">
        <x:f>Z293-AA293</x:f>
        <x:v>50056405919.99999</x:v>
      </x:c>
      <x:c r="AC293" s="87" t="n">
        <x:f>O293+Y293</x:f>
        <x:v>78153341760</x:v>
      </x:c>
      <x:c r="AD293" s="87" t="n">
        <x:f>AB293-AC293</x:f>
        <x:v>-28096935840.000008</x:v>
      </x:c>
      <x:c r="AE293" s="87" t="n">
        <x:f>AD293/D293</x:f>
        <x:v>-4682822640.000001</x:v>
      </x:c>
      <x:c r="AF293" s="87" t="n">
        <x:f>AD293/P293</x:f>
        <x:v>-1560940880.0000005</x:v>
      </x:c>
      <x:c r="AG293" s="87" t="n">
        <x:f>IF(T293=0,0,AC293/T293/(1-'01 Base Costs'!$B$11))</x:f>
        <x:v>1175506909.24843</x:v>
      </x:c>
      <x:c r="AH293" s="88" t="str">
        <x:f>IF(AD293&gt;0,"PROFIT","LOSS")</x:f>
        <x:v>LOSS</x:v>
      </x:c>
      <x:c r="AI293" s="89" t="str">
        <x:v>Base 6M Omega. MCT certificate bought with ISK market price. Base 10-pack average.</x:v>
      </x:c>
    </x:row>
    <x:row r="294">
      <x:c r="A294" s="86" t="n">
        <x:v>292</x:v>
      </x:c>
      <x:c r="B294" s="88" t="str">
        <x:v>Base</x:v>
      </x:c>
      <x:c r="C294" s="88" t="str">
        <x:v>6M Omega</x:v>
      </x:c>
      <x:c r="D294" s="88" t="n">
        <x:v>6</x:v>
      </x:c>
      <x:c r="E294" s="88" t="n">
        <x:v>3</x:v>
      </x:c>
      <x:c r="F294" s="88" t="str">
        <x:v>Market MCT certificate</x:v>
      </x:c>
      <x:c r="G294" s="88" t="str">
        <x:v>NES 50-pack extractor</x:v>
      </x:c>
      <x:c r="H294" s="87" t="n">
        <x:f>'01 Base Costs'!$B$23</x:f>
        <x:v>2100</x:v>
      </x:c>
      <x:c r="I294" s="87" t="n">
        <x:f>0</x:f>
        <x:v>0</x:v>
      </x:c>
      <x:c r="J294" s="87" t="n">
        <x:f>'01 Base Costs'!$B$10</x:f>
        <x:v>2332850000</x:v>
      </x:c>
      <x:c r="K294" s="87" t="n">
        <x:f>D294*(E294-1)*I294</x:f>
        <x:v>0</x:v>
      </x:c>
      <x:c r="L294" s="87" t="n">
        <x:f>D294*(E294-1)*J294</x:f>
        <x:v>27994200000</x:v>
      </x:c>
      <x:c r="M294" s="87" t="n">
        <x:f>0</x:f>
        <x:v>0</x:v>
      </x:c>
      <x:c r="N294" s="87" t="n">
        <x:f>H294+K294+M294</x:f>
        <x:v>2100</x:v>
      </x:c>
      <x:c r="O294" s="87" t="n">
        <x:f>N294*'01 Base Costs'!$B$7+L294</x:f>
        <x:v>38095200000</x:v>
      </x:c>
      <x:c r="P294" s="87" t="n">
        <x:f>D294*E294</x:f>
        <x:v>18</x:v>
      </x:c>
      <x:c r="Q294" s="87" t="n">
        <x:f>P294*'01 Base Costs'!$B$12</x:f>
        <x:v>34992000</x:v>
      </x:c>
      <x:c r="R294" s="87" t="n">
        <x:f>0</x:f>
        <x:v>0</x:v>
      </x:c>
      <x:c r="S294" s="87" t="n">
        <x:f>Q294+R294</x:f>
        <x:v>34992000</x:v>
      </x:c>
      <x:c r="T294" s="141" t="n">
        <x:f>S294/'01 Base Costs'!$B$14</x:f>
        <x:v>69.984</x:v>
      </x:c>
      <x:c r="U294" s="87" t="n">
        <x:f>INT(T294)</x:f>
        <x:v>69</x:v>
      </x:c>
      <x:c r="V294" s="87" t="n">
        <x:f>S294-U294*'01 Base Costs'!$B$14</x:f>
        <x:v>492000</x:v>
      </x:c>
      <x:c r="W294" s="120" t="n">
        <x:f>'01 Base Costs'!$B$20/50</x:f>
        <x:v>112</x:v>
      </x:c>
      <x:c r="X294" s="120" t="n">
        <x:f>0</x:f>
        <x:v>0</x:v>
      </x:c>
      <x:c r="Y294" s="87" t="n">
        <x:f>T294*(W294*'01 Base Costs'!$B$7+X294)</x:f>
        <x:v>37701780480</x:v>
      </x:c>
      <x:c r="Z294" s="87" t="n">
        <x:f>T294*'01 Base Costs'!$B$8</x:f>
        <x:v>52690953599.99999</x:v>
      </x:c>
      <x:c r="AA294" s="87" t="n">
        <x:f>Z294*'01 Base Costs'!$B$11</x:f>
        <x:v>2634547680</x:v>
      </x:c>
      <x:c r="AB294" s="87" t="n">
        <x:f>Z294-AA294</x:f>
        <x:v>50056405919.99999</x:v>
      </x:c>
      <x:c r="AC294" s="87" t="n">
        <x:f>O294+Y294</x:f>
        <x:v>75796980480</x:v>
      </x:c>
      <x:c r="AD294" s="87" t="n">
        <x:f>AB294-AC294</x:f>
        <x:v>-25740574560.000008</x:v>
      </x:c>
      <x:c r="AE294" s="87" t="n">
        <x:f>AD294/D294</x:f>
        <x:v>-4290095760.0000014</x:v>
      </x:c>
      <x:c r="AF294" s="87" t="n">
        <x:f>AD294/P294</x:f>
        <x:v>-1430031920.0000005</x:v>
      </x:c>
      <x:c r="AG294" s="87" t="n">
        <x:f>IF(T294=0,0,AC294/T294/(1-'01 Base Costs'!$B$11))</x:f>
        <x:v>1140064803.985272</x:v>
      </x:c>
      <x:c r="AH294" s="88" t="str">
        <x:f>IF(AD294&gt;0,"PROFIT","LOSS")</x:f>
        <x:v>LOSS</x:v>
      </x:c>
      <x:c r="AI294" s="89" t="str">
        <x:v>Base 6M Omega. MCT certificate bought with ISK market price. Base 50-pack average.</x:v>
      </x:c>
    </x:row>
    <x:row r="295">
      <x:c r="A295" s="86" t="n">
        <x:v>293</x:v>
      </x:c>
      <x:c r="B295" s="88" t="str">
        <x:v>Base</x:v>
      </x:c>
      <x:c r="C295" s="88" t="str">
        <x:v>6M Omega</x:v>
      </x:c>
      <x:c r="D295" s="88" t="n">
        <x:v>6</x:v>
      </x:c>
      <x:c r="E295" s="88" t="n">
        <x:v>3</x:v>
      </x:c>
      <x:c r="F295" s="88" t="str">
        <x:v>Market MCT certificate</x:v>
      </x:c>
      <x:c r="G295" s="88" t="str">
        <x:v>NES 3-for-2 extractor sale</x:v>
      </x:c>
      <x:c r="H295" s="87" t="n">
        <x:f>'01 Base Costs'!$B$23</x:f>
        <x:v>2100</x:v>
      </x:c>
      <x:c r="I295" s="87" t="n">
        <x:f>0</x:f>
        <x:v>0</x:v>
      </x:c>
      <x:c r="J295" s="87" t="n">
        <x:f>'01 Base Costs'!$B$10</x:f>
        <x:v>2332850000</x:v>
      </x:c>
      <x:c r="K295" s="87" t="n">
        <x:f>D295*(E295-1)*I295</x:f>
        <x:v>0</x:v>
      </x:c>
      <x:c r="L295" s="87" t="n">
        <x:f>D295*(E295-1)*J295</x:f>
        <x:v>27994200000</x:v>
      </x:c>
      <x:c r="M295" s="87" t="n">
        <x:f>0</x:f>
        <x:v>0</x:v>
      </x:c>
      <x:c r="N295" s="87" t="n">
        <x:f>H295+K295+M295</x:f>
        <x:v>2100</x:v>
      </x:c>
      <x:c r="O295" s="87" t="n">
        <x:f>N295*'01 Base Costs'!$B$7+L295</x:f>
        <x:v>38095200000</x:v>
      </x:c>
      <x:c r="P295" s="87" t="n">
        <x:f>D295*E295</x:f>
        <x:v>18</x:v>
      </x:c>
      <x:c r="Q295" s="87" t="n">
        <x:f>P295*'01 Base Costs'!$B$12</x:f>
        <x:v>34992000</x:v>
      </x:c>
      <x:c r="R295" s="87" t="n">
        <x:f>0</x:f>
        <x:v>0</x:v>
      </x:c>
      <x:c r="S295" s="87" t="n">
        <x:f>Q295+R295</x:f>
        <x:v>34992000</x:v>
      </x:c>
      <x:c r="T295" s="141" t="n">
        <x:f>S295/'01 Base Costs'!$B$14</x:f>
        <x:v>69.984</x:v>
      </x:c>
      <x:c r="U295" s="87" t="n">
        <x:f>INT(T295)</x:f>
        <x:v>69</x:v>
      </x:c>
      <x:c r="V295" s="87" t="n">
        <x:f>S295-U295*'01 Base Costs'!$B$14</x:f>
        <x:v>492000</x:v>
      </x:c>
      <x:c r="W295" s="120" t="n">
        <x:f>'01 Base Costs'!$B$17*2/3</x:f>
        <x:v>93.33333333333333</x:v>
      </x:c>
      <x:c r="X295" s="120" t="n">
        <x:f>0</x:f>
        <x:v>0</x:v>
      </x:c>
      <x:c r="Y295" s="87" t="n">
        <x:f>T295*(W295*'01 Base Costs'!$B$7+X295)</x:f>
        <x:v>31418150399.999996</x:v>
      </x:c>
      <x:c r="Z295" s="87" t="n">
        <x:f>T295*'01 Base Costs'!$B$8</x:f>
        <x:v>52690953599.99999</x:v>
      </x:c>
      <x:c r="AA295" s="87" t="n">
        <x:f>Z295*'01 Base Costs'!$B$11</x:f>
        <x:v>2634547680</x:v>
      </x:c>
      <x:c r="AB295" s="87" t="n">
        <x:f>Z295-AA295</x:f>
        <x:v>50056405919.99999</x:v>
      </x:c>
      <x:c r="AC295" s="87" t="n">
        <x:f>O295+Y295</x:f>
        <x:v>69513350400</x:v>
      </x:c>
      <x:c r="AD295" s="87" t="n">
        <x:f>AB295-AC295</x:f>
        <x:v>-19456944480.000008</x:v>
      </x:c>
      <x:c r="AE295" s="87" t="n">
        <x:f>AD295/D295</x:f>
        <x:v>-3242824080.0000014</x:v>
      </x:c>
      <x:c r="AF295" s="87" t="n">
        <x:f>AD295/P295</x:f>
        <x:v>-1080941360.0000005</x:v>
      </x:c>
      <x:c r="AG295" s="87" t="n">
        <x:f>IF(T295=0,0,AC295/T295/(1-'01 Base Costs'!$B$11))</x:f>
        <x:v>1045552523.2835175</x:v>
      </x:c>
      <x:c r="AH295" s="88" t="str">
        <x:f>IF(AD295&gt;0,"PROFIT","LOSS")</x:f>
        <x:v>LOSS</x:v>
      </x:c>
      <x:c r="AI295" s="89" t="str">
        <x:v>Base 6M Omega. MCT certificate bought with ISK market price. Extractor 3-for-2 sale.</x:v>
      </x:c>
    </x:row>
    <x:row r="296">
      <x:c r="A296" s="86" t="n">
        <x:v>294</x:v>
      </x:c>
      <x:c r="B296" s="88" t="str">
        <x:v>Base</x:v>
      </x:c>
      <x:c r="C296" s="88" t="str">
        <x:v>6M Omega</x:v>
      </x:c>
      <x:c r="D296" s="88" t="n">
        <x:v>6</x:v>
      </x:c>
      <x:c r="E296" s="88" t="n">
        <x:v>3</x:v>
      </x:c>
      <x:c r="F296" s="88" t="str">
        <x:v>Market MCT certificate</x:v>
      </x:c>
      <x:c r="G296" s="88" t="str">
        <x:v>NES 2-for-1 extractor sale</x:v>
      </x:c>
      <x:c r="H296" s="87" t="n">
        <x:f>'01 Base Costs'!$B$23</x:f>
        <x:v>2100</x:v>
      </x:c>
      <x:c r="I296" s="87" t="n">
        <x:f>0</x:f>
        <x:v>0</x:v>
      </x:c>
      <x:c r="J296" s="87" t="n">
        <x:f>'01 Base Costs'!$B$10</x:f>
        <x:v>2332850000</x:v>
      </x:c>
      <x:c r="K296" s="87" t="n">
        <x:f>D296*(E296-1)*I296</x:f>
        <x:v>0</x:v>
      </x:c>
      <x:c r="L296" s="87" t="n">
        <x:f>D296*(E296-1)*J296</x:f>
        <x:v>27994200000</x:v>
      </x:c>
      <x:c r="M296" s="87" t="n">
        <x:f>0</x:f>
        <x:v>0</x:v>
      </x:c>
      <x:c r="N296" s="87" t="n">
        <x:f>H296+K296+M296</x:f>
        <x:v>2100</x:v>
      </x:c>
      <x:c r="O296" s="87" t="n">
        <x:f>N296*'01 Base Costs'!$B$7+L296</x:f>
        <x:v>38095200000</x:v>
      </x:c>
      <x:c r="P296" s="87" t="n">
        <x:f>D296*E296</x:f>
        <x:v>18</x:v>
      </x:c>
      <x:c r="Q296" s="87" t="n">
        <x:f>P296*'01 Base Costs'!$B$12</x:f>
        <x:v>34992000</x:v>
      </x:c>
      <x:c r="R296" s="87" t="n">
        <x:f>0</x:f>
        <x:v>0</x:v>
      </x:c>
      <x:c r="S296" s="87" t="n">
        <x:f>Q296+R296</x:f>
        <x:v>34992000</x:v>
      </x:c>
      <x:c r="T296" s="141" t="n">
        <x:f>S296/'01 Base Costs'!$B$14</x:f>
        <x:v>69.984</x:v>
      </x:c>
      <x:c r="U296" s="87" t="n">
        <x:f>INT(T296)</x:f>
        <x:v>69</x:v>
      </x:c>
      <x:c r="V296" s="87" t="n">
        <x:f>S296-U296*'01 Base Costs'!$B$14</x:f>
        <x:v>492000</x:v>
      </x:c>
      <x:c r="W296" s="120" t="n">
        <x:f>'01 Base Costs'!$B$17/2</x:f>
        <x:v>70</x:v>
      </x:c>
      <x:c r="X296" s="120" t="n">
        <x:f>0</x:f>
        <x:v>0</x:v>
      </x:c>
      <x:c r="Y296" s="87" t="n">
        <x:f>T296*(W296*'01 Base Costs'!$B$7+X296)</x:f>
        <x:v>23563612800</x:v>
      </x:c>
      <x:c r="Z296" s="87" t="n">
        <x:f>T296*'01 Base Costs'!$B$8</x:f>
        <x:v>52690953599.99999</x:v>
      </x:c>
      <x:c r="AA296" s="87" t="n">
        <x:f>Z296*'01 Base Costs'!$B$11</x:f>
        <x:v>2634547680</x:v>
      </x:c>
      <x:c r="AB296" s="87" t="n">
        <x:f>Z296-AA296</x:f>
        <x:v>50056405919.99999</x:v>
      </x:c>
      <x:c r="AC296" s="87" t="n">
        <x:f>O296+Y296</x:f>
        <x:v>61658812800</x:v>
      </x:c>
      <x:c r="AD296" s="87" t="n">
        <x:f>AB296-AC296</x:f>
        <x:v>-11602406880.000008</x:v>
      </x:c>
      <x:c r="AE296" s="87" t="n">
        <x:f>AD296/D296</x:f>
        <x:v>-1933734480.0000012</x:v>
      </x:c>
      <x:c r="AF296" s="87" t="n">
        <x:f>AD296/P296</x:f>
        <x:v>-644578160.0000005</x:v>
      </x:c>
      <x:c r="AG296" s="87" t="n">
        <x:f>IF(T296=0,0,AC296/T296/(1-'01 Base Costs'!$B$11))</x:f>
        <x:v>927412172.4063245</x:v>
      </x:c>
      <x:c r="AH296" s="88" t="str">
        <x:f>IF(AD296&gt;0,"PROFIT","LOSS")</x:f>
        <x:v>LOSS</x:v>
      </x:c>
      <x:c r="AI296" s="89" t="str">
        <x:v>Base 6M Omega. MCT certificate bought with ISK market price. Extractor 2-for-1 sale.</x:v>
      </x:c>
    </x:row>
    <x:row r="297">
      <x:c r="A297" s="86" t="n">
        <x:v>295</x:v>
      </x:c>
      <x:c r="B297" s="88" t="str">
        <x:v>Base</x:v>
      </x:c>
      <x:c r="C297" s="88" t="str">
        <x:v>6M Omega</x:v>
      </x:c>
      <x:c r="D297" s="88" t="n">
        <x:v>6</x:v>
      </x:c>
      <x:c r="E297" s="88" t="n">
        <x:v>3</x:v>
      </x:c>
      <x:c r="F297" s="88" t="str">
        <x:v>Market MCT certificate</x:v>
      </x:c>
      <x:c r="G297" s="88" t="str">
        <x:v>NES 10-pack extractor 20% sale</x:v>
      </x:c>
      <x:c r="H297" s="87" t="n">
        <x:f>'01 Base Costs'!$B$23</x:f>
        <x:v>2100</x:v>
      </x:c>
      <x:c r="I297" s="87" t="n">
        <x:f>0</x:f>
        <x:v>0</x:v>
      </x:c>
      <x:c r="J297" s="87" t="n">
        <x:f>'01 Base Costs'!$B$10</x:f>
        <x:v>2332850000</x:v>
      </x:c>
      <x:c r="K297" s="87" t="n">
        <x:f>D297*(E297-1)*I297</x:f>
        <x:v>0</x:v>
      </x:c>
      <x:c r="L297" s="87" t="n">
        <x:f>D297*(E297-1)*J297</x:f>
        <x:v>27994200000</x:v>
      </x:c>
      <x:c r="M297" s="87" t="n">
        <x:f>0</x:f>
        <x:v>0</x:v>
      </x:c>
      <x:c r="N297" s="87" t="n">
        <x:f>H297+K297+M297</x:f>
        <x:v>2100</x:v>
      </x:c>
      <x:c r="O297" s="87" t="n">
        <x:f>N297*'01 Base Costs'!$B$7+L297</x:f>
        <x:v>38095200000</x:v>
      </x:c>
      <x:c r="P297" s="87" t="n">
        <x:f>D297*E297</x:f>
        <x:v>18</x:v>
      </x:c>
      <x:c r="Q297" s="87" t="n">
        <x:f>P297*'01 Base Costs'!$B$12</x:f>
        <x:v>34992000</x:v>
      </x:c>
      <x:c r="R297" s="87" t="n">
        <x:f>0</x:f>
        <x:v>0</x:v>
      </x:c>
      <x:c r="S297" s="87" t="n">
        <x:f>Q297+R297</x:f>
        <x:v>34992000</x:v>
      </x:c>
      <x:c r="T297" s="141" t="n">
        <x:f>S297/'01 Base Costs'!$B$14</x:f>
        <x:v>69.984</x:v>
      </x:c>
      <x:c r="U297" s="87" t="n">
        <x:f>INT(T297)</x:f>
        <x:v>69</x:v>
      </x:c>
      <x:c r="V297" s="87" t="n">
        <x:f>S297-U297*'01 Base Costs'!$B$14</x:f>
        <x:v>492000</x:v>
      </x:c>
      <x:c r="W297" s="120" t="n">
        <x:f>'01 Base Costs'!$B$19*0.8/10</x:f>
        <x:v>95.2</x:v>
      </x:c>
      <x:c r="X297" s="120" t="n">
        <x:f>0</x:f>
        <x:v>0</x:v>
      </x:c>
      <x:c r="Y297" s="87" t="n">
        <x:f>T297*(W297*'01 Base Costs'!$B$7+X297)</x:f>
        <x:v>32046513407.999996</x:v>
      </x:c>
      <x:c r="Z297" s="87" t="n">
        <x:f>T297*'01 Base Costs'!$B$8</x:f>
        <x:v>52690953599.99999</x:v>
      </x:c>
      <x:c r="AA297" s="87" t="n">
        <x:f>Z297*'01 Base Costs'!$B$11</x:f>
        <x:v>2634547680</x:v>
      </x:c>
      <x:c r="AB297" s="87" t="n">
        <x:f>Z297-AA297</x:f>
        <x:v>50056405919.99999</x:v>
      </x:c>
      <x:c r="AC297" s="87" t="n">
        <x:f>O297+Y297</x:f>
        <x:v>70141713408</x:v>
      </x:c>
      <x:c r="AD297" s="87" t="n">
        <x:f>AB297-AC297</x:f>
        <x:v>-20085307488.000008</x:v>
      </x:c>
      <x:c r="AE297" s="87" t="n">
        <x:f>AD297/D297</x:f>
        <x:v>-3347551248.0000014</x:v>
      </x:c>
      <x:c r="AF297" s="87" t="n">
        <x:f>AD297/P297</x:f>
        <x:v>-1115850416.0000005</x:v>
      </x:c>
      <x:c r="AG297" s="87" t="n">
        <x:f>IF(T297=0,0,AC297/T297/(1-'01 Base Costs'!$B$11))</x:f>
        <x:v>1055003751.353693</x:v>
      </x:c>
      <x:c r="AH297" s="88" t="str">
        <x:f>IF(AD297&gt;0,"PROFIT","LOSS")</x:f>
        <x:v>LOSS</x:v>
      </x:c>
      <x:c r="AI297" s="89" t="str">
        <x:v>Base 6M Omega. MCT certificate bought with ISK market price. 10-pack at 20% off.</x:v>
      </x:c>
    </x:row>
    <x:row r="298">
      <x:c r="A298" s="86" t="n">
        <x:v>296</x:v>
      </x:c>
      <x:c r="B298" s="88" t="str">
        <x:v>Base</x:v>
      </x:c>
      <x:c r="C298" s="88" t="str">
        <x:v>6M Omega</x:v>
      </x:c>
      <x:c r="D298" s="88" t="n">
        <x:v>6</x:v>
      </x:c>
      <x:c r="E298" s="88" t="n">
        <x:v>3</x:v>
      </x:c>
      <x:c r="F298" s="88" t="str">
        <x:v>Market MCT certificate</x:v>
      </x:c>
      <x:c r="G298" s="88" t="str">
        <x:v>NES 50-pack extractor 20% sale</x:v>
      </x:c>
      <x:c r="H298" s="87" t="n">
        <x:f>'01 Base Costs'!$B$23</x:f>
        <x:v>2100</x:v>
      </x:c>
      <x:c r="I298" s="87" t="n">
        <x:f>0</x:f>
        <x:v>0</x:v>
      </x:c>
      <x:c r="J298" s="87" t="n">
        <x:f>'01 Base Costs'!$B$10</x:f>
        <x:v>2332850000</x:v>
      </x:c>
      <x:c r="K298" s="87" t="n">
        <x:f>D298*(E298-1)*I298</x:f>
        <x:v>0</x:v>
      </x:c>
      <x:c r="L298" s="87" t="n">
        <x:f>D298*(E298-1)*J298</x:f>
        <x:v>27994200000</x:v>
      </x:c>
      <x:c r="M298" s="87" t="n">
        <x:f>0</x:f>
        <x:v>0</x:v>
      </x:c>
      <x:c r="N298" s="87" t="n">
        <x:f>H298+K298+M298</x:f>
        <x:v>2100</x:v>
      </x:c>
      <x:c r="O298" s="87" t="n">
        <x:f>N298*'01 Base Costs'!$B$7+L298</x:f>
        <x:v>38095200000</x:v>
      </x:c>
      <x:c r="P298" s="87" t="n">
        <x:f>D298*E298</x:f>
        <x:v>18</x:v>
      </x:c>
      <x:c r="Q298" s="87" t="n">
        <x:f>P298*'01 Base Costs'!$B$12</x:f>
        <x:v>34992000</x:v>
      </x:c>
      <x:c r="R298" s="87" t="n">
        <x:f>0</x:f>
        <x:v>0</x:v>
      </x:c>
      <x:c r="S298" s="87" t="n">
        <x:f>Q298+R298</x:f>
        <x:v>34992000</x:v>
      </x:c>
      <x:c r="T298" s="141" t="n">
        <x:f>S298/'01 Base Costs'!$B$14</x:f>
        <x:v>69.984</x:v>
      </x:c>
      <x:c r="U298" s="87" t="n">
        <x:f>INT(T298)</x:f>
        <x:v>69</x:v>
      </x:c>
      <x:c r="V298" s="87" t="n">
        <x:f>S298-U298*'01 Base Costs'!$B$14</x:f>
        <x:v>492000</x:v>
      </x:c>
      <x:c r="W298" s="120" t="n">
        <x:f>'01 Base Costs'!$B$20*0.8/50</x:f>
        <x:v>89.6</x:v>
      </x:c>
      <x:c r="X298" s="120" t="n">
        <x:f>0</x:f>
        <x:v>0</x:v>
      </x:c>
      <x:c r="Y298" s="87" t="n">
        <x:f>T298*(W298*'01 Base Costs'!$B$7+X298)</x:f>
        <x:v>30161424383.999996</x:v>
      </x:c>
      <x:c r="Z298" s="87" t="n">
        <x:f>T298*'01 Base Costs'!$B$8</x:f>
        <x:v>52690953599.99999</x:v>
      </x:c>
      <x:c r="AA298" s="87" t="n">
        <x:f>Z298*'01 Base Costs'!$B$11</x:f>
        <x:v>2634547680</x:v>
      </x:c>
      <x:c r="AB298" s="87" t="n">
        <x:f>Z298-AA298</x:f>
        <x:v>50056405919.99999</x:v>
      </x:c>
      <x:c r="AC298" s="87" t="n">
        <x:f>O298+Y298</x:f>
        <x:v>68256624384</x:v>
      </x:c>
      <x:c r="AD298" s="87" t="n">
        <x:f>AB298-AC298</x:f>
        <x:v>-18200218464.000008</x:v>
      </x:c>
      <x:c r="AE298" s="87" t="n">
        <x:f>AD298/D298</x:f>
        <x:v>-3033369744.0000014</x:v>
      </x:c>
      <x:c r="AF298" s="87" t="n">
        <x:f>AD298/P298</x:f>
        <x:v>-1011123248.0000005</x:v>
      </x:c>
      <x:c r="AG298" s="87" t="n">
        <x:f>IF(T298=0,0,AC298/T298/(1-'01 Base Costs'!$B$11))</x:f>
        <x:v>1026650067.1431668</x:v>
      </x:c>
      <x:c r="AH298" s="88" t="str">
        <x:f>IF(AD298&gt;0,"PROFIT","LOSS")</x:f>
        <x:v>LOSS</x:v>
      </x:c>
      <x:c r="AI298" s="89" t="str">
        <x:v>Base 6M Omega. MCT certificate bought with ISK market price. 50-pack at 20% off.</x:v>
      </x:c>
    </x:row>
    <x:row r="299">
      <x:c r="A299" s="86" t="n">
        <x:v>297</x:v>
      </x:c>
      <x:c r="B299" s="88" t="str">
        <x:v>Base</x:v>
      </x:c>
      <x:c r="C299" s="88" t="str">
        <x:v>6M Omega</x:v>
      </x:c>
      <x:c r="D299" s="88" t="n">
        <x:v>6</x:v>
      </x:c>
      <x:c r="E299" s="88" t="n">
        <x:v>3</x:v>
      </x:c>
      <x:c r="F299" s="88" t="str">
        <x:v>Market MCT certificate</x:v>
      </x:c>
      <x:c r="G299" s="88" t="str">
        <x:v>Market Skill Extractor</x:v>
      </x:c>
      <x:c r="H299" s="87" t="n">
        <x:f>'01 Base Costs'!$B$23</x:f>
        <x:v>2100</x:v>
      </x:c>
      <x:c r="I299" s="87" t="n">
        <x:f>0</x:f>
        <x:v>0</x:v>
      </x:c>
      <x:c r="J299" s="87" t="n">
        <x:f>'01 Base Costs'!$B$10</x:f>
        <x:v>2332850000</x:v>
      </x:c>
      <x:c r="K299" s="87" t="n">
        <x:f>D299*(E299-1)*I299</x:f>
        <x:v>0</x:v>
      </x:c>
      <x:c r="L299" s="87" t="n">
        <x:f>D299*(E299-1)*J299</x:f>
        <x:v>27994200000</x:v>
      </x:c>
      <x:c r="M299" s="87" t="n">
        <x:f>0</x:f>
        <x:v>0</x:v>
      </x:c>
      <x:c r="N299" s="87" t="n">
        <x:f>H299+K299+M299</x:f>
        <x:v>2100</x:v>
      </x:c>
      <x:c r="O299" s="87" t="n">
        <x:f>N299*'01 Base Costs'!$B$7+L299</x:f>
        <x:v>38095200000</x:v>
      </x:c>
      <x:c r="P299" s="87" t="n">
        <x:f>D299*E299</x:f>
        <x:v>18</x:v>
      </x:c>
      <x:c r="Q299" s="87" t="n">
        <x:f>P299*'01 Base Costs'!$B$12</x:f>
        <x:v>34992000</x:v>
      </x:c>
      <x:c r="R299" s="87" t="n">
        <x:f>0</x:f>
        <x:v>0</x:v>
      </x:c>
      <x:c r="S299" s="87" t="n">
        <x:f>Q299+R299</x:f>
        <x:v>34992000</x:v>
      </x:c>
      <x:c r="T299" s="141" t="n">
        <x:f>S299/'01 Base Costs'!$B$14</x:f>
        <x:v>69.984</x:v>
      </x:c>
      <x:c r="U299" s="87" t="n">
        <x:f>INT(T299)</x:f>
        <x:v>69</x:v>
      </x:c>
      <x:c r="V299" s="87" t="n">
        <x:f>S299-U299*'01 Base Costs'!$B$14</x:f>
        <x:v>492000</x:v>
      </x:c>
      <x:c r="W299" s="120" t="n">
        <x:f>0</x:f>
        <x:v>0</x:v>
      </x:c>
      <x:c r="X299" s="120" t="n">
        <x:f>'01 Base Costs'!$B$9</x:f>
        <x:v>463500000</x:v>
      </x:c>
      <x:c r="Y299" s="87" t="n">
        <x:f>T299*(W299*'01 Base Costs'!$B$7+X299)</x:f>
        <x:v>32437583999.999996</x:v>
      </x:c>
      <x:c r="Z299" s="87" t="n">
        <x:f>T299*'01 Base Costs'!$B$8</x:f>
        <x:v>52690953599.99999</x:v>
      </x:c>
      <x:c r="AA299" s="87" t="n">
        <x:f>Z299*'01 Base Costs'!$B$11</x:f>
        <x:v>2634547680</x:v>
      </x:c>
      <x:c r="AB299" s="87" t="n">
        <x:f>Z299-AA299</x:f>
        <x:v>50056405919.99999</x:v>
      </x:c>
      <x:c r="AC299" s="87" t="n">
        <x:f>O299+Y299</x:f>
        <x:v>70532784000</x:v>
      </x:c>
      <x:c r="AD299" s="87" t="n">
        <x:f>AB299-AC299</x:f>
        <x:v>-20476378080.000008</x:v>
      </x:c>
      <x:c r="AE299" s="87" t="n">
        <x:f>AD299/D299</x:f>
        <x:v>-3412729680.0000014</x:v>
      </x:c>
      <x:c r="AF299" s="87" t="n">
        <x:f>AD299/P299</x:f>
        <x:v>-1137576560.0000005</x:v>
      </x:c>
      <x:c r="AG299" s="87" t="n">
        <x:f>IF(T299=0,0,AC299/T299/(1-'01 Base Costs'!$B$11))</x:f>
        <x:v>1060885856.616851</x:v>
      </x:c>
      <x:c r="AH299" s="88" t="str">
        <x:f>IF(AD299&gt;0,"PROFIT","LOSS")</x:f>
        <x:v>LOSS</x:v>
      </x:c>
      <x:c r="AI299" s="89" t="str">
        <x:v>Base 6M Omega. MCT certificate bought with ISK market price. Extractor bought on market with ISK.</x:v>
      </x:c>
    </x:row>
    <x:row r="300">
      <x:c r="A300" s="86" t="n">
        <x:v>298</x:v>
      </x:c>
      <x:c r="B300" s="88" t="str">
        <x:v>Base</x:v>
      </x:c>
      <x:c r="C300" s="88" t="str">
        <x:v>12M Omega</x:v>
      </x:c>
      <x:c r="D300" s="88" t="n">
        <x:v>12</x:v>
      </x:c>
      <x:c r="E300" s="88" t="n">
        <x:v>1</x:v>
      </x:c>
      <x:c r="F300" s="88" t="str">
        <x:v>No MCT</x:v>
      </x:c>
      <x:c r="G300" s="88" t="str">
        <x:v>NES single extractor</x:v>
      </x:c>
      <x:c r="H300" s="87" t="n">
        <x:f>'01 Base Costs'!$B$24</x:f>
        <x:v>3600</x:v>
      </x:c>
      <x:c r="I300" s="87" t="n">
        <x:f>0</x:f>
        <x:v>0</x:v>
      </x:c>
      <x:c r="J300" s="87" t="n">
        <x:f>0</x:f>
        <x:v>0</x:v>
      </x:c>
      <x:c r="K300" s="87" t="n">
        <x:f>D300*(E300-1)*I300</x:f>
        <x:v>0</x:v>
      </x:c>
      <x:c r="L300" s="87" t="n">
        <x:f>D300*(E300-1)*J300</x:f>
        <x:v>0</x:v>
      </x:c>
      <x:c r="M300" s="87" t="n">
        <x:f>0</x:f>
        <x:v>0</x:v>
      </x:c>
      <x:c r="N300" s="87" t="n">
        <x:f>H300+K300+M300</x:f>
        <x:v>3600</x:v>
      </x:c>
      <x:c r="O300" s="87" t="n">
        <x:f>N300*'01 Base Costs'!$B$7+L300</x:f>
        <x:v>17316000000</x:v>
      </x:c>
      <x:c r="P300" s="87" t="n">
        <x:f>D300*E300</x:f>
        <x:v>12</x:v>
      </x:c>
      <x:c r="Q300" s="87" t="n">
        <x:f>P300*'01 Base Costs'!$B$12</x:f>
        <x:v>23328000</x:v>
      </x:c>
      <x:c r="R300" s="87" t="n">
        <x:f>0</x:f>
        <x:v>0</x:v>
      </x:c>
      <x:c r="S300" s="87" t="n">
        <x:f>Q300+R300</x:f>
        <x:v>23328000</x:v>
      </x:c>
      <x:c r="T300" s="141" t="n">
        <x:f>S300/'01 Base Costs'!$B$14</x:f>
        <x:v>46.656</x:v>
      </x:c>
      <x:c r="U300" s="87" t="n">
        <x:f>INT(T300)</x:f>
        <x:v>46</x:v>
      </x:c>
      <x:c r="V300" s="87" t="n">
        <x:f>S300-U300*'01 Base Costs'!$B$14</x:f>
        <x:v>328000</x:v>
      </x:c>
      <x:c r="W300" s="120" t="n">
        <x:f>'01 Base Costs'!$B$17</x:f>
        <x:v>140</x:v>
      </x:c>
      <x:c r="X300" s="120" t="n">
        <x:f>0</x:f>
        <x:v>0</x:v>
      </x:c>
      <x:c r="Y300" s="87" t="n">
        <x:f>T300*(W300*'01 Base Costs'!$B$7+X300)</x:f>
        <x:v>31418150400</x:v>
      </x:c>
      <x:c r="Z300" s="87" t="n">
        <x:f>T300*'01 Base Costs'!$B$8</x:f>
        <x:v>35127302400</x:v>
      </x:c>
      <x:c r="AA300" s="87" t="n">
        <x:f>Z300*'01 Base Costs'!$B$11</x:f>
        <x:v>1756365120</x:v>
      </x:c>
      <x:c r="AB300" s="87" t="n">
        <x:f>Z300-AA300</x:f>
        <x:v>33370937280</x:v>
      </x:c>
      <x:c r="AC300" s="87" t="n">
        <x:f>O300+Y300</x:f>
        <x:v>48734150400</x:v>
      </x:c>
      <x:c r="AD300" s="87" t="n">
        <x:f>AB300-AC300</x:f>
        <x:v>-15363213120</x:v>
      </x:c>
      <x:c r="AE300" s="87" t="n">
        <x:f>AD300/D300</x:f>
        <x:v>-1280267760</x:v>
      </x:c>
      <x:c r="AF300" s="87" t="n">
        <x:f>AD300/P300</x:f>
        <x:v>-1280267760</x:v>
      </x:c>
      <x:c r="AG300" s="87" t="n">
        <x:f>IF(T300=0,0,AC300/T300/(1-'01 Base Costs'!$B$11))</x:f>
        <x:v>1099517868.745939</x:v>
      </x:c>
      <x:c r="AH300" s="88" t="str">
        <x:f>IF(AD300&gt;0,"PROFIT","LOSS")</x:f>
        <x:v>LOSS</x:v>
      </x:c>
      <x:c r="AI300" s="89" t="str">
        <x:v>Base 12M Omega. One training queue only. Base single extractor.</x:v>
      </x:c>
    </x:row>
    <x:row r="301">
      <x:c r="A301" s="86" t="n">
        <x:v>299</x:v>
      </x:c>
      <x:c r="B301" s="88" t="str">
        <x:v>Base</x:v>
      </x:c>
      <x:c r="C301" s="88" t="str">
        <x:v>12M Omega</x:v>
      </x:c>
      <x:c r="D301" s="88" t="n">
        <x:v>12</x:v>
      </x:c>
      <x:c r="E301" s="88" t="n">
        <x:v>1</x:v>
      </x:c>
      <x:c r="F301" s="88" t="str">
        <x:v>No MCT</x:v>
      </x:c>
      <x:c r="G301" s="88" t="str">
        <x:v>NES 5-pack extractor</x:v>
      </x:c>
      <x:c r="H301" s="87" t="n">
        <x:f>'01 Base Costs'!$B$24</x:f>
        <x:v>3600</x:v>
      </x:c>
      <x:c r="I301" s="87" t="n">
        <x:f>0</x:f>
        <x:v>0</x:v>
      </x:c>
      <x:c r="J301" s="87" t="n">
        <x:f>0</x:f>
        <x:v>0</x:v>
      </x:c>
      <x:c r="K301" s="87" t="n">
        <x:f>D301*(E301-1)*I301</x:f>
        <x:v>0</x:v>
      </x:c>
      <x:c r="L301" s="87" t="n">
        <x:f>D301*(E301-1)*J301</x:f>
        <x:v>0</x:v>
      </x:c>
      <x:c r="M301" s="87" t="n">
        <x:f>0</x:f>
        <x:v>0</x:v>
      </x:c>
      <x:c r="N301" s="87" t="n">
        <x:f>H301+K301+M301</x:f>
        <x:v>3600</x:v>
      </x:c>
      <x:c r="O301" s="87" t="n">
        <x:f>N301*'01 Base Costs'!$B$7+L301</x:f>
        <x:v>17316000000</x:v>
      </x:c>
      <x:c r="P301" s="87" t="n">
        <x:f>D301*E301</x:f>
        <x:v>12</x:v>
      </x:c>
      <x:c r="Q301" s="87" t="n">
        <x:f>P301*'01 Base Costs'!$B$12</x:f>
        <x:v>23328000</x:v>
      </x:c>
      <x:c r="R301" s="87" t="n">
        <x:f>0</x:f>
        <x:v>0</x:v>
      </x:c>
      <x:c r="S301" s="87" t="n">
        <x:f>Q301+R301</x:f>
        <x:v>23328000</x:v>
      </x:c>
      <x:c r="T301" s="141" t="n">
        <x:f>S301/'01 Base Costs'!$B$14</x:f>
        <x:v>46.656</x:v>
      </x:c>
      <x:c r="U301" s="87" t="n">
        <x:f>INT(T301)</x:f>
        <x:v>46</x:v>
      </x:c>
      <x:c r="V301" s="87" t="n">
        <x:f>S301-U301*'01 Base Costs'!$B$14</x:f>
        <x:v>328000</x:v>
      </x:c>
      <x:c r="W301" s="120" t="n">
        <x:f>'01 Base Costs'!$B$18/5</x:f>
        <x:v>126</x:v>
      </x:c>
      <x:c r="X301" s="120" t="n">
        <x:f>0</x:f>
        <x:v>0</x:v>
      </x:c>
      <x:c r="Y301" s="87" t="n">
        <x:f>T301*(W301*'01 Base Costs'!$B$7+X301)</x:f>
        <x:v>28276335360</x:v>
      </x:c>
      <x:c r="Z301" s="87" t="n">
        <x:f>T301*'01 Base Costs'!$B$8</x:f>
        <x:v>35127302400</x:v>
      </x:c>
      <x:c r="AA301" s="87" t="n">
        <x:f>Z301*'01 Base Costs'!$B$11</x:f>
        <x:v>1756365120</x:v>
      </x:c>
      <x:c r="AB301" s="87" t="n">
        <x:f>Z301-AA301</x:f>
        <x:v>33370937280</x:v>
      </x:c>
      <x:c r="AC301" s="87" t="n">
        <x:f>O301+Y301</x:f>
        <x:v>45592335360</x:v>
      </x:c>
      <x:c r="AD301" s="87" t="n">
        <x:f>AB301-AC301</x:f>
        <x:v>-12221398080</x:v>
      </x:c>
      <x:c r="AE301" s="87" t="n">
        <x:f>AD301/D301</x:f>
        <x:v>-1018449840</x:v>
      </x:c>
      <x:c r="AF301" s="87" t="n">
        <x:f>AD301/P301</x:f>
        <x:v>-1018449840</x:v>
      </x:c>
      <x:c r="AG301" s="87" t="n">
        <x:f>IF(T301=0,0,AC301/T301/(1-'01 Base Costs'!$B$11))</x:f>
        <x:v>1028633658.2196232</x:v>
      </x:c>
      <x:c r="AH301" s="88" t="str">
        <x:f>IF(AD301&gt;0,"PROFIT","LOSS")</x:f>
        <x:v>LOSS</x:v>
      </x:c>
      <x:c r="AI301" s="89" t="str">
        <x:v>Base 12M Omega. One training queue only. Base 5-pack average.</x:v>
      </x:c>
    </x:row>
    <x:row r="302">
      <x:c r="A302" s="86" t="n">
        <x:v>300</x:v>
      </x:c>
      <x:c r="B302" s="88" t="str">
        <x:v>Base</x:v>
      </x:c>
      <x:c r="C302" s="88" t="str">
        <x:v>12M Omega</x:v>
      </x:c>
      <x:c r="D302" s="88" t="n">
        <x:v>12</x:v>
      </x:c>
      <x:c r="E302" s="88" t="n">
        <x:v>1</x:v>
      </x:c>
      <x:c r="F302" s="88" t="str">
        <x:v>No MCT</x:v>
      </x:c>
      <x:c r="G302" s="88" t="str">
        <x:v>NES 10-pack extractor</x:v>
      </x:c>
      <x:c r="H302" s="87" t="n">
        <x:f>'01 Base Costs'!$B$24</x:f>
        <x:v>3600</x:v>
      </x:c>
      <x:c r="I302" s="87" t="n">
        <x:f>0</x:f>
        <x:v>0</x:v>
      </x:c>
      <x:c r="J302" s="87" t="n">
        <x:f>0</x:f>
        <x:v>0</x:v>
      </x:c>
      <x:c r="K302" s="87" t="n">
        <x:f>D302*(E302-1)*I302</x:f>
        <x:v>0</x:v>
      </x:c>
      <x:c r="L302" s="87" t="n">
        <x:f>D302*(E302-1)*J302</x:f>
        <x:v>0</x:v>
      </x:c>
      <x:c r="M302" s="87" t="n">
        <x:f>0</x:f>
        <x:v>0</x:v>
      </x:c>
      <x:c r="N302" s="87" t="n">
        <x:f>H302+K302+M302</x:f>
        <x:v>3600</x:v>
      </x:c>
      <x:c r="O302" s="87" t="n">
        <x:f>N302*'01 Base Costs'!$B$7+L302</x:f>
        <x:v>17316000000</x:v>
      </x:c>
      <x:c r="P302" s="87" t="n">
        <x:f>D302*E302</x:f>
        <x:v>12</x:v>
      </x:c>
      <x:c r="Q302" s="87" t="n">
        <x:f>P302*'01 Base Costs'!$B$12</x:f>
        <x:v>23328000</x:v>
      </x:c>
      <x:c r="R302" s="87" t="n">
        <x:f>0</x:f>
        <x:v>0</x:v>
      </x:c>
      <x:c r="S302" s="87" t="n">
        <x:f>Q302+R302</x:f>
        <x:v>23328000</x:v>
      </x:c>
      <x:c r="T302" s="141" t="n">
        <x:f>S302/'01 Base Costs'!$B$14</x:f>
        <x:v>46.656</x:v>
      </x:c>
      <x:c r="U302" s="87" t="n">
        <x:f>INT(T302)</x:f>
        <x:v>46</x:v>
      </x:c>
      <x:c r="V302" s="87" t="n">
        <x:f>S302-U302*'01 Base Costs'!$B$14</x:f>
        <x:v>328000</x:v>
      </x:c>
      <x:c r="W302" s="120" t="n">
        <x:f>'01 Base Costs'!$B$19/10</x:f>
        <x:v>119</x:v>
      </x:c>
      <x:c r="X302" s="120" t="n">
        <x:f>0</x:f>
        <x:v>0</x:v>
      </x:c>
      <x:c r="Y302" s="87" t="n">
        <x:f>T302*(W302*'01 Base Costs'!$B$7+X302)</x:f>
        <x:v>26705427840</x:v>
      </x:c>
      <x:c r="Z302" s="87" t="n">
        <x:f>T302*'01 Base Costs'!$B$8</x:f>
        <x:v>35127302400</x:v>
      </x:c>
      <x:c r="AA302" s="87" t="n">
        <x:f>Z302*'01 Base Costs'!$B$11</x:f>
        <x:v>1756365120</x:v>
      </x:c>
      <x:c r="AB302" s="87" t="n">
        <x:f>Z302-AA302</x:f>
        <x:v>33370937280</x:v>
      </x:c>
      <x:c r="AC302" s="87" t="n">
        <x:f>O302+Y302</x:f>
        <x:v>44021427840</x:v>
      </x:c>
      <x:c r="AD302" s="87" t="n">
        <x:f>AB302-AC302</x:f>
        <x:v>-10650490560</x:v>
      </x:c>
      <x:c r="AE302" s="87" t="n">
        <x:f>AD302/D302</x:f>
        <x:v>-887540880</x:v>
      </x:c>
      <x:c r="AF302" s="87" t="n">
        <x:f>AD302/P302</x:f>
        <x:v>-887540880</x:v>
      </x:c>
      <x:c r="AG302" s="87" t="n">
        <x:f>IF(T302=0,0,AC302/T302/(1-'01 Base Costs'!$B$11))</x:f>
        <x:v>993191552.9564654</x:v>
      </x:c>
      <x:c r="AH302" s="88" t="str">
        <x:f>IF(AD302&gt;0,"PROFIT","LOSS")</x:f>
        <x:v>LOSS</x:v>
      </x:c>
      <x:c r="AI302" s="89" t="str">
        <x:v>Base 12M Omega. One training queue only. Base 10-pack average.</x:v>
      </x:c>
    </x:row>
    <x:row r="303">
      <x:c r="A303" s="86" t="n">
        <x:v>301</x:v>
      </x:c>
      <x:c r="B303" s="88" t="str">
        <x:v>Base</x:v>
      </x:c>
      <x:c r="C303" s="88" t="str">
        <x:v>12M Omega</x:v>
      </x:c>
      <x:c r="D303" s="88" t="n">
        <x:v>12</x:v>
      </x:c>
      <x:c r="E303" s="88" t="n">
        <x:v>1</x:v>
      </x:c>
      <x:c r="F303" s="88" t="str">
        <x:v>No MCT</x:v>
      </x:c>
      <x:c r="G303" s="88" t="str">
        <x:v>NES 50-pack extractor</x:v>
      </x:c>
      <x:c r="H303" s="87" t="n">
        <x:f>'01 Base Costs'!$B$24</x:f>
        <x:v>3600</x:v>
      </x:c>
      <x:c r="I303" s="87" t="n">
        <x:f>0</x:f>
        <x:v>0</x:v>
      </x:c>
      <x:c r="J303" s="87" t="n">
        <x:f>0</x:f>
        <x:v>0</x:v>
      </x:c>
      <x:c r="K303" s="87" t="n">
        <x:f>D303*(E303-1)*I303</x:f>
        <x:v>0</x:v>
      </x:c>
      <x:c r="L303" s="87" t="n">
        <x:f>D303*(E303-1)*J303</x:f>
        <x:v>0</x:v>
      </x:c>
      <x:c r="M303" s="87" t="n">
        <x:f>0</x:f>
        <x:v>0</x:v>
      </x:c>
      <x:c r="N303" s="87" t="n">
        <x:f>H303+K303+M303</x:f>
        <x:v>3600</x:v>
      </x:c>
      <x:c r="O303" s="87" t="n">
        <x:f>N303*'01 Base Costs'!$B$7+L303</x:f>
        <x:v>17316000000</x:v>
      </x:c>
      <x:c r="P303" s="87" t="n">
        <x:f>D303*E303</x:f>
        <x:v>12</x:v>
      </x:c>
      <x:c r="Q303" s="87" t="n">
        <x:f>P303*'01 Base Costs'!$B$12</x:f>
        <x:v>23328000</x:v>
      </x:c>
      <x:c r="R303" s="87" t="n">
        <x:f>0</x:f>
        <x:v>0</x:v>
      </x:c>
      <x:c r="S303" s="87" t="n">
        <x:f>Q303+R303</x:f>
        <x:v>23328000</x:v>
      </x:c>
      <x:c r="T303" s="141" t="n">
        <x:f>S303/'01 Base Costs'!$B$14</x:f>
        <x:v>46.656</x:v>
      </x:c>
      <x:c r="U303" s="87" t="n">
        <x:f>INT(T303)</x:f>
        <x:v>46</x:v>
      </x:c>
      <x:c r="V303" s="87" t="n">
        <x:f>S303-U303*'01 Base Costs'!$B$14</x:f>
        <x:v>328000</x:v>
      </x:c>
      <x:c r="W303" s="120" t="n">
        <x:f>'01 Base Costs'!$B$20/50</x:f>
        <x:v>112</x:v>
      </x:c>
      <x:c r="X303" s="120" t="n">
        <x:f>0</x:f>
        <x:v>0</x:v>
      </x:c>
      <x:c r="Y303" s="87" t="n">
        <x:f>T303*(W303*'01 Base Costs'!$B$7+X303)</x:f>
        <x:v>25134520320</x:v>
      </x:c>
      <x:c r="Z303" s="87" t="n">
        <x:f>T303*'01 Base Costs'!$B$8</x:f>
        <x:v>35127302400</x:v>
      </x:c>
      <x:c r="AA303" s="87" t="n">
        <x:f>Z303*'01 Base Costs'!$B$11</x:f>
        <x:v>1756365120</x:v>
      </x:c>
      <x:c r="AB303" s="87" t="n">
        <x:f>Z303-AA303</x:f>
        <x:v>33370937280</x:v>
      </x:c>
      <x:c r="AC303" s="87" t="n">
        <x:f>O303+Y303</x:f>
        <x:v>42450520320</x:v>
      </x:c>
      <x:c r="AD303" s="87" t="n">
        <x:f>AB303-AC303</x:f>
        <x:v>-9079583040</x:v>
      </x:c>
      <x:c r="AE303" s="87" t="n">
        <x:f>AD303/D303</x:f>
        <x:v>-756631920</x:v>
      </x:c>
      <x:c r="AF303" s="87" t="n">
        <x:f>AD303/P303</x:f>
        <x:v>-756631920</x:v>
      </x:c>
      <x:c r="AG303" s="87" t="n">
        <x:f>IF(T303=0,0,AC303/T303/(1-'01 Base Costs'!$B$11))</x:f>
        <x:v>957749447.6933074</x:v>
      </x:c>
      <x:c r="AH303" s="88" t="str">
        <x:f>IF(AD303&gt;0,"PROFIT","LOSS")</x:f>
        <x:v>LOSS</x:v>
      </x:c>
      <x:c r="AI303" s="89" t="str">
        <x:v>Base 12M Omega. One training queue only. Base 50-pack average.</x:v>
      </x:c>
    </x:row>
    <x:row r="304">
      <x:c r="A304" s="86" t="n">
        <x:v>302</x:v>
      </x:c>
      <x:c r="B304" s="88" t="str">
        <x:v>Base</x:v>
      </x:c>
      <x:c r="C304" s="88" t="str">
        <x:v>12M Omega</x:v>
      </x:c>
      <x:c r="D304" s="88" t="n">
        <x:v>12</x:v>
      </x:c>
      <x:c r="E304" s="88" t="n">
        <x:v>1</x:v>
      </x:c>
      <x:c r="F304" s="88" t="str">
        <x:v>No MCT</x:v>
      </x:c>
      <x:c r="G304" s="88" t="str">
        <x:v>NES 3-for-2 extractor sale</x:v>
      </x:c>
      <x:c r="H304" s="87" t="n">
        <x:f>'01 Base Costs'!$B$24</x:f>
        <x:v>3600</x:v>
      </x:c>
      <x:c r="I304" s="87" t="n">
        <x:f>0</x:f>
        <x:v>0</x:v>
      </x:c>
      <x:c r="J304" s="87" t="n">
        <x:f>0</x:f>
        <x:v>0</x:v>
      </x:c>
      <x:c r="K304" s="87" t="n">
        <x:f>D304*(E304-1)*I304</x:f>
        <x:v>0</x:v>
      </x:c>
      <x:c r="L304" s="87" t="n">
        <x:f>D304*(E304-1)*J304</x:f>
        <x:v>0</x:v>
      </x:c>
      <x:c r="M304" s="87" t="n">
        <x:f>0</x:f>
        <x:v>0</x:v>
      </x:c>
      <x:c r="N304" s="87" t="n">
        <x:f>H304+K304+M304</x:f>
        <x:v>3600</x:v>
      </x:c>
      <x:c r="O304" s="87" t="n">
        <x:f>N304*'01 Base Costs'!$B$7+L304</x:f>
        <x:v>17316000000</x:v>
      </x:c>
      <x:c r="P304" s="87" t="n">
        <x:f>D304*E304</x:f>
        <x:v>12</x:v>
      </x:c>
      <x:c r="Q304" s="87" t="n">
        <x:f>P304*'01 Base Costs'!$B$12</x:f>
        <x:v>23328000</x:v>
      </x:c>
      <x:c r="R304" s="87" t="n">
        <x:f>0</x:f>
        <x:v>0</x:v>
      </x:c>
      <x:c r="S304" s="87" t="n">
        <x:f>Q304+R304</x:f>
        <x:v>23328000</x:v>
      </x:c>
      <x:c r="T304" s="141" t="n">
        <x:f>S304/'01 Base Costs'!$B$14</x:f>
        <x:v>46.656</x:v>
      </x:c>
      <x:c r="U304" s="87" t="n">
        <x:f>INT(T304)</x:f>
        <x:v>46</x:v>
      </x:c>
      <x:c r="V304" s="87" t="n">
        <x:f>S304-U304*'01 Base Costs'!$B$14</x:f>
        <x:v>328000</x:v>
      </x:c>
      <x:c r="W304" s="120" t="n">
        <x:f>'01 Base Costs'!$B$17*2/3</x:f>
        <x:v>93.33333333333333</x:v>
      </x:c>
      <x:c r="X304" s="120" t="n">
        <x:f>0</x:f>
        <x:v>0</x:v>
      </x:c>
      <x:c r="Y304" s="87" t="n">
        <x:f>T304*(W304*'01 Base Costs'!$B$7+X304)</x:f>
        <x:v>20945433600</x:v>
      </x:c>
      <x:c r="Z304" s="87" t="n">
        <x:f>T304*'01 Base Costs'!$B$8</x:f>
        <x:v>35127302400</x:v>
      </x:c>
      <x:c r="AA304" s="87" t="n">
        <x:f>Z304*'01 Base Costs'!$B$11</x:f>
        <x:v>1756365120</x:v>
      </x:c>
      <x:c r="AB304" s="87" t="n">
        <x:f>Z304-AA304</x:f>
        <x:v>33370937280</x:v>
      </x:c>
      <x:c r="AC304" s="87" t="n">
        <x:f>O304+Y304</x:f>
        <x:v>38261433600</x:v>
      </x:c>
      <x:c r="AD304" s="87" t="n">
        <x:f>AB304-AC304</x:f>
        <x:v>-4890496320</x:v>
      </x:c>
      <x:c r="AE304" s="87" t="n">
        <x:f>AD304/D304</x:f>
        <x:v>-407541360</x:v>
      </x:c>
      <x:c r="AF304" s="87" t="n">
        <x:f>AD304/P304</x:f>
        <x:v>-407541360</x:v>
      </x:c>
      <x:c r="AG304" s="87" t="n">
        <x:f>IF(T304=0,0,AC304/T304/(1-'01 Base Costs'!$B$11))</x:f>
        <x:v>863237166.991553</x:v>
      </x:c>
      <x:c r="AH304" s="88" t="str">
        <x:f>IF(AD304&gt;0,"PROFIT","LOSS")</x:f>
        <x:v>LOSS</x:v>
      </x:c>
      <x:c r="AI304" s="89" t="str">
        <x:v>Base 12M Omega. One training queue only. Extractor 3-for-2 sale.</x:v>
      </x:c>
    </x:row>
    <x:row r="305">
      <x:c r="A305" s="86" t="n">
        <x:v>303</x:v>
      </x:c>
      <x:c r="B305" s="88" t="str">
        <x:v>Base</x:v>
      </x:c>
      <x:c r="C305" s="88" t="str">
        <x:v>12M Omega</x:v>
      </x:c>
      <x:c r="D305" s="88" t="n">
        <x:v>12</x:v>
      </x:c>
      <x:c r="E305" s="88" t="n">
        <x:v>1</x:v>
      </x:c>
      <x:c r="F305" s="88" t="str">
        <x:v>No MCT</x:v>
      </x:c>
      <x:c r="G305" s="88" t="str">
        <x:v>NES 2-for-1 extractor sale</x:v>
      </x:c>
      <x:c r="H305" s="87" t="n">
        <x:f>'01 Base Costs'!$B$24</x:f>
        <x:v>3600</x:v>
      </x:c>
      <x:c r="I305" s="87" t="n">
        <x:f>0</x:f>
        <x:v>0</x:v>
      </x:c>
      <x:c r="J305" s="87" t="n">
        <x:f>0</x:f>
        <x:v>0</x:v>
      </x:c>
      <x:c r="K305" s="87" t="n">
        <x:f>D305*(E305-1)*I305</x:f>
        <x:v>0</x:v>
      </x:c>
      <x:c r="L305" s="87" t="n">
        <x:f>D305*(E305-1)*J305</x:f>
        <x:v>0</x:v>
      </x:c>
      <x:c r="M305" s="87" t="n">
        <x:f>0</x:f>
        <x:v>0</x:v>
      </x:c>
      <x:c r="N305" s="87" t="n">
        <x:f>H305+K305+M305</x:f>
        <x:v>3600</x:v>
      </x:c>
      <x:c r="O305" s="87" t="n">
        <x:f>N305*'01 Base Costs'!$B$7+L305</x:f>
        <x:v>17316000000</x:v>
      </x:c>
      <x:c r="P305" s="87" t="n">
        <x:f>D305*E305</x:f>
        <x:v>12</x:v>
      </x:c>
      <x:c r="Q305" s="87" t="n">
        <x:f>P305*'01 Base Costs'!$B$12</x:f>
        <x:v>23328000</x:v>
      </x:c>
      <x:c r="R305" s="87" t="n">
        <x:f>0</x:f>
        <x:v>0</x:v>
      </x:c>
      <x:c r="S305" s="87" t="n">
        <x:f>Q305+R305</x:f>
        <x:v>23328000</x:v>
      </x:c>
      <x:c r="T305" s="141" t="n">
        <x:f>S305/'01 Base Costs'!$B$14</x:f>
        <x:v>46.656</x:v>
      </x:c>
      <x:c r="U305" s="87" t="n">
        <x:f>INT(T305)</x:f>
        <x:v>46</x:v>
      </x:c>
      <x:c r="V305" s="87" t="n">
        <x:f>S305-U305*'01 Base Costs'!$B$14</x:f>
        <x:v>328000</x:v>
      </x:c>
      <x:c r="W305" s="120" t="n">
        <x:f>'01 Base Costs'!$B$17/2</x:f>
        <x:v>70</x:v>
      </x:c>
      <x:c r="X305" s="120" t="n">
        <x:f>0</x:f>
        <x:v>0</x:v>
      </x:c>
      <x:c r="Y305" s="87" t="n">
        <x:f>T305*(W305*'01 Base Costs'!$B$7+X305)</x:f>
        <x:v>15709075200</x:v>
      </x:c>
      <x:c r="Z305" s="87" t="n">
        <x:f>T305*'01 Base Costs'!$B$8</x:f>
        <x:v>35127302400</x:v>
      </x:c>
      <x:c r="AA305" s="87" t="n">
        <x:f>Z305*'01 Base Costs'!$B$11</x:f>
        <x:v>1756365120</x:v>
      </x:c>
      <x:c r="AB305" s="87" t="n">
        <x:f>Z305-AA305</x:f>
        <x:v>33370937280</x:v>
      </x:c>
      <x:c r="AC305" s="87" t="n">
        <x:f>O305+Y305</x:f>
        <x:v>33025075200</x:v>
      </x:c>
      <x:c r="AD305" s="87" t="n">
        <x:f>AB305-AC305</x:f>
        <x:v>345862080</x:v>
      </x:c>
      <x:c r="AE305" s="87" t="n">
        <x:f>AD305/D305</x:f>
        <x:v>28821840</x:v>
      </x:c>
      <x:c r="AF305" s="87" t="n">
        <x:f>AD305/P305</x:f>
        <x:v>28821840</x:v>
      </x:c>
      <x:c r="AG305" s="87" t="n">
        <x:f>IF(T305=0,0,AC305/T305/(1-'01 Base Costs'!$B$11))</x:f>
        <x:v>745096816.1143601</x:v>
      </x:c>
      <x:c r="AH305" s="88" t="str">
        <x:f>IF(AD305&gt;0,"PROFIT","LOSS")</x:f>
        <x:v>PROFIT</x:v>
      </x:c>
      <x:c r="AI305" s="89" t="str">
        <x:v>Base 12M Omega. One training queue only. Extractor 2-for-1 sale.</x:v>
      </x:c>
    </x:row>
    <x:row r="306">
      <x:c r="A306" s="86" t="n">
        <x:v>304</x:v>
      </x:c>
      <x:c r="B306" s="88" t="str">
        <x:v>Base</x:v>
      </x:c>
      <x:c r="C306" s="88" t="str">
        <x:v>12M Omega</x:v>
      </x:c>
      <x:c r="D306" s="88" t="n">
        <x:v>12</x:v>
      </x:c>
      <x:c r="E306" s="88" t="n">
        <x:v>1</x:v>
      </x:c>
      <x:c r="F306" s="88" t="str">
        <x:v>No MCT</x:v>
      </x:c>
      <x:c r="G306" s="88" t="str">
        <x:v>NES 10-pack extractor 20% sale</x:v>
      </x:c>
      <x:c r="H306" s="87" t="n">
        <x:f>'01 Base Costs'!$B$24</x:f>
        <x:v>3600</x:v>
      </x:c>
      <x:c r="I306" s="87" t="n">
        <x:f>0</x:f>
        <x:v>0</x:v>
      </x:c>
      <x:c r="J306" s="87" t="n">
        <x:f>0</x:f>
        <x:v>0</x:v>
      </x:c>
      <x:c r="K306" s="87" t="n">
        <x:f>D306*(E306-1)*I306</x:f>
        <x:v>0</x:v>
      </x:c>
      <x:c r="L306" s="87" t="n">
        <x:f>D306*(E306-1)*J306</x:f>
        <x:v>0</x:v>
      </x:c>
      <x:c r="M306" s="87" t="n">
        <x:f>0</x:f>
        <x:v>0</x:v>
      </x:c>
      <x:c r="N306" s="87" t="n">
        <x:f>H306+K306+M306</x:f>
        <x:v>3600</x:v>
      </x:c>
      <x:c r="O306" s="87" t="n">
        <x:f>N306*'01 Base Costs'!$B$7+L306</x:f>
        <x:v>17316000000</x:v>
      </x:c>
      <x:c r="P306" s="87" t="n">
        <x:f>D306*E306</x:f>
        <x:v>12</x:v>
      </x:c>
      <x:c r="Q306" s="87" t="n">
        <x:f>P306*'01 Base Costs'!$B$12</x:f>
        <x:v>23328000</x:v>
      </x:c>
      <x:c r="R306" s="87" t="n">
        <x:f>0</x:f>
        <x:v>0</x:v>
      </x:c>
      <x:c r="S306" s="87" t="n">
        <x:f>Q306+R306</x:f>
        <x:v>23328000</x:v>
      </x:c>
      <x:c r="T306" s="141" t="n">
        <x:f>S306/'01 Base Costs'!$B$14</x:f>
        <x:v>46.656</x:v>
      </x:c>
      <x:c r="U306" s="87" t="n">
        <x:f>INT(T306)</x:f>
        <x:v>46</x:v>
      </x:c>
      <x:c r="V306" s="87" t="n">
        <x:f>S306-U306*'01 Base Costs'!$B$14</x:f>
        <x:v>328000</x:v>
      </x:c>
      <x:c r="W306" s="120" t="n">
        <x:f>'01 Base Costs'!$B$19*0.8/10</x:f>
        <x:v>95.2</x:v>
      </x:c>
      <x:c r="X306" s="120" t="n">
        <x:f>0</x:f>
        <x:v>0</x:v>
      </x:c>
      <x:c r="Y306" s="87" t="n">
        <x:f>T306*(W306*'01 Base Costs'!$B$7+X306)</x:f>
        <x:v>21364342272</x:v>
      </x:c>
      <x:c r="Z306" s="87" t="n">
        <x:f>T306*'01 Base Costs'!$B$8</x:f>
        <x:v>35127302400</x:v>
      </x:c>
      <x:c r="AA306" s="87" t="n">
        <x:f>Z306*'01 Base Costs'!$B$11</x:f>
        <x:v>1756365120</x:v>
      </x:c>
      <x:c r="AB306" s="87" t="n">
        <x:f>Z306-AA306</x:f>
        <x:v>33370937280</x:v>
      </x:c>
      <x:c r="AC306" s="87" t="n">
        <x:f>O306+Y306</x:f>
        <x:v>38680342272</x:v>
      </x:c>
      <x:c r="AD306" s="87" t="n">
        <x:f>AB306-AC306</x:f>
        <x:v>-5309404992</x:v>
      </x:c>
      <x:c r="AE306" s="87" t="n">
        <x:f>AD306/D306</x:f>
        <x:v>-442450416</x:v>
      </x:c>
      <x:c r="AF306" s="87" t="n">
        <x:f>AD306/P306</x:f>
        <x:v>-442450416</x:v>
      </x:c>
      <x:c r="AG306" s="87" t="n">
        <x:f>IF(T306=0,0,AC306/T306/(1-'01 Base Costs'!$B$11))</x:f>
        <x:v>872688395.0617285</x:v>
      </x:c>
      <x:c r="AH306" s="88" t="str">
        <x:f>IF(AD306&gt;0,"PROFIT","LOSS")</x:f>
        <x:v>LOSS</x:v>
      </x:c>
      <x:c r="AI306" s="89" t="str">
        <x:v>Base 12M Omega. One training queue only. 10-pack at 20% off.</x:v>
      </x:c>
    </x:row>
    <x:row r="307">
      <x:c r="A307" s="86" t="n">
        <x:v>305</x:v>
      </x:c>
      <x:c r="B307" s="88" t="str">
        <x:v>Base</x:v>
      </x:c>
      <x:c r="C307" s="88" t="str">
        <x:v>12M Omega</x:v>
      </x:c>
      <x:c r="D307" s="88" t="n">
        <x:v>12</x:v>
      </x:c>
      <x:c r="E307" s="88" t="n">
        <x:v>1</x:v>
      </x:c>
      <x:c r="F307" s="88" t="str">
        <x:v>No MCT</x:v>
      </x:c>
      <x:c r="G307" s="88" t="str">
        <x:v>NES 50-pack extractor 20% sale</x:v>
      </x:c>
      <x:c r="H307" s="87" t="n">
        <x:f>'01 Base Costs'!$B$24</x:f>
        <x:v>3600</x:v>
      </x:c>
      <x:c r="I307" s="87" t="n">
        <x:f>0</x:f>
        <x:v>0</x:v>
      </x:c>
      <x:c r="J307" s="87" t="n">
        <x:f>0</x:f>
        <x:v>0</x:v>
      </x:c>
      <x:c r="K307" s="87" t="n">
        <x:f>D307*(E307-1)*I307</x:f>
        <x:v>0</x:v>
      </x:c>
      <x:c r="L307" s="87" t="n">
        <x:f>D307*(E307-1)*J307</x:f>
        <x:v>0</x:v>
      </x:c>
      <x:c r="M307" s="87" t="n">
        <x:f>0</x:f>
        <x:v>0</x:v>
      </x:c>
      <x:c r="N307" s="87" t="n">
        <x:f>H307+K307+M307</x:f>
        <x:v>3600</x:v>
      </x:c>
      <x:c r="O307" s="87" t="n">
        <x:f>N307*'01 Base Costs'!$B$7+L307</x:f>
        <x:v>17316000000</x:v>
      </x:c>
      <x:c r="P307" s="87" t="n">
        <x:f>D307*E307</x:f>
        <x:v>12</x:v>
      </x:c>
      <x:c r="Q307" s="87" t="n">
        <x:f>P307*'01 Base Costs'!$B$12</x:f>
        <x:v>23328000</x:v>
      </x:c>
      <x:c r="R307" s="87" t="n">
        <x:f>0</x:f>
        <x:v>0</x:v>
      </x:c>
      <x:c r="S307" s="87" t="n">
        <x:f>Q307+R307</x:f>
        <x:v>23328000</x:v>
      </x:c>
      <x:c r="T307" s="141" t="n">
        <x:f>S307/'01 Base Costs'!$B$14</x:f>
        <x:v>46.656</x:v>
      </x:c>
      <x:c r="U307" s="87" t="n">
        <x:f>INT(T307)</x:f>
        <x:v>46</x:v>
      </x:c>
      <x:c r="V307" s="87" t="n">
        <x:f>S307-U307*'01 Base Costs'!$B$14</x:f>
        <x:v>328000</x:v>
      </x:c>
      <x:c r="W307" s="120" t="n">
        <x:f>'01 Base Costs'!$B$20*0.8/50</x:f>
        <x:v>89.6</x:v>
      </x:c>
      <x:c r="X307" s="120" t="n">
        <x:f>0</x:f>
        <x:v>0</x:v>
      </x:c>
      <x:c r="Y307" s="87" t="n">
        <x:f>T307*(W307*'01 Base Costs'!$B$7+X307)</x:f>
        <x:v>20107616256</x:v>
      </x:c>
      <x:c r="Z307" s="87" t="n">
        <x:f>T307*'01 Base Costs'!$B$8</x:f>
        <x:v>35127302400</x:v>
      </x:c>
      <x:c r="AA307" s="87" t="n">
        <x:f>Z307*'01 Base Costs'!$B$11</x:f>
        <x:v>1756365120</x:v>
      </x:c>
      <x:c r="AB307" s="87" t="n">
        <x:f>Z307-AA307</x:f>
        <x:v>33370937280</x:v>
      </x:c>
      <x:c r="AC307" s="87" t="n">
        <x:f>O307+Y307</x:f>
        <x:v>37423616256</x:v>
      </x:c>
      <x:c r="AD307" s="87" t="n">
        <x:f>AB307-AC307</x:f>
        <x:v>-4052678976</x:v>
      </x:c>
      <x:c r="AE307" s="87" t="n">
        <x:f>AD307/D307</x:f>
        <x:v>-337723248</x:v>
      </x:c>
      <x:c r="AF307" s="87" t="n">
        <x:f>AD307/P307</x:f>
        <x:v>-337723248</x:v>
      </x:c>
      <x:c r="AG307" s="87" t="n">
        <x:f>IF(T307=0,0,AC307/T307/(1-'01 Base Costs'!$B$11))</x:f>
        <x:v>844334710.8512021</x:v>
      </x:c>
      <x:c r="AH307" s="88" t="str">
        <x:f>IF(AD307&gt;0,"PROFIT","LOSS")</x:f>
        <x:v>LOSS</x:v>
      </x:c>
      <x:c r="AI307" s="89" t="str">
        <x:v>Base 12M Omega. One training queue only. 50-pack at 20% off.</x:v>
      </x:c>
    </x:row>
    <x:row r="308">
      <x:c r="A308" s="86" t="n">
        <x:v>306</x:v>
      </x:c>
      <x:c r="B308" s="88" t="str">
        <x:v>Base</x:v>
      </x:c>
      <x:c r="C308" s="88" t="str">
        <x:v>12M Omega</x:v>
      </x:c>
      <x:c r="D308" s="88" t="n">
        <x:v>12</x:v>
      </x:c>
      <x:c r="E308" s="88" t="n">
        <x:v>1</x:v>
      </x:c>
      <x:c r="F308" s="88" t="str">
        <x:v>No MCT</x:v>
      </x:c>
      <x:c r="G308" s="88" t="str">
        <x:v>Market Skill Extractor</x:v>
      </x:c>
      <x:c r="H308" s="87" t="n">
        <x:f>'01 Base Costs'!$B$24</x:f>
        <x:v>3600</x:v>
      </x:c>
      <x:c r="I308" s="87" t="n">
        <x:f>0</x:f>
        <x:v>0</x:v>
      </x:c>
      <x:c r="J308" s="87" t="n">
        <x:f>0</x:f>
        <x:v>0</x:v>
      </x:c>
      <x:c r="K308" s="87" t="n">
        <x:f>D308*(E308-1)*I308</x:f>
        <x:v>0</x:v>
      </x:c>
      <x:c r="L308" s="87" t="n">
        <x:f>D308*(E308-1)*J308</x:f>
        <x:v>0</x:v>
      </x:c>
      <x:c r="M308" s="87" t="n">
        <x:f>0</x:f>
        <x:v>0</x:v>
      </x:c>
      <x:c r="N308" s="87" t="n">
        <x:f>H308+K308+M308</x:f>
        <x:v>3600</x:v>
      </x:c>
      <x:c r="O308" s="87" t="n">
        <x:f>N308*'01 Base Costs'!$B$7+L308</x:f>
        <x:v>17316000000</x:v>
      </x:c>
      <x:c r="P308" s="87" t="n">
        <x:f>D308*E308</x:f>
        <x:v>12</x:v>
      </x:c>
      <x:c r="Q308" s="87" t="n">
        <x:f>P308*'01 Base Costs'!$B$12</x:f>
        <x:v>23328000</x:v>
      </x:c>
      <x:c r="R308" s="87" t="n">
        <x:f>0</x:f>
        <x:v>0</x:v>
      </x:c>
      <x:c r="S308" s="87" t="n">
        <x:f>Q308+R308</x:f>
        <x:v>23328000</x:v>
      </x:c>
      <x:c r="T308" s="141" t="n">
        <x:f>S308/'01 Base Costs'!$B$14</x:f>
        <x:v>46.656</x:v>
      </x:c>
      <x:c r="U308" s="87" t="n">
        <x:f>INT(T308)</x:f>
        <x:v>46</x:v>
      </x:c>
      <x:c r="V308" s="87" t="n">
        <x:f>S308-U308*'01 Base Costs'!$B$14</x:f>
        <x:v>328000</x:v>
      </x:c>
      <x:c r="W308" s="120" t="n">
        <x:f>0</x:f>
        <x:v>0</x:v>
      </x:c>
      <x:c r="X308" s="120" t="n">
        <x:f>'01 Base Costs'!$B$9</x:f>
        <x:v>463500000</x:v>
      </x:c>
      <x:c r="Y308" s="87" t="n">
        <x:f>T308*(W308*'01 Base Costs'!$B$7+X308)</x:f>
        <x:v>21625056000</x:v>
      </x:c>
      <x:c r="Z308" s="87" t="n">
        <x:f>T308*'01 Base Costs'!$B$8</x:f>
        <x:v>35127302400</x:v>
      </x:c>
      <x:c r="AA308" s="87" t="n">
        <x:f>Z308*'01 Base Costs'!$B$11</x:f>
        <x:v>1756365120</x:v>
      </x:c>
      <x:c r="AB308" s="87" t="n">
        <x:f>Z308-AA308</x:f>
        <x:v>33370937280</x:v>
      </x:c>
      <x:c r="AC308" s="87" t="n">
        <x:f>O308+Y308</x:f>
        <x:v>38941056000</x:v>
      </x:c>
      <x:c r="AD308" s="87" t="n">
        <x:f>AB308-AC308</x:f>
        <x:v>-5570118720</x:v>
      </x:c>
      <x:c r="AE308" s="87" t="n">
        <x:f>AD308/D308</x:f>
        <x:v>-464176560</x:v>
      </x:c>
      <x:c r="AF308" s="87" t="n">
        <x:f>AD308/P308</x:f>
        <x:v>-464176560</x:v>
      </x:c>
      <x:c r="AG308" s="87" t="n">
        <x:f>IF(T308=0,0,AC308/T308/(1-'01 Base Costs'!$B$11))</x:f>
        <x:v>878570500.3248864</x:v>
      </x:c>
      <x:c r="AH308" s="88" t="str">
        <x:f>IF(AD308&gt;0,"PROFIT","LOSS")</x:f>
        <x:v>LOSS</x:v>
      </x:c>
      <x:c r="AI308" s="89" t="str">
        <x:v>Base 12M Omega. One training queue only. Extractor bought on market with ISK.</x:v>
      </x:c>
    </x:row>
    <x:row r="309">
      <x:c r="A309" s="86" t="n">
        <x:v>307</x:v>
      </x:c>
      <x:c r="B309" s="88" t="str">
        <x:v>Base</x:v>
      </x:c>
      <x:c r="C309" s="88" t="str">
        <x:v>12M Omega</x:v>
      </x:c>
      <x:c r="D309" s="88" t="n">
        <x:v>12</x:v>
      </x:c>
      <x:c r="E309" s="88" t="n">
        <x:v>2</x:v>
      </x:c>
      <x:c r="F309" s="88" t="str">
        <x:v>NES base MCT</x:v>
      </x:c>
      <x:c r="G309" s="88" t="str">
        <x:v>NES single extractor</x:v>
      </x:c>
      <x:c r="H309" s="87" t="n">
        <x:f>'01 Base Costs'!$B$24</x:f>
        <x:v>3600</x:v>
      </x:c>
      <x:c r="I309" s="87" t="n">
        <x:f>'01 Base Costs'!$B$16</x:f>
        <x:v>485</x:v>
      </x:c>
      <x:c r="J309" s="87" t="n">
        <x:f>0</x:f>
        <x:v>0</x:v>
      </x:c>
      <x:c r="K309" s="87" t="n">
        <x:f>D309*(E309-1)*I309</x:f>
        <x:v>5820</x:v>
      </x:c>
      <x:c r="L309" s="87" t="n">
        <x:f>D309*(E309-1)*J309</x:f>
        <x:v>0</x:v>
      </x:c>
      <x:c r="M309" s="87" t="n">
        <x:f>0</x:f>
        <x:v>0</x:v>
      </x:c>
      <x:c r="N309" s="87" t="n">
        <x:f>H309+K309+M309</x:f>
        <x:v>9420</x:v>
      </x:c>
      <x:c r="O309" s="87" t="n">
        <x:f>N309*'01 Base Costs'!$B$7+L309</x:f>
        <x:v>45310200000</x:v>
      </x:c>
      <x:c r="P309" s="87" t="n">
        <x:f>D309*E309</x:f>
        <x:v>24</x:v>
      </x:c>
      <x:c r="Q309" s="87" t="n">
        <x:f>P309*'01 Base Costs'!$B$12</x:f>
        <x:v>46656000</x:v>
      </x:c>
      <x:c r="R309" s="87" t="n">
        <x:f>0</x:f>
        <x:v>0</x:v>
      </x:c>
      <x:c r="S309" s="87" t="n">
        <x:f>Q309+R309</x:f>
        <x:v>46656000</x:v>
      </x:c>
      <x:c r="T309" s="141" t="n">
        <x:f>S309/'01 Base Costs'!$B$14</x:f>
        <x:v>93.312</x:v>
      </x:c>
      <x:c r="U309" s="87" t="n">
        <x:f>INT(T309)</x:f>
        <x:v>93</x:v>
      </x:c>
      <x:c r="V309" s="87" t="n">
        <x:f>S309-U309*'01 Base Costs'!$B$14</x:f>
        <x:v>156000</x:v>
      </x:c>
      <x:c r="W309" s="120" t="n">
        <x:f>'01 Base Costs'!$B$17</x:f>
        <x:v>140</x:v>
      </x:c>
      <x:c r="X309" s="120" t="n">
        <x:f>0</x:f>
        <x:v>0</x:v>
      </x:c>
      <x:c r="Y309" s="87" t="n">
        <x:f>T309*(W309*'01 Base Costs'!$B$7+X309)</x:f>
        <x:v>62836300800</x:v>
      </x:c>
      <x:c r="Z309" s="87" t="n">
        <x:f>T309*'01 Base Costs'!$B$8</x:f>
        <x:v>70254604800</x:v>
      </x:c>
      <x:c r="AA309" s="87" t="n">
        <x:f>Z309*'01 Base Costs'!$B$11</x:f>
        <x:v>3512730240</x:v>
      </x:c>
      <x:c r="AB309" s="87" t="n">
        <x:f>Z309-AA309</x:f>
        <x:v>66741874560</x:v>
      </x:c>
      <x:c r="AC309" s="87" t="n">
        <x:f>O309+Y309</x:f>
        <x:v>108146500800</x:v>
      </x:c>
      <x:c r="AD309" s="87" t="n">
        <x:f>AB309-AC309</x:f>
        <x:v>-41404626240</x:v>
      </x:c>
      <x:c r="AE309" s="87" t="n">
        <x:f>AD309/D309</x:f>
        <x:v>-3450385520</x:v>
      </x:c>
      <x:c r="AF309" s="87" t="n">
        <x:f>AD309/P309</x:f>
        <x:v>-1725192760</x:v>
      </x:c>
      <x:c r="AG309" s="87" t="n">
        <x:f>IF(T309=0,0,AC309/T309/(1-'01 Base Costs'!$B$11))</x:f>
        <x:v>1219976229.1531298</x:v>
      </x:c>
      <x:c r="AH309" s="88" t="str">
        <x:f>IF(AD309&gt;0,"PROFIT","LOSS")</x:f>
        <x:v>LOSS</x:v>
      </x:c>
      <x:c r="AI309" s="89" t="str">
        <x:v>Base 12M Omega. MCT purchased with PLEX in NES. Base single extractor.</x:v>
      </x:c>
    </x:row>
    <x:row r="310">
      <x:c r="A310" s="86" t="n">
        <x:v>308</x:v>
      </x:c>
      <x:c r="B310" s="88" t="str">
        <x:v>Base</x:v>
      </x:c>
      <x:c r="C310" s="88" t="str">
        <x:v>12M Omega</x:v>
      </x:c>
      <x:c r="D310" s="88" t="n">
        <x:v>12</x:v>
      </x:c>
      <x:c r="E310" s="88" t="n">
        <x:v>2</x:v>
      </x:c>
      <x:c r="F310" s="88" t="str">
        <x:v>NES base MCT</x:v>
      </x:c>
      <x:c r="G310" s="88" t="str">
        <x:v>NES 5-pack extractor</x:v>
      </x:c>
      <x:c r="H310" s="87" t="n">
        <x:f>'01 Base Costs'!$B$24</x:f>
        <x:v>3600</x:v>
      </x:c>
      <x:c r="I310" s="87" t="n">
        <x:f>'01 Base Costs'!$B$16</x:f>
        <x:v>485</x:v>
      </x:c>
      <x:c r="J310" s="87" t="n">
        <x:f>0</x:f>
        <x:v>0</x:v>
      </x:c>
      <x:c r="K310" s="87" t="n">
        <x:f>D310*(E310-1)*I310</x:f>
        <x:v>5820</x:v>
      </x:c>
      <x:c r="L310" s="87" t="n">
        <x:f>D310*(E310-1)*J310</x:f>
        <x:v>0</x:v>
      </x:c>
      <x:c r="M310" s="87" t="n">
        <x:f>0</x:f>
        <x:v>0</x:v>
      </x:c>
      <x:c r="N310" s="87" t="n">
        <x:f>H310+K310+M310</x:f>
        <x:v>9420</x:v>
      </x:c>
      <x:c r="O310" s="87" t="n">
        <x:f>N310*'01 Base Costs'!$B$7+L310</x:f>
        <x:v>45310200000</x:v>
      </x:c>
      <x:c r="P310" s="87" t="n">
        <x:f>D310*E310</x:f>
        <x:v>24</x:v>
      </x:c>
      <x:c r="Q310" s="87" t="n">
        <x:f>P310*'01 Base Costs'!$B$12</x:f>
        <x:v>46656000</x:v>
      </x:c>
      <x:c r="R310" s="87" t="n">
        <x:f>0</x:f>
        <x:v>0</x:v>
      </x:c>
      <x:c r="S310" s="87" t="n">
        <x:f>Q310+R310</x:f>
        <x:v>46656000</x:v>
      </x:c>
      <x:c r="T310" s="141" t="n">
        <x:f>S310/'01 Base Costs'!$B$14</x:f>
        <x:v>93.312</x:v>
      </x:c>
      <x:c r="U310" s="87" t="n">
        <x:f>INT(T310)</x:f>
        <x:v>93</x:v>
      </x:c>
      <x:c r="V310" s="87" t="n">
        <x:f>S310-U310*'01 Base Costs'!$B$14</x:f>
        <x:v>156000</x:v>
      </x:c>
      <x:c r="W310" s="120" t="n">
        <x:f>'01 Base Costs'!$B$18/5</x:f>
        <x:v>126</x:v>
      </x:c>
      <x:c r="X310" s="120" t="n">
        <x:f>0</x:f>
        <x:v>0</x:v>
      </x:c>
      <x:c r="Y310" s="87" t="n">
        <x:f>T310*(W310*'01 Base Costs'!$B$7+X310)</x:f>
        <x:v>56552670720</x:v>
      </x:c>
      <x:c r="Z310" s="87" t="n">
        <x:f>T310*'01 Base Costs'!$B$8</x:f>
        <x:v>70254604800</x:v>
      </x:c>
      <x:c r="AA310" s="87" t="n">
        <x:f>Z310*'01 Base Costs'!$B$11</x:f>
        <x:v>3512730240</x:v>
      </x:c>
      <x:c r="AB310" s="87" t="n">
        <x:f>Z310-AA310</x:f>
        <x:v>66741874560</x:v>
      </x:c>
      <x:c r="AC310" s="87" t="n">
        <x:f>O310+Y310</x:f>
        <x:v>101862870720</x:v>
      </x:c>
      <x:c r="AD310" s="87" t="n">
        <x:f>AB310-AC310</x:f>
        <x:v>-35120996160</x:v>
      </x:c>
      <x:c r="AE310" s="87" t="n">
        <x:f>AD310/D310</x:f>
        <x:v>-2926749680</x:v>
      </x:c>
      <x:c r="AF310" s="87" t="n">
        <x:f>AD310/P310</x:f>
        <x:v>-1463374840</x:v>
      </x:c>
      <x:c r="AG310" s="87" t="n">
        <x:f>IF(T310=0,0,AC310/T310/(1-'01 Base Costs'!$B$11))</x:f>
        <x:v>1149092018.626814</x:v>
      </x:c>
      <x:c r="AH310" s="88" t="str">
        <x:f>IF(AD310&gt;0,"PROFIT","LOSS")</x:f>
        <x:v>LOSS</x:v>
      </x:c>
      <x:c r="AI310" s="89" t="str">
        <x:v>Base 12M Omega. MCT purchased with PLEX in NES. Base 5-pack average.</x:v>
      </x:c>
    </x:row>
    <x:row r="311">
      <x:c r="A311" s="86" t="n">
        <x:v>309</x:v>
      </x:c>
      <x:c r="B311" s="88" t="str">
        <x:v>Base</x:v>
      </x:c>
      <x:c r="C311" s="88" t="str">
        <x:v>12M Omega</x:v>
      </x:c>
      <x:c r="D311" s="88" t="n">
        <x:v>12</x:v>
      </x:c>
      <x:c r="E311" s="88" t="n">
        <x:v>2</x:v>
      </x:c>
      <x:c r="F311" s="88" t="str">
        <x:v>NES base MCT</x:v>
      </x:c>
      <x:c r="G311" s="88" t="str">
        <x:v>NES 10-pack extractor</x:v>
      </x:c>
      <x:c r="H311" s="87" t="n">
        <x:f>'01 Base Costs'!$B$24</x:f>
        <x:v>3600</x:v>
      </x:c>
      <x:c r="I311" s="87" t="n">
        <x:f>'01 Base Costs'!$B$16</x:f>
        <x:v>485</x:v>
      </x:c>
      <x:c r="J311" s="87" t="n">
        <x:f>0</x:f>
        <x:v>0</x:v>
      </x:c>
      <x:c r="K311" s="87" t="n">
        <x:f>D311*(E311-1)*I311</x:f>
        <x:v>5820</x:v>
      </x:c>
      <x:c r="L311" s="87" t="n">
        <x:f>D311*(E311-1)*J311</x:f>
        <x:v>0</x:v>
      </x:c>
      <x:c r="M311" s="87" t="n">
        <x:f>0</x:f>
        <x:v>0</x:v>
      </x:c>
      <x:c r="N311" s="87" t="n">
        <x:f>H311+K311+M311</x:f>
        <x:v>9420</x:v>
      </x:c>
      <x:c r="O311" s="87" t="n">
        <x:f>N311*'01 Base Costs'!$B$7+L311</x:f>
        <x:v>45310200000</x:v>
      </x:c>
      <x:c r="P311" s="87" t="n">
        <x:f>D311*E311</x:f>
        <x:v>24</x:v>
      </x:c>
      <x:c r="Q311" s="87" t="n">
        <x:f>P311*'01 Base Costs'!$B$12</x:f>
        <x:v>46656000</x:v>
      </x:c>
      <x:c r="R311" s="87" t="n">
        <x:f>0</x:f>
        <x:v>0</x:v>
      </x:c>
      <x:c r="S311" s="87" t="n">
        <x:f>Q311+R311</x:f>
        <x:v>46656000</x:v>
      </x:c>
      <x:c r="T311" s="141" t="n">
        <x:f>S311/'01 Base Costs'!$B$14</x:f>
        <x:v>93.312</x:v>
      </x:c>
      <x:c r="U311" s="87" t="n">
        <x:f>INT(T311)</x:f>
        <x:v>93</x:v>
      </x:c>
      <x:c r="V311" s="87" t="n">
        <x:f>S311-U311*'01 Base Costs'!$B$14</x:f>
        <x:v>156000</x:v>
      </x:c>
      <x:c r="W311" s="120" t="n">
        <x:f>'01 Base Costs'!$B$19/10</x:f>
        <x:v>119</x:v>
      </x:c>
      <x:c r="X311" s="120" t="n">
        <x:f>0</x:f>
        <x:v>0</x:v>
      </x:c>
      <x:c r="Y311" s="87" t="n">
        <x:f>T311*(W311*'01 Base Costs'!$B$7+X311)</x:f>
        <x:v>53410855680</x:v>
      </x:c>
      <x:c r="Z311" s="87" t="n">
        <x:f>T311*'01 Base Costs'!$B$8</x:f>
        <x:v>70254604800</x:v>
      </x:c>
      <x:c r="AA311" s="87" t="n">
        <x:f>Z311*'01 Base Costs'!$B$11</x:f>
        <x:v>3512730240</x:v>
      </x:c>
      <x:c r="AB311" s="87" t="n">
        <x:f>Z311-AA311</x:f>
        <x:v>66741874560</x:v>
      </x:c>
      <x:c r="AC311" s="87" t="n">
        <x:f>O311+Y311</x:f>
        <x:v>98721055680</x:v>
      </x:c>
      <x:c r="AD311" s="87" t="n">
        <x:f>AB311-AC311</x:f>
        <x:v>-31979181120</x:v>
      </x:c>
      <x:c r="AE311" s="87" t="n">
        <x:f>AD311/D311</x:f>
        <x:v>-2664931760</x:v>
      </x:c>
      <x:c r="AF311" s="87" t="n">
        <x:f>AD311/P311</x:f>
        <x:v>-1332465880</x:v>
      </x:c>
      <x:c r="AG311" s="87" t="n">
        <x:f>IF(T311=0,0,AC311/T311/(1-'01 Base Costs'!$B$11))</x:f>
        <x:v>1113649913.3636563</x:v>
      </x:c>
      <x:c r="AH311" s="88" t="str">
        <x:f>IF(AD311&gt;0,"PROFIT","LOSS")</x:f>
        <x:v>LOSS</x:v>
      </x:c>
      <x:c r="AI311" s="89" t="str">
        <x:v>Base 12M Omega. MCT purchased with PLEX in NES. Base 10-pack average.</x:v>
      </x:c>
    </x:row>
    <x:row r="312">
      <x:c r="A312" s="86" t="n">
        <x:v>310</x:v>
      </x:c>
      <x:c r="B312" s="88" t="str">
        <x:v>Base</x:v>
      </x:c>
      <x:c r="C312" s="88" t="str">
        <x:v>12M Omega</x:v>
      </x:c>
      <x:c r="D312" s="88" t="n">
        <x:v>12</x:v>
      </x:c>
      <x:c r="E312" s="88" t="n">
        <x:v>2</x:v>
      </x:c>
      <x:c r="F312" s="88" t="str">
        <x:v>NES base MCT</x:v>
      </x:c>
      <x:c r="G312" s="88" t="str">
        <x:v>NES 50-pack extractor</x:v>
      </x:c>
      <x:c r="H312" s="87" t="n">
        <x:f>'01 Base Costs'!$B$24</x:f>
        <x:v>3600</x:v>
      </x:c>
      <x:c r="I312" s="87" t="n">
        <x:f>'01 Base Costs'!$B$16</x:f>
        <x:v>485</x:v>
      </x:c>
      <x:c r="J312" s="87" t="n">
        <x:f>0</x:f>
        <x:v>0</x:v>
      </x:c>
      <x:c r="K312" s="87" t="n">
        <x:f>D312*(E312-1)*I312</x:f>
        <x:v>5820</x:v>
      </x:c>
      <x:c r="L312" s="87" t="n">
        <x:f>D312*(E312-1)*J312</x:f>
        <x:v>0</x:v>
      </x:c>
      <x:c r="M312" s="87" t="n">
        <x:f>0</x:f>
        <x:v>0</x:v>
      </x:c>
      <x:c r="N312" s="87" t="n">
        <x:f>H312+K312+M312</x:f>
        <x:v>9420</x:v>
      </x:c>
      <x:c r="O312" s="87" t="n">
        <x:f>N312*'01 Base Costs'!$B$7+L312</x:f>
        <x:v>45310200000</x:v>
      </x:c>
      <x:c r="P312" s="87" t="n">
        <x:f>D312*E312</x:f>
        <x:v>24</x:v>
      </x:c>
      <x:c r="Q312" s="87" t="n">
        <x:f>P312*'01 Base Costs'!$B$12</x:f>
        <x:v>46656000</x:v>
      </x:c>
      <x:c r="R312" s="87" t="n">
        <x:f>0</x:f>
        <x:v>0</x:v>
      </x:c>
      <x:c r="S312" s="87" t="n">
        <x:f>Q312+R312</x:f>
        <x:v>46656000</x:v>
      </x:c>
      <x:c r="T312" s="141" t="n">
        <x:f>S312/'01 Base Costs'!$B$14</x:f>
        <x:v>93.312</x:v>
      </x:c>
      <x:c r="U312" s="87" t="n">
        <x:f>INT(T312)</x:f>
        <x:v>93</x:v>
      </x:c>
      <x:c r="V312" s="87" t="n">
        <x:f>S312-U312*'01 Base Costs'!$B$14</x:f>
        <x:v>156000</x:v>
      </x:c>
      <x:c r="W312" s="120" t="n">
        <x:f>'01 Base Costs'!$B$20/50</x:f>
        <x:v>112</x:v>
      </x:c>
      <x:c r="X312" s="120" t="n">
        <x:f>0</x:f>
        <x:v>0</x:v>
      </x:c>
      <x:c r="Y312" s="87" t="n">
        <x:f>T312*(W312*'01 Base Costs'!$B$7+X312)</x:f>
        <x:v>50269040640</x:v>
      </x:c>
      <x:c r="Z312" s="87" t="n">
        <x:f>T312*'01 Base Costs'!$B$8</x:f>
        <x:v>70254604800</x:v>
      </x:c>
      <x:c r="AA312" s="87" t="n">
        <x:f>Z312*'01 Base Costs'!$B$11</x:f>
        <x:v>3512730240</x:v>
      </x:c>
      <x:c r="AB312" s="87" t="n">
        <x:f>Z312-AA312</x:f>
        <x:v>66741874560</x:v>
      </x:c>
      <x:c r="AC312" s="87" t="n">
        <x:f>O312+Y312</x:f>
        <x:v>95579240640</x:v>
      </x:c>
      <x:c r="AD312" s="87" t="n">
        <x:f>AB312-AC312</x:f>
        <x:v>-28837366080</x:v>
      </x:c>
      <x:c r="AE312" s="87" t="n">
        <x:f>AD312/D312</x:f>
        <x:v>-2403113840</x:v>
      </x:c>
      <x:c r="AF312" s="87" t="n">
        <x:f>AD312/P312</x:f>
        <x:v>-1201556920</x:v>
      </x:c>
      <x:c r="AG312" s="87" t="n">
        <x:f>IF(T312=0,0,AC312/T312/(1-'01 Base Costs'!$B$11))</x:f>
        <x:v>1078207808.1004982</x:v>
      </x:c>
      <x:c r="AH312" s="88" t="str">
        <x:f>IF(AD312&gt;0,"PROFIT","LOSS")</x:f>
        <x:v>LOSS</x:v>
      </x:c>
      <x:c r="AI312" s="89" t="str">
        <x:v>Base 12M Omega. MCT purchased with PLEX in NES. Base 50-pack average.</x:v>
      </x:c>
    </x:row>
    <x:row r="313">
      <x:c r="A313" s="86" t="n">
        <x:v>311</x:v>
      </x:c>
      <x:c r="B313" s="88" t="str">
        <x:v>Base</x:v>
      </x:c>
      <x:c r="C313" s="88" t="str">
        <x:v>12M Omega</x:v>
      </x:c>
      <x:c r="D313" s="88" t="n">
        <x:v>12</x:v>
      </x:c>
      <x:c r="E313" s="88" t="n">
        <x:v>2</x:v>
      </x:c>
      <x:c r="F313" s="88" t="str">
        <x:v>NES base MCT</x:v>
      </x:c>
      <x:c r="G313" s="88" t="str">
        <x:v>NES 3-for-2 extractor sale</x:v>
      </x:c>
      <x:c r="H313" s="87" t="n">
        <x:f>'01 Base Costs'!$B$24</x:f>
        <x:v>3600</x:v>
      </x:c>
      <x:c r="I313" s="87" t="n">
        <x:f>'01 Base Costs'!$B$16</x:f>
        <x:v>485</x:v>
      </x:c>
      <x:c r="J313" s="87" t="n">
        <x:f>0</x:f>
        <x:v>0</x:v>
      </x:c>
      <x:c r="K313" s="87" t="n">
        <x:f>D313*(E313-1)*I313</x:f>
        <x:v>5820</x:v>
      </x:c>
      <x:c r="L313" s="87" t="n">
        <x:f>D313*(E313-1)*J313</x:f>
        <x:v>0</x:v>
      </x:c>
      <x:c r="M313" s="87" t="n">
        <x:f>0</x:f>
        <x:v>0</x:v>
      </x:c>
      <x:c r="N313" s="87" t="n">
        <x:f>H313+K313+M313</x:f>
        <x:v>9420</x:v>
      </x:c>
      <x:c r="O313" s="87" t="n">
        <x:f>N313*'01 Base Costs'!$B$7+L313</x:f>
        <x:v>45310200000</x:v>
      </x:c>
      <x:c r="P313" s="87" t="n">
        <x:f>D313*E313</x:f>
        <x:v>24</x:v>
      </x:c>
      <x:c r="Q313" s="87" t="n">
        <x:f>P313*'01 Base Costs'!$B$12</x:f>
        <x:v>46656000</x:v>
      </x:c>
      <x:c r="R313" s="87" t="n">
        <x:f>0</x:f>
        <x:v>0</x:v>
      </x:c>
      <x:c r="S313" s="87" t="n">
        <x:f>Q313+R313</x:f>
        <x:v>46656000</x:v>
      </x:c>
      <x:c r="T313" s="141" t="n">
        <x:f>S313/'01 Base Costs'!$B$14</x:f>
        <x:v>93.312</x:v>
      </x:c>
      <x:c r="U313" s="87" t="n">
        <x:f>INT(T313)</x:f>
        <x:v>93</x:v>
      </x:c>
      <x:c r="V313" s="87" t="n">
        <x:f>S313-U313*'01 Base Costs'!$B$14</x:f>
        <x:v>156000</x:v>
      </x:c>
      <x:c r="W313" s="120" t="n">
        <x:f>'01 Base Costs'!$B$17*2/3</x:f>
        <x:v>93.33333333333333</x:v>
      </x:c>
      <x:c r="X313" s="120" t="n">
        <x:f>0</x:f>
        <x:v>0</x:v>
      </x:c>
      <x:c r="Y313" s="87" t="n">
        <x:f>T313*(W313*'01 Base Costs'!$B$7+X313)</x:f>
        <x:v>41890867200</x:v>
      </x:c>
      <x:c r="Z313" s="87" t="n">
        <x:f>T313*'01 Base Costs'!$B$8</x:f>
        <x:v>70254604800</x:v>
      </x:c>
      <x:c r="AA313" s="87" t="n">
        <x:f>Z313*'01 Base Costs'!$B$11</x:f>
        <x:v>3512730240</x:v>
      </x:c>
      <x:c r="AB313" s="87" t="n">
        <x:f>Z313-AA313</x:f>
        <x:v>66741874560</x:v>
      </x:c>
      <x:c r="AC313" s="87" t="n">
        <x:f>O313+Y313</x:f>
        <x:v>87201067200</x:v>
      </x:c>
      <x:c r="AD313" s="87" t="n">
        <x:f>AB313-AC313</x:f>
        <x:v>-20459192640</x:v>
      </x:c>
      <x:c r="AE313" s="87" t="n">
        <x:f>AD313/D313</x:f>
        <x:v>-1704932720</x:v>
      </x:c>
      <x:c r="AF313" s="87" t="n">
        <x:f>AD313/P313</x:f>
        <x:v>-852466360</x:v>
      </x:c>
      <x:c r="AG313" s="87" t="n">
        <x:f>IF(T313=0,0,AC313/T313/(1-'01 Base Costs'!$B$11))</x:f>
        <x:v>983695527.3987437</x:v>
      </x:c>
      <x:c r="AH313" s="88" t="str">
        <x:f>IF(AD313&gt;0,"PROFIT","LOSS")</x:f>
        <x:v>LOSS</x:v>
      </x:c>
      <x:c r="AI313" s="89" t="str">
        <x:v>Base 12M Omega. MCT purchased with PLEX in NES. Extractor 3-for-2 sale.</x:v>
      </x:c>
    </x:row>
    <x:row r="314">
      <x:c r="A314" s="86" t="n">
        <x:v>312</x:v>
      </x:c>
      <x:c r="B314" s="88" t="str">
        <x:v>Base</x:v>
      </x:c>
      <x:c r="C314" s="88" t="str">
        <x:v>12M Omega</x:v>
      </x:c>
      <x:c r="D314" s="88" t="n">
        <x:v>12</x:v>
      </x:c>
      <x:c r="E314" s="88" t="n">
        <x:v>2</x:v>
      </x:c>
      <x:c r="F314" s="88" t="str">
        <x:v>NES base MCT</x:v>
      </x:c>
      <x:c r="G314" s="88" t="str">
        <x:v>NES 2-for-1 extractor sale</x:v>
      </x:c>
      <x:c r="H314" s="87" t="n">
        <x:f>'01 Base Costs'!$B$24</x:f>
        <x:v>3600</x:v>
      </x:c>
      <x:c r="I314" s="87" t="n">
        <x:f>'01 Base Costs'!$B$16</x:f>
        <x:v>485</x:v>
      </x:c>
      <x:c r="J314" s="87" t="n">
        <x:f>0</x:f>
        <x:v>0</x:v>
      </x:c>
      <x:c r="K314" s="87" t="n">
        <x:f>D314*(E314-1)*I314</x:f>
        <x:v>5820</x:v>
      </x:c>
      <x:c r="L314" s="87" t="n">
        <x:f>D314*(E314-1)*J314</x:f>
        <x:v>0</x:v>
      </x:c>
      <x:c r="M314" s="87" t="n">
        <x:f>0</x:f>
        <x:v>0</x:v>
      </x:c>
      <x:c r="N314" s="87" t="n">
        <x:f>H314+K314+M314</x:f>
        <x:v>9420</x:v>
      </x:c>
      <x:c r="O314" s="87" t="n">
        <x:f>N314*'01 Base Costs'!$B$7+L314</x:f>
        <x:v>45310200000</x:v>
      </x:c>
      <x:c r="P314" s="87" t="n">
        <x:f>D314*E314</x:f>
        <x:v>24</x:v>
      </x:c>
      <x:c r="Q314" s="87" t="n">
        <x:f>P314*'01 Base Costs'!$B$12</x:f>
        <x:v>46656000</x:v>
      </x:c>
      <x:c r="R314" s="87" t="n">
        <x:f>0</x:f>
        <x:v>0</x:v>
      </x:c>
      <x:c r="S314" s="87" t="n">
        <x:f>Q314+R314</x:f>
        <x:v>46656000</x:v>
      </x:c>
      <x:c r="T314" s="141" t="n">
        <x:f>S314/'01 Base Costs'!$B$14</x:f>
        <x:v>93.312</x:v>
      </x:c>
      <x:c r="U314" s="87" t="n">
        <x:f>INT(T314)</x:f>
        <x:v>93</x:v>
      </x:c>
      <x:c r="V314" s="87" t="n">
        <x:f>S314-U314*'01 Base Costs'!$B$14</x:f>
        <x:v>156000</x:v>
      </x:c>
      <x:c r="W314" s="120" t="n">
        <x:f>'01 Base Costs'!$B$17/2</x:f>
        <x:v>70</x:v>
      </x:c>
      <x:c r="X314" s="120" t="n">
        <x:f>0</x:f>
        <x:v>0</x:v>
      </x:c>
      <x:c r="Y314" s="87" t="n">
        <x:f>T314*(W314*'01 Base Costs'!$B$7+X314)</x:f>
        <x:v>31418150400</x:v>
      </x:c>
      <x:c r="Z314" s="87" t="n">
        <x:f>T314*'01 Base Costs'!$B$8</x:f>
        <x:v>70254604800</x:v>
      </x:c>
      <x:c r="AA314" s="87" t="n">
        <x:f>Z314*'01 Base Costs'!$B$11</x:f>
        <x:v>3512730240</x:v>
      </x:c>
      <x:c r="AB314" s="87" t="n">
        <x:f>Z314-AA314</x:f>
        <x:v>66741874560</x:v>
      </x:c>
      <x:c r="AC314" s="87" t="n">
        <x:f>O314+Y314</x:f>
        <x:v>76728350400</x:v>
      </x:c>
      <x:c r="AD314" s="87" t="n">
        <x:f>AB314-AC314</x:f>
        <x:v>-9986475840</x:v>
      </x:c>
      <x:c r="AE314" s="87" t="n">
        <x:f>AD314/D314</x:f>
        <x:v>-832206320</x:v>
      </x:c>
      <x:c r="AF314" s="87" t="n">
        <x:f>AD314/P314</x:f>
        <x:v>-416103160</x:v>
      </x:c>
      <x:c r="AG314" s="87" t="n">
        <x:f>IF(T314=0,0,AC314/T314/(1-'01 Base Costs'!$B$11))</x:f>
        <x:v>865555176.5215509</x:v>
      </x:c>
      <x:c r="AH314" s="88" t="str">
        <x:f>IF(AD314&gt;0,"PROFIT","LOSS")</x:f>
        <x:v>LOSS</x:v>
      </x:c>
      <x:c r="AI314" s="89" t="str">
        <x:v>Base 12M Omega. MCT purchased with PLEX in NES. Extractor 2-for-1 sale.</x:v>
      </x:c>
    </x:row>
    <x:row r="315">
      <x:c r="A315" s="86" t="n">
        <x:v>313</x:v>
      </x:c>
      <x:c r="B315" s="88" t="str">
        <x:v>Base</x:v>
      </x:c>
      <x:c r="C315" s="88" t="str">
        <x:v>12M Omega</x:v>
      </x:c>
      <x:c r="D315" s="88" t="n">
        <x:v>12</x:v>
      </x:c>
      <x:c r="E315" s="88" t="n">
        <x:v>2</x:v>
      </x:c>
      <x:c r="F315" s="88" t="str">
        <x:v>NES base MCT</x:v>
      </x:c>
      <x:c r="G315" s="88" t="str">
        <x:v>NES 10-pack extractor 20% sale</x:v>
      </x:c>
      <x:c r="H315" s="87" t="n">
        <x:f>'01 Base Costs'!$B$24</x:f>
        <x:v>3600</x:v>
      </x:c>
      <x:c r="I315" s="87" t="n">
        <x:f>'01 Base Costs'!$B$16</x:f>
        <x:v>485</x:v>
      </x:c>
      <x:c r="J315" s="87" t="n">
        <x:f>0</x:f>
        <x:v>0</x:v>
      </x:c>
      <x:c r="K315" s="87" t="n">
        <x:f>D315*(E315-1)*I315</x:f>
        <x:v>5820</x:v>
      </x:c>
      <x:c r="L315" s="87" t="n">
        <x:f>D315*(E315-1)*J315</x:f>
        <x:v>0</x:v>
      </x:c>
      <x:c r="M315" s="87" t="n">
        <x:f>0</x:f>
        <x:v>0</x:v>
      </x:c>
      <x:c r="N315" s="87" t="n">
        <x:f>H315+K315+M315</x:f>
        <x:v>9420</x:v>
      </x:c>
      <x:c r="O315" s="87" t="n">
        <x:f>N315*'01 Base Costs'!$B$7+L315</x:f>
        <x:v>45310200000</x:v>
      </x:c>
      <x:c r="P315" s="87" t="n">
        <x:f>D315*E315</x:f>
        <x:v>24</x:v>
      </x:c>
      <x:c r="Q315" s="87" t="n">
        <x:f>P315*'01 Base Costs'!$B$12</x:f>
        <x:v>46656000</x:v>
      </x:c>
      <x:c r="R315" s="87" t="n">
        <x:f>0</x:f>
        <x:v>0</x:v>
      </x:c>
      <x:c r="S315" s="87" t="n">
        <x:f>Q315+R315</x:f>
        <x:v>46656000</x:v>
      </x:c>
      <x:c r="T315" s="141" t="n">
        <x:f>S315/'01 Base Costs'!$B$14</x:f>
        <x:v>93.312</x:v>
      </x:c>
      <x:c r="U315" s="87" t="n">
        <x:f>INT(T315)</x:f>
        <x:v>93</x:v>
      </x:c>
      <x:c r="V315" s="87" t="n">
        <x:f>S315-U315*'01 Base Costs'!$B$14</x:f>
        <x:v>156000</x:v>
      </x:c>
      <x:c r="W315" s="120" t="n">
        <x:f>'01 Base Costs'!$B$19*0.8/10</x:f>
        <x:v>95.2</x:v>
      </x:c>
      <x:c r="X315" s="120" t="n">
        <x:f>0</x:f>
        <x:v>0</x:v>
      </x:c>
      <x:c r="Y315" s="87" t="n">
        <x:f>T315*(W315*'01 Base Costs'!$B$7+X315)</x:f>
        <x:v>42728684544</x:v>
      </x:c>
      <x:c r="Z315" s="87" t="n">
        <x:f>T315*'01 Base Costs'!$B$8</x:f>
        <x:v>70254604800</x:v>
      </x:c>
      <x:c r="AA315" s="87" t="n">
        <x:f>Z315*'01 Base Costs'!$B$11</x:f>
        <x:v>3512730240</x:v>
      </x:c>
      <x:c r="AB315" s="87" t="n">
        <x:f>Z315-AA315</x:f>
        <x:v>66741874560</x:v>
      </x:c>
      <x:c r="AC315" s="87" t="n">
        <x:f>O315+Y315</x:f>
        <x:v>88038884544</x:v>
      </x:c>
      <x:c r="AD315" s="87" t="n">
        <x:f>AB315-AC315</x:f>
        <x:v>-21297009984</x:v>
      </x:c>
      <x:c r="AE315" s="87" t="n">
        <x:f>AD315/D315</x:f>
        <x:v>-1774750832</x:v>
      </x:c>
      <x:c r="AF315" s="87" t="n">
        <x:f>AD315/P315</x:f>
        <x:v>-887375416</x:v>
      </x:c>
      <x:c r="AG315" s="87" t="n">
        <x:f>IF(T315=0,0,AC315/T315/(1-'01 Base Costs'!$B$11))</x:f>
        <x:v>993146755.4689193</x:v>
      </x:c>
      <x:c r="AH315" s="88" t="str">
        <x:f>IF(AD315&gt;0,"PROFIT","LOSS")</x:f>
        <x:v>LOSS</x:v>
      </x:c>
      <x:c r="AI315" s="89" t="str">
        <x:v>Base 12M Omega. MCT purchased with PLEX in NES. 10-pack at 20% off.</x:v>
      </x:c>
    </x:row>
    <x:row r="316">
      <x:c r="A316" s="86" t="n">
        <x:v>314</x:v>
      </x:c>
      <x:c r="B316" s="88" t="str">
        <x:v>Base</x:v>
      </x:c>
      <x:c r="C316" s="88" t="str">
        <x:v>12M Omega</x:v>
      </x:c>
      <x:c r="D316" s="88" t="n">
        <x:v>12</x:v>
      </x:c>
      <x:c r="E316" s="88" t="n">
        <x:v>2</x:v>
      </x:c>
      <x:c r="F316" s="88" t="str">
        <x:v>NES base MCT</x:v>
      </x:c>
      <x:c r="G316" s="88" t="str">
        <x:v>NES 50-pack extractor 20% sale</x:v>
      </x:c>
      <x:c r="H316" s="87" t="n">
        <x:f>'01 Base Costs'!$B$24</x:f>
        <x:v>3600</x:v>
      </x:c>
      <x:c r="I316" s="87" t="n">
        <x:f>'01 Base Costs'!$B$16</x:f>
        <x:v>485</x:v>
      </x:c>
      <x:c r="J316" s="87" t="n">
        <x:f>0</x:f>
        <x:v>0</x:v>
      </x:c>
      <x:c r="K316" s="87" t="n">
        <x:f>D316*(E316-1)*I316</x:f>
        <x:v>5820</x:v>
      </x:c>
      <x:c r="L316" s="87" t="n">
        <x:f>D316*(E316-1)*J316</x:f>
        <x:v>0</x:v>
      </x:c>
      <x:c r="M316" s="87" t="n">
        <x:f>0</x:f>
        <x:v>0</x:v>
      </x:c>
      <x:c r="N316" s="87" t="n">
        <x:f>H316+K316+M316</x:f>
        <x:v>9420</x:v>
      </x:c>
      <x:c r="O316" s="87" t="n">
        <x:f>N316*'01 Base Costs'!$B$7+L316</x:f>
        <x:v>45310200000</x:v>
      </x:c>
      <x:c r="P316" s="87" t="n">
        <x:f>D316*E316</x:f>
        <x:v>24</x:v>
      </x:c>
      <x:c r="Q316" s="87" t="n">
        <x:f>P316*'01 Base Costs'!$B$12</x:f>
        <x:v>46656000</x:v>
      </x:c>
      <x:c r="R316" s="87" t="n">
        <x:f>0</x:f>
        <x:v>0</x:v>
      </x:c>
      <x:c r="S316" s="87" t="n">
        <x:f>Q316+R316</x:f>
        <x:v>46656000</x:v>
      </x:c>
      <x:c r="T316" s="141" t="n">
        <x:f>S316/'01 Base Costs'!$B$14</x:f>
        <x:v>93.312</x:v>
      </x:c>
      <x:c r="U316" s="87" t="n">
        <x:f>INT(T316)</x:f>
        <x:v>93</x:v>
      </x:c>
      <x:c r="V316" s="87" t="n">
        <x:f>S316-U316*'01 Base Costs'!$B$14</x:f>
        <x:v>156000</x:v>
      </x:c>
      <x:c r="W316" s="120" t="n">
        <x:f>'01 Base Costs'!$B$20*0.8/50</x:f>
        <x:v>89.6</x:v>
      </x:c>
      <x:c r="X316" s="120" t="n">
        <x:f>0</x:f>
        <x:v>0</x:v>
      </x:c>
      <x:c r="Y316" s="87" t="n">
        <x:f>T316*(W316*'01 Base Costs'!$B$7+X316)</x:f>
        <x:v>40215232512</x:v>
      </x:c>
      <x:c r="Z316" s="87" t="n">
        <x:f>T316*'01 Base Costs'!$B$8</x:f>
        <x:v>70254604800</x:v>
      </x:c>
      <x:c r="AA316" s="87" t="n">
        <x:f>Z316*'01 Base Costs'!$B$11</x:f>
        <x:v>3512730240</x:v>
      </x:c>
      <x:c r="AB316" s="87" t="n">
        <x:f>Z316-AA316</x:f>
        <x:v>66741874560</x:v>
      </x:c>
      <x:c r="AC316" s="87" t="n">
        <x:f>O316+Y316</x:f>
        <x:v>85525432512</x:v>
      </x:c>
      <x:c r="AD316" s="87" t="n">
        <x:f>AB316-AC316</x:f>
        <x:v>-18783557952</x:v>
      </x:c>
      <x:c r="AE316" s="87" t="n">
        <x:f>AD316/D316</x:f>
        <x:v>-1565296496</x:v>
      </x:c>
      <x:c r="AF316" s="87" t="n">
        <x:f>AD316/P316</x:f>
        <x:v>-782648248</x:v>
      </x:c>
      <x:c r="AG316" s="87" t="n">
        <x:f>IF(T316=0,0,AC316/T316/(1-'01 Base Costs'!$B$11))</x:f>
        <x:v>964793071.258393</x:v>
      </x:c>
      <x:c r="AH316" s="88" t="str">
        <x:f>IF(AD316&gt;0,"PROFIT","LOSS")</x:f>
        <x:v>LOSS</x:v>
      </x:c>
      <x:c r="AI316" s="89" t="str">
        <x:v>Base 12M Omega. MCT purchased with PLEX in NES. 50-pack at 20% off.</x:v>
      </x:c>
    </x:row>
    <x:row r="317">
      <x:c r="A317" s="86" t="n">
        <x:v>315</x:v>
      </x:c>
      <x:c r="B317" s="88" t="str">
        <x:v>Base</x:v>
      </x:c>
      <x:c r="C317" s="88" t="str">
        <x:v>12M Omega</x:v>
      </x:c>
      <x:c r="D317" s="88" t="n">
        <x:v>12</x:v>
      </x:c>
      <x:c r="E317" s="88" t="n">
        <x:v>2</x:v>
      </x:c>
      <x:c r="F317" s="88" t="str">
        <x:v>NES base MCT</x:v>
      </x:c>
      <x:c r="G317" s="88" t="str">
        <x:v>Market Skill Extractor</x:v>
      </x:c>
      <x:c r="H317" s="87" t="n">
        <x:f>'01 Base Costs'!$B$24</x:f>
        <x:v>3600</x:v>
      </x:c>
      <x:c r="I317" s="87" t="n">
        <x:f>'01 Base Costs'!$B$16</x:f>
        <x:v>485</x:v>
      </x:c>
      <x:c r="J317" s="87" t="n">
        <x:f>0</x:f>
        <x:v>0</x:v>
      </x:c>
      <x:c r="K317" s="87" t="n">
        <x:f>D317*(E317-1)*I317</x:f>
        <x:v>5820</x:v>
      </x:c>
      <x:c r="L317" s="87" t="n">
        <x:f>D317*(E317-1)*J317</x:f>
        <x:v>0</x:v>
      </x:c>
      <x:c r="M317" s="87" t="n">
        <x:f>0</x:f>
        <x:v>0</x:v>
      </x:c>
      <x:c r="N317" s="87" t="n">
        <x:f>H317+K317+M317</x:f>
        <x:v>9420</x:v>
      </x:c>
      <x:c r="O317" s="87" t="n">
        <x:f>N317*'01 Base Costs'!$B$7+L317</x:f>
        <x:v>45310200000</x:v>
      </x:c>
      <x:c r="P317" s="87" t="n">
        <x:f>D317*E317</x:f>
        <x:v>24</x:v>
      </x:c>
      <x:c r="Q317" s="87" t="n">
        <x:f>P317*'01 Base Costs'!$B$12</x:f>
        <x:v>46656000</x:v>
      </x:c>
      <x:c r="R317" s="87" t="n">
        <x:f>0</x:f>
        <x:v>0</x:v>
      </x:c>
      <x:c r="S317" s="87" t="n">
        <x:f>Q317+R317</x:f>
        <x:v>46656000</x:v>
      </x:c>
      <x:c r="T317" s="141" t="n">
        <x:f>S317/'01 Base Costs'!$B$14</x:f>
        <x:v>93.312</x:v>
      </x:c>
      <x:c r="U317" s="87" t="n">
        <x:f>INT(T317)</x:f>
        <x:v>93</x:v>
      </x:c>
      <x:c r="V317" s="87" t="n">
        <x:f>S317-U317*'01 Base Costs'!$B$14</x:f>
        <x:v>156000</x:v>
      </x:c>
      <x:c r="W317" s="120" t="n">
        <x:f>0</x:f>
        <x:v>0</x:v>
      </x:c>
      <x:c r="X317" s="120" t="n">
        <x:f>'01 Base Costs'!$B$9</x:f>
        <x:v>463500000</x:v>
      </x:c>
      <x:c r="Y317" s="87" t="n">
        <x:f>T317*(W317*'01 Base Costs'!$B$7+X317)</x:f>
        <x:v>43250112000</x:v>
      </x:c>
      <x:c r="Z317" s="87" t="n">
        <x:f>T317*'01 Base Costs'!$B$8</x:f>
        <x:v>70254604800</x:v>
      </x:c>
      <x:c r="AA317" s="87" t="n">
        <x:f>Z317*'01 Base Costs'!$B$11</x:f>
        <x:v>3512730240</x:v>
      </x:c>
      <x:c r="AB317" s="87" t="n">
        <x:f>Z317-AA317</x:f>
        <x:v>66741874560</x:v>
      </x:c>
      <x:c r="AC317" s="87" t="n">
        <x:f>O317+Y317</x:f>
        <x:v>88560312000</x:v>
      </x:c>
      <x:c r="AD317" s="87" t="n">
        <x:f>AB317-AC317</x:f>
        <x:v>-21818437440</x:v>
      </x:c>
      <x:c r="AE317" s="87" t="n">
        <x:f>AD317/D317</x:f>
        <x:v>-1818203120</x:v>
      </x:c>
      <x:c r="AF317" s="87" t="n">
        <x:f>AD317/P317</x:f>
        <x:v>-909101560</x:v>
      </x:c>
      <x:c r="AG317" s="87" t="n">
        <x:f>IF(T317=0,0,AC317/T317/(1-'01 Base Costs'!$B$11))</x:f>
        <x:v>999028860.7320772</x:v>
      </x:c>
      <x:c r="AH317" s="88" t="str">
        <x:f>IF(AD317&gt;0,"PROFIT","LOSS")</x:f>
        <x:v>LOSS</x:v>
      </x:c>
      <x:c r="AI317" s="89" t="str">
        <x:v>Base 12M Omega. MCT purchased with PLEX in NES. Extractor bought on market with ISK.</x:v>
      </x:c>
    </x:row>
    <x:row r="318">
      <x:c r="A318" s="86" t="n">
        <x:v>316</x:v>
      </x:c>
      <x:c r="B318" s="88" t="str">
        <x:v>Base</x:v>
      </x:c>
      <x:c r="C318" s="88" t="str">
        <x:v>12M Omega</x:v>
      </x:c>
      <x:c r="D318" s="88" t="n">
        <x:v>12</x:v>
      </x:c>
      <x:c r="E318" s="88" t="n">
        <x:v>2</x:v>
      </x:c>
      <x:c r="F318" s="88" t="str">
        <x:v>NES MCT 20% sale</x:v>
      </x:c>
      <x:c r="G318" s="88" t="str">
        <x:v>NES single extractor</x:v>
      </x:c>
      <x:c r="H318" s="87" t="n">
        <x:f>'01 Base Costs'!$B$24</x:f>
        <x:v>3600</x:v>
      </x:c>
      <x:c r="I318" s="87" t="n">
        <x:f>'01 Base Costs'!$B$16*0.8</x:f>
        <x:v>388</x:v>
      </x:c>
      <x:c r="J318" s="87" t="n">
        <x:f>0</x:f>
        <x:v>0</x:v>
      </x:c>
      <x:c r="K318" s="87" t="n">
        <x:f>D318*(E318-1)*I318</x:f>
        <x:v>4656</x:v>
      </x:c>
      <x:c r="L318" s="87" t="n">
        <x:f>D318*(E318-1)*J318</x:f>
        <x:v>0</x:v>
      </x:c>
      <x:c r="M318" s="87" t="n">
        <x:f>0</x:f>
        <x:v>0</x:v>
      </x:c>
      <x:c r="N318" s="87" t="n">
        <x:f>H318+K318+M318</x:f>
        <x:v>8256</x:v>
      </x:c>
      <x:c r="O318" s="87" t="n">
        <x:f>N318*'01 Base Costs'!$B$7+L318</x:f>
        <x:v>39711360000</x:v>
      </x:c>
      <x:c r="P318" s="87" t="n">
        <x:f>D318*E318</x:f>
        <x:v>24</x:v>
      </x:c>
      <x:c r="Q318" s="87" t="n">
        <x:f>P318*'01 Base Costs'!$B$12</x:f>
        <x:v>46656000</x:v>
      </x:c>
      <x:c r="R318" s="87" t="n">
        <x:f>0</x:f>
        <x:v>0</x:v>
      </x:c>
      <x:c r="S318" s="87" t="n">
        <x:f>Q318+R318</x:f>
        <x:v>46656000</x:v>
      </x:c>
      <x:c r="T318" s="141" t="n">
        <x:f>S318/'01 Base Costs'!$B$14</x:f>
        <x:v>93.312</x:v>
      </x:c>
      <x:c r="U318" s="87" t="n">
        <x:f>INT(T318)</x:f>
        <x:v>93</x:v>
      </x:c>
      <x:c r="V318" s="87" t="n">
        <x:f>S318-U318*'01 Base Costs'!$B$14</x:f>
        <x:v>156000</x:v>
      </x:c>
      <x:c r="W318" s="120" t="n">
        <x:f>'01 Base Costs'!$B$17</x:f>
        <x:v>140</x:v>
      </x:c>
      <x:c r="X318" s="120" t="n">
        <x:f>0</x:f>
        <x:v>0</x:v>
      </x:c>
      <x:c r="Y318" s="87" t="n">
        <x:f>T318*(W318*'01 Base Costs'!$B$7+X318)</x:f>
        <x:v>62836300800</x:v>
      </x:c>
      <x:c r="Z318" s="87" t="n">
        <x:f>T318*'01 Base Costs'!$B$8</x:f>
        <x:v>70254604800</x:v>
      </x:c>
      <x:c r="AA318" s="87" t="n">
        <x:f>Z318*'01 Base Costs'!$B$11</x:f>
        <x:v>3512730240</x:v>
      </x:c>
      <x:c r="AB318" s="87" t="n">
        <x:f>Z318-AA318</x:f>
        <x:v>66741874560</x:v>
      </x:c>
      <x:c r="AC318" s="87" t="n">
        <x:f>O318+Y318</x:f>
        <x:v>102547660800</x:v>
      </x:c>
      <x:c r="AD318" s="87" t="n">
        <x:f>AB318-AC318</x:f>
        <x:v>-35805786240</x:v>
      </x:c>
      <x:c r="AE318" s="87" t="n">
        <x:f>AD318/D318</x:f>
        <x:v>-2983815520</x:v>
      </x:c>
      <x:c r="AF318" s="87" t="n">
        <x:f>AD318/P318</x:f>
        <x:v>-1491907760</x:v>
      </x:c>
      <x:c r="AG318" s="87" t="n">
        <x:f>IF(T318=0,0,AC318/T318/(1-'01 Base Costs'!$B$11))</x:f>
        <x:v>1156816980.7234135</x:v>
      </x:c>
      <x:c r="AH318" s="88" t="str">
        <x:f>IF(AD318&gt;0,"PROFIT","LOSS")</x:f>
        <x:v>LOSS</x:v>
      </x:c>
      <x:c r="AI318" s="89" t="str">
        <x:v>Base 12M Omega. MCT sale 20% off. Base single extractor.</x:v>
      </x:c>
    </x:row>
    <x:row r="319">
      <x:c r="A319" s="86" t="n">
        <x:v>317</x:v>
      </x:c>
      <x:c r="B319" s="88" t="str">
        <x:v>Base</x:v>
      </x:c>
      <x:c r="C319" s="88" t="str">
        <x:v>12M Omega</x:v>
      </x:c>
      <x:c r="D319" s="88" t="n">
        <x:v>12</x:v>
      </x:c>
      <x:c r="E319" s="88" t="n">
        <x:v>2</x:v>
      </x:c>
      <x:c r="F319" s="88" t="str">
        <x:v>NES MCT 20% sale</x:v>
      </x:c>
      <x:c r="G319" s="88" t="str">
        <x:v>NES 5-pack extractor</x:v>
      </x:c>
      <x:c r="H319" s="87" t="n">
        <x:f>'01 Base Costs'!$B$24</x:f>
        <x:v>3600</x:v>
      </x:c>
      <x:c r="I319" s="87" t="n">
        <x:f>'01 Base Costs'!$B$16*0.8</x:f>
        <x:v>388</x:v>
      </x:c>
      <x:c r="J319" s="87" t="n">
        <x:f>0</x:f>
        <x:v>0</x:v>
      </x:c>
      <x:c r="K319" s="87" t="n">
        <x:f>D319*(E319-1)*I319</x:f>
        <x:v>4656</x:v>
      </x:c>
      <x:c r="L319" s="87" t="n">
        <x:f>D319*(E319-1)*J319</x:f>
        <x:v>0</x:v>
      </x:c>
      <x:c r="M319" s="87" t="n">
        <x:f>0</x:f>
        <x:v>0</x:v>
      </x:c>
      <x:c r="N319" s="87" t="n">
        <x:f>H319+K319+M319</x:f>
        <x:v>8256</x:v>
      </x:c>
      <x:c r="O319" s="87" t="n">
        <x:f>N319*'01 Base Costs'!$B$7+L319</x:f>
        <x:v>39711360000</x:v>
      </x:c>
      <x:c r="P319" s="87" t="n">
        <x:f>D319*E319</x:f>
        <x:v>24</x:v>
      </x:c>
      <x:c r="Q319" s="87" t="n">
        <x:f>P319*'01 Base Costs'!$B$12</x:f>
        <x:v>46656000</x:v>
      </x:c>
      <x:c r="R319" s="87" t="n">
        <x:f>0</x:f>
        <x:v>0</x:v>
      </x:c>
      <x:c r="S319" s="87" t="n">
        <x:f>Q319+R319</x:f>
        <x:v>46656000</x:v>
      </x:c>
      <x:c r="T319" s="141" t="n">
        <x:f>S319/'01 Base Costs'!$B$14</x:f>
        <x:v>93.312</x:v>
      </x:c>
      <x:c r="U319" s="87" t="n">
        <x:f>INT(T319)</x:f>
        <x:v>93</x:v>
      </x:c>
      <x:c r="V319" s="87" t="n">
        <x:f>S319-U319*'01 Base Costs'!$B$14</x:f>
        <x:v>156000</x:v>
      </x:c>
      <x:c r="W319" s="120" t="n">
        <x:f>'01 Base Costs'!$B$18/5</x:f>
        <x:v>126</x:v>
      </x:c>
      <x:c r="X319" s="120" t="n">
        <x:f>0</x:f>
        <x:v>0</x:v>
      </x:c>
      <x:c r="Y319" s="87" t="n">
        <x:f>T319*(W319*'01 Base Costs'!$B$7+X319)</x:f>
        <x:v>56552670720</x:v>
      </x:c>
      <x:c r="Z319" s="87" t="n">
        <x:f>T319*'01 Base Costs'!$B$8</x:f>
        <x:v>70254604800</x:v>
      </x:c>
      <x:c r="AA319" s="87" t="n">
        <x:f>Z319*'01 Base Costs'!$B$11</x:f>
        <x:v>3512730240</x:v>
      </x:c>
      <x:c r="AB319" s="87" t="n">
        <x:f>Z319-AA319</x:f>
        <x:v>66741874560</x:v>
      </x:c>
      <x:c r="AC319" s="87" t="n">
        <x:f>O319+Y319</x:f>
        <x:v>96264030720</x:v>
      </x:c>
      <x:c r="AD319" s="87" t="n">
        <x:f>AB319-AC319</x:f>
        <x:v>-29522156160</x:v>
      </x:c>
      <x:c r="AE319" s="87" t="n">
        <x:f>AD319/D319</x:f>
        <x:v>-2460179680</x:v>
      </x:c>
      <x:c r="AF319" s="87" t="n">
        <x:f>AD319/P319</x:f>
        <x:v>-1230089840</x:v>
      </x:c>
      <x:c r="AG319" s="87" t="n">
        <x:f>IF(T319=0,0,AC319/T319/(1-'01 Base Costs'!$B$11))</x:f>
        <x:v>1085932770.1970978</x:v>
      </x:c>
      <x:c r="AH319" s="88" t="str">
        <x:f>IF(AD319&gt;0,"PROFIT","LOSS")</x:f>
        <x:v>LOSS</x:v>
      </x:c>
      <x:c r="AI319" s="89" t="str">
        <x:v>Base 12M Omega. MCT sale 20% off. Base 5-pack average.</x:v>
      </x:c>
    </x:row>
    <x:row r="320">
      <x:c r="A320" s="86" t="n">
        <x:v>318</x:v>
      </x:c>
      <x:c r="B320" s="88" t="str">
        <x:v>Base</x:v>
      </x:c>
      <x:c r="C320" s="88" t="str">
        <x:v>12M Omega</x:v>
      </x:c>
      <x:c r="D320" s="88" t="n">
        <x:v>12</x:v>
      </x:c>
      <x:c r="E320" s="88" t="n">
        <x:v>2</x:v>
      </x:c>
      <x:c r="F320" s="88" t="str">
        <x:v>NES MCT 20% sale</x:v>
      </x:c>
      <x:c r="G320" s="88" t="str">
        <x:v>NES 10-pack extractor</x:v>
      </x:c>
      <x:c r="H320" s="87" t="n">
        <x:f>'01 Base Costs'!$B$24</x:f>
        <x:v>3600</x:v>
      </x:c>
      <x:c r="I320" s="87" t="n">
        <x:f>'01 Base Costs'!$B$16*0.8</x:f>
        <x:v>388</x:v>
      </x:c>
      <x:c r="J320" s="87" t="n">
        <x:f>0</x:f>
        <x:v>0</x:v>
      </x:c>
      <x:c r="K320" s="87" t="n">
        <x:f>D320*(E320-1)*I320</x:f>
        <x:v>4656</x:v>
      </x:c>
      <x:c r="L320" s="87" t="n">
        <x:f>D320*(E320-1)*J320</x:f>
        <x:v>0</x:v>
      </x:c>
      <x:c r="M320" s="87" t="n">
        <x:f>0</x:f>
        <x:v>0</x:v>
      </x:c>
      <x:c r="N320" s="87" t="n">
        <x:f>H320+K320+M320</x:f>
        <x:v>8256</x:v>
      </x:c>
      <x:c r="O320" s="87" t="n">
        <x:f>N320*'01 Base Costs'!$B$7+L320</x:f>
        <x:v>39711360000</x:v>
      </x:c>
      <x:c r="P320" s="87" t="n">
        <x:f>D320*E320</x:f>
        <x:v>24</x:v>
      </x:c>
      <x:c r="Q320" s="87" t="n">
        <x:f>P320*'01 Base Costs'!$B$12</x:f>
        <x:v>46656000</x:v>
      </x:c>
      <x:c r="R320" s="87" t="n">
        <x:f>0</x:f>
        <x:v>0</x:v>
      </x:c>
      <x:c r="S320" s="87" t="n">
        <x:f>Q320+R320</x:f>
        <x:v>46656000</x:v>
      </x:c>
      <x:c r="T320" s="141" t="n">
        <x:f>S320/'01 Base Costs'!$B$14</x:f>
        <x:v>93.312</x:v>
      </x:c>
      <x:c r="U320" s="87" t="n">
        <x:f>INT(T320)</x:f>
        <x:v>93</x:v>
      </x:c>
      <x:c r="V320" s="87" t="n">
        <x:f>S320-U320*'01 Base Costs'!$B$14</x:f>
        <x:v>156000</x:v>
      </x:c>
      <x:c r="W320" s="120" t="n">
        <x:f>'01 Base Costs'!$B$19/10</x:f>
        <x:v>119</x:v>
      </x:c>
      <x:c r="X320" s="120" t="n">
        <x:f>0</x:f>
        <x:v>0</x:v>
      </x:c>
      <x:c r="Y320" s="87" t="n">
        <x:f>T320*(W320*'01 Base Costs'!$B$7+X320)</x:f>
        <x:v>53410855680</x:v>
      </x:c>
      <x:c r="Z320" s="87" t="n">
        <x:f>T320*'01 Base Costs'!$B$8</x:f>
        <x:v>70254604800</x:v>
      </x:c>
      <x:c r="AA320" s="87" t="n">
        <x:f>Z320*'01 Base Costs'!$B$11</x:f>
        <x:v>3512730240</x:v>
      </x:c>
      <x:c r="AB320" s="87" t="n">
        <x:f>Z320-AA320</x:f>
        <x:v>66741874560</x:v>
      </x:c>
      <x:c r="AC320" s="87" t="n">
        <x:f>O320+Y320</x:f>
        <x:v>93122215680</x:v>
      </x:c>
      <x:c r="AD320" s="87" t="n">
        <x:f>AB320-AC320</x:f>
        <x:v>-26380341120</x:v>
      </x:c>
      <x:c r="AE320" s="87" t="n">
        <x:f>AD320/D320</x:f>
        <x:v>-2198361760</x:v>
      </x:c>
      <x:c r="AF320" s="87" t="n">
        <x:f>AD320/P320</x:f>
        <x:v>-1099180880</x:v>
      </x:c>
      <x:c r="AG320" s="87" t="n">
        <x:f>IF(T320=0,0,AC320/T320/(1-'01 Base Costs'!$B$11))</x:f>
        <x:v>1050490664.9339399</x:v>
      </x:c>
      <x:c r="AH320" s="88" t="str">
        <x:f>IF(AD320&gt;0,"PROFIT","LOSS")</x:f>
        <x:v>LOSS</x:v>
      </x:c>
      <x:c r="AI320" s="89" t="str">
        <x:v>Base 12M Omega. MCT sale 20% off. Base 10-pack average.</x:v>
      </x:c>
    </x:row>
    <x:row r="321">
      <x:c r="A321" s="86" t="n">
        <x:v>319</x:v>
      </x:c>
      <x:c r="B321" s="88" t="str">
        <x:v>Base</x:v>
      </x:c>
      <x:c r="C321" s="88" t="str">
        <x:v>12M Omega</x:v>
      </x:c>
      <x:c r="D321" s="88" t="n">
        <x:v>12</x:v>
      </x:c>
      <x:c r="E321" s="88" t="n">
        <x:v>2</x:v>
      </x:c>
      <x:c r="F321" s="88" t="str">
        <x:v>NES MCT 20% sale</x:v>
      </x:c>
      <x:c r="G321" s="88" t="str">
        <x:v>NES 50-pack extractor</x:v>
      </x:c>
      <x:c r="H321" s="87" t="n">
        <x:f>'01 Base Costs'!$B$24</x:f>
        <x:v>3600</x:v>
      </x:c>
      <x:c r="I321" s="87" t="n">
        <x:f>'01 Base Costs'!$B$16*0.8</x:f>
        <x:v>388</x:v>
      </x:c>
      <x:c r="J321" s="87" t="n">
        <x:f>0</x:f>
        <x:v>0</x:v>
      </x:c>
      <x:c r="K321" s="87" t="n">
        <x:f>D321*(E321-1)*I321</x:f>
        <x:v>4656</x:v>
      </x:c>
      <x:c r="L321" s="87" t="n">
        <x:f>D321*(E321-1)*J321</x:f>
        <x:v>0</x:v>
      </x:c>
      <x:c r="M321" s="87" t="n">
        <x:f>0</x:f>
        <x:v>0</x:v>
      </x:c>
      <x:c r="N321" s="87" t="n">
        <x:f>H321+K321+M321</x:f>
        <x:v>8256</x:v>
      </x:c>
      <x:c r="O321" s="87" t="n">
        <x:f>N321*'01 Base Costs'!$B$7+L321</x:f>
        <x:v>39711360000</x:v>
      </x:c>
      <x:c r="P321" s="87" t="n">
        <x:f>D321*E321</x:f>
        <x:v>24</x:v>
      </x:c>
      <x:c r="Q321" s="87" t="n">
        <x:f>P321*'01 Base Costs'!$B$12</x:f>
        <x:v>46656000</x:v>
      </x:c>
      <x:c r="R321" s="87" t="n">
        <x:f>0</x:f>
        <x:v>0</x:v>
      </x:c>
      <x:c r="S321" s="87" t="n">
        <x:f>Q321+R321</x:f>
        <x:v>46656000</x:v>
      </x:c>
      <x:c r="T321" s="141" t="n">
        <x:f>S321/'01 Base Costs'!$B$14</x:f>
        <x:v>93.312</x:v>
      </x:c>
      <x:c r="U321" s="87" t="n">
        <x:f>INT(T321)</x:f>
        <x:v>93</x:v>
      </x:c>
      <x:c r="V321" s="87" t="n">
        <x:f>S321-U321*'01 Base Costs'!$B$14</x:f>
        <x:v>156000</x:v>
      </x:c>
      <x:c r="W321" s="120" t="n">
        <x:f>'01 Base Costs'!$B$20/50</x:f>
        <x:v>112</x:v>
      </x:c>
      <x:c r="X321" s="120" t="n">
        <x:f>0</x:f>
        <x:v>0</x:v>
      </x:c>
      <x:c r="Y321" s="87" t="n">
        <x:f>T321*(W321*'01 Base Costs'!$B$7+X321)</x:f>
        <x:v>50269040640</x:v>
      </x:c>
      <x:c r="Z321" s="87" t="n">
        <x:f>T321*'01 Base Costs'!$B$8</x:f>
        <x:v>70254604800</x:v>
      </x:c>
      <x:c r="AA321" s="87" t="n">
        <x:f>Z321*'01 Base Costs'!$B$11</x:f>
        <x:v>3512730240</x:v>
      </x:c>
      <x:c r="AB321" s="87" t="n">
        <x:f>Z321-AA321</x:f>
        <x:v>66741874560</x:v>
      </x:c>
      <x:c r="AC321" s="87" t="n">
        <x:f>O321+Y321</x:f>
        <x:v>89980400640</x:v>
      </x:c>
      <x:c r="AD321" s="87" t="n">
        <x:f>AB321-AC321</x:f>
        <x:v>-23238526080</x:v>
      </x:c>
      <x:c r="AE321" s="87" t="n">
        <x:f>AD321/D321</x:f>
        <x:v>-1936543840</x:v>
      </x:c>
      <x:c r="AF321" s="87" t="n">
        <x:f>AD321/P321</x:f>
        <x:v>-968271920</x:v>
      </x:c>
      <x:c r="AG321" s="87" t="n">
        <x:f>IF(T321=0,0,AC321/T321/(1-'01 Base Costs'!$B$11))</x:f>
        <x:v>1015048559.670782</x:v>
      </x:c>
      <x:c r="AH321" s="88" t="str">
        <x:f>IF(AD321&gt;0,"PROFIT","LOSS")</x:f>
        <x:v>LOSS</x:v>
      </x:c>
      <x:c r="AI321" s="89" t="str">
        <x:v>Base 12M Omega. MCT sale 20% off. Base 50-pack average.</x:v>
      </x:c>
    </x:row>
    <x:row r="322">
      <x:c r="A322" s="86" t="n">
        <x:v>320</x:v>
      </x:c>
      <x:c r="B322" s="88" t="str">
        <x:v>Base</x:v>
      </x:c>
      <x:c r="C322" s="88" t="str">
        <x:v>12M Omega</x:v>
      </x:c>
      <x:c r="D322" s="88" t="n">
        <x:v>12</x:v>
      </x:c>
      <x:c r="E322" s="88" t="n">
        <x:v>2</x:v>
      </x:c>
      <x:c r="F322" s="88" t="str">
        <x:v>NES MCT 20% sale</x:v>
      </x:c>
      <x:c r="G322" s="88" t="str">
        <x:v>NES 3-for-2 extractor sale</x:v>
      </x:c>
      <x:c r="H322" s="87" t="n">
        <x:f>'01 Base Costs'!$B$24</x:f>
        <x:v>3600</x:v>
      </x:c>
      <x:c r="I322" s="87" t="n">
        <x:f>'01 Base Costs'!$B$16*0.8</x:f>
        <x:v>388</x:v>
      </x:c>
      <x:c r="J322" s="87" t="n">
        <x:f>0</x:f>
        <x:v>0</x:v>
      </x:c>
      <x:c r="K322" s="87" t="n">
        <x:f>D322*(E322-1)*I322</x:f>
        <x:v>4656</x:v>
      </x:c>
      <x:c r="L322" s="87" t="n">
        <x:f>D322*(E322-1)*J322</x:f>
        <x:v>0</x:v>
      </x:c>
      <x:c r="M322" s="87" t="n">
        <x:f>0</x:f>
        <x:v>0</x:v>
      </x:c>
      <x:c r="N322" s="87" t="n">
        <x:f>H322+K322+M322</x:f>
        <x:v>8256</x:v>
      </x:c>
      <x:c r="O322" s="87" t="n">
        <x:f>N322*'01 Base Costs'!$B$7+L322</x:f>
        <x:v>39711360000</x:v>
      </x:c>
      <x:c r="P322" s="87" t="n">
        <x:f>D322*E322</x:f>
        <x:v>24</x:v>
      </x:c>
      <x:c r="Q322" s="87" t="n">
        <x:f>P322*'01 Base Costs'!$B$12</x:f>
        <x:v>46656000</x:v>
      </x:c>
      <x:c r="R322" s="87" t="n">
        <x:f>0</x:f>
        <x:v>0</x:v>
      </x:c>
      <x:c r="S322" s="87" t="n">
        <x:f>Q322+R322</x:f>
        <x:v>46656000</x:v>
      </x:c>
      <x:c r="T322" s="141" t="n">
        <x:f>S322/'01 Base Costs'!$B$14</x:f>
        <x:v>93.312</x:v>
      </x:c>
      <x:c r="U322" s="87" t="n">
        <x:f>INT(T322)</x:f>
        <x:v>93</x:v>
      </x:c>
      <x:c r="V322" s="87" t="n">
        <x:f>S322-U322*'01 Base Costs'!$B$14</x:f>
        <x:v>156000</x:v>
      </x:c>
      <x:c r="W322" s="120" t="n">
        <x:f>'01 Base Costs'!$B$17*2/3</x:f>
        <x:v>93.33333333333333</x:v>
      </x:c>
      <x:c r="X322" s="120" t="n">
        <x:f>0</x:f>
        <x:v>0</x:v>
      </x:c>
      <x:c r="Y322" s="87" t="n">
        <x:f>T322*(W322*'01 Base Costs'!$B$7+X322)</x:f>
        <x:v>41890867200</x:v>
      </x:c>
      <x:c r="Z322" s="87" t="n">
        <x:f>T322*'01 Base Costs'!$B$8</x:f>
        <x:v>70254604800</x:v>
      </x:c>
      <x:c r="AA322" s="87" t="n">
        <x:f>Z322*'01 Base Costs'!$B$11</x:f>
        <x:v>3512730240</x:v>
      </x:c>
      <x:c r="AB322" s="87" t="n">
        <x:f>Z322-AA322</x:f>
        <x:v>66741874560</x:v>
      </x:c>
      <x:c r="AC322" s="87" t="n">
        <x:f>O322+Y322</x:f>
        <x:v>81602227200</x:v>
      </x:c>
      <x:c r="AD322" s="87" t="n">
        <x:f>AB322-AC322</x:f>
        <x:v>-14860352640</x:v>
      </x:c>
      <x:c r="AE322" s="87" t="n">
        <x:f>AD322/D322</x:f>
        <x:v>-1238362720</x:v>
      </x:c>
      <x:c r="AF322" s="87" t="n">
        <x:f>AD322/P322</x:f>
        <x:v>-619181360</x:v>
      </x:c>
      <x:c r="AG322" s="87" t="n">
        <x:f>IF(T322=0,0,AC322/T322/(1-'01 Base Costs'!$B$11))</x:f>
        <x:v>920536278.9690275</x:v>
      </x:c>
      <x:c r="AH322" s="88" t="str">
        <x:f>IF(AD322&gt;0,"PROFIT","LOSS")</x:f>
        <x:v>LOSS</x:v>
      </x:c>
      <x:c r="AI322" s="89" t="str">
        <x:v>Base 12M Omega. MCT sale 20% off. Extractor 3-for-2 sale.</x:v>
      </x:c>
    </x:row>
    <x:row r="323">
      <x:c r="A323" s="86" t="n">
        <x:v>321</x:v>
      </x:c>
      <x:c r="B323" s="88" t="str">
        <x:v>Base</x:v>
      </x:c>
      <x:c r="C323" s="88" t="str">
        <x:v>12M Omega</x:v>
      </x:c>
      <x:c r="D323" s="88" t="n">
        <x:v>12</x:v>
      </x:c>
      <x:c r="E323" s="88" t="n">
        <x:v>2</x:v>
      </x:c>
      <x:c r="F323" s="88" t="str">
        <x:v>NES MCT 20% sale</x:v>
      </x:c>
      <x:c r="G323" s="88" t="str">
        <x:v>NES 2-for-1 extractor sale</x:v>
      </x:c>
      <x:c r="H323" s="87" t="n">
        <x:f>'01 Base Costs'!$B$24</x:f>
        <x:v>3600</x:v>
      </x:c>
      <x:c r="I323" s="87" t="n">
        <x:f>'01 Base Costs'!$B$16*0.8</x:f>
        <x:v>388</x:v>
      </x:c>
      <x:c r="J323" s="87" t="n">
        <x:f>0</x:f>
        <x:v>0</x:v>
      </x:c>
      <x:c r="K323" s="87" t="n">
        <x:f>D323*(E323-1)*I323</x:f>
        <x:v>4656</x:v>
      </x:c>
      <x:c r="L323" s="87" t="n">
        <x:f>D323*(E323-1)*J323</x:f>
        <x:v>0</x:v>
      </x:c>
      <x:c r="M323" s="87" t="n">
        <x:f>0</x:f>
        <x:v>0</x:v>
      </x:c>
      <x:c r="N323" s="87" t="n">
        <x:f>H323+K323+M323</x:f>
        <x:v>8256</x:v>
      </x:c>
      <x:c r="O323" s="87" t="n">
        <x:f>N323*'01 Base Costs'!$B$7+L323</x:f>
        <x:v>39711360000</x:v>
      </x:c>
      <x:c r="P323" s="87" t="n">
        <x:f>D323*E323</x:f>
        <x:v>24</x:v>
      </x:c>
      <x:c r="Q323" s="87" t="n">
        <x:f>P323*'01 Base Costs'!$B$12</x:f>
        <x:v>46656000</x:v>
      </x:c>
      <x:c r="R323" s="87" t="n">
        <x:f>0</x:f>
        <x:v>0</x:v>
      </x:c>
      <x:c r="S323" s="87" t="n">
        <x:f>Q323+R323</x:f>
        <x:v>46656000</x:v>
      </x:c>
      <x:c r="T323" s="141" t="n">
        <x:f>S323/'01 Base Costs'!$B$14</x:f>
        <x:v>93.312</x:v>
      </x:c>
      <x:c r="U323" s="87" t="n">
        <x:f>INT(T323)</x:f>
        <x:v>93</x:v>
      </x:c>
      <x:c r="V323" s="87" t="n">
        <x:f>S323-U323*'01 Base Costs'!$B$14</x:f>
        <x:v>156000</x:v>
      </x:c>
      <x:c r="W323" s="120" t="n">
        <x:f>'01 Base Costs'!$B$17/2</x:f>
        <x:v>70</x:v>
      </x:c>
      <x:c r="X323" s="120" t="n">
        <x:f>0</x:f>
        <x:v>0</x:v>
      </x:c>
      <x:c r="Y323" s="87" t="n">
        <x:f>T323*(W323*'01 Base Costs'!$B$7+X323)</x:f>
        <x:v>31418150400</x:v>
      </x:c>
      <x:c r="Z323" s="87" t="n">
        <x:f>T323*'01 Base Costs'!$B$8</x:f>
        <x:v>70254604800</x:v>
      </x:c>
      <x:c r="AA323" s="87" t="n">
        <x:f>Z323*'01 Base Costs'!$B$11</x:f>
        <x:v>3512730240</x:v>
      </x:c>
      <x:c r="AB323" s="87" t="n">
        <x:f>Z323-AA323</x:f>
        <x:v>66741874560</x:v>
      </x:c>
      <x:c r="AC323" s="87" t="n">
        <x:f>O323+Y323</x:f>
        <x:v>71129510400</x:v>
      </x:c>
      <x:c r="AD323" s="87" t="n">
        <x:f>AB323-AC323</x:f>
        <x:v>-4387635840</x:v>
      </x:c>
      <x:c r="AE323" s="87" t="n">
        <x:f>AD323/D323</x:f>
        <x:v>-365636320</x:v>
      </x:c>
      <x:c r="AF323" s="87" t="n">
        <x:f>AD323/P323</x:f>
        <x:v>-182818160</x:v>
      </x:c>
      <x:c r="AG323" s="87" t="n">
        <x:f>IF(T323=0,0,AC323/T323/(1-'01 Base Costs'!$B$11))</x:f>
        <x:v>802395928.0918347</x:v>
      </x:c>
      <x:c r="AH323" s="88" t="str">
        <x:f>IF(AD323&gt;0,"PROFIT","LOSS")</x:f>
        <x:v>LOSS</x:v>
      </x:c>
      <x:c r="AI323" s="89" t="str">
        <x:v>Base 12M Omega. MCT sale 20% off. Extractor 2-for-1 sale.</x:v>
      </x:c>
    </x:row>
    <x:row r="324">
      <x:c r="A324" s="86" t="n">
        <x:v>322</x:v>
      </x:c>
      <x:c r="B324" s="88" t="str">
        <x:v>Base</x:v>
      </x:c>
      <x:c r="C324" s="88" t="str">
        <x:v>12M Omega</x:v>
      </x:c>
      <x:c r="D324" s="88" t="n">
        <x:v>12</x:v>
      </x:c>
      <x:c r="E324" s="88" t="n">
        <x:v>2</x:v>
      </x:c>
      <x:c r="F324" s="88" t="str">
        <x:v>NES MCT 20% sale</x:v>
      </x:c>
      <x:c r="G324" s="88" t="str">
        <x:v>NES 10-pack extractor 20% sale</x:v>
      </x:c>
      <x:c r="H324" s="87" t="n">
        <x:f>'01 Base Costs'!$B$24</x:f>
        <x:v>3600</x:v>
      </x:c>
      <x:c r="I324" s="87" t="n">
        <x:f>'01 Base Costs'!$B$16*0.8</x:f>
        <x:v>388</x:v>
      </x:c>
      <x:c r="J324" s="87" t="n">
        <x:f>0</x:f>
        <x:v>0</x:v>
      </x:c>
      <x:c r="K324" s="87" t="n">
        <x:f>D324*(E324-1)*I324</x:f>
        <x:v>4656</x:v>
      </x:c>
      <x:c r="L324" s="87" t="n">
        <x:f>D324*(E324-1)*J324</x:f>
        <x:v>0</x:v>
      </x:c>
      <x:c r="M324" s="87" t="n">
        <x:f>0</x:f>
        <x:v>0</x:v>
      </x:c>
      <x:c r="N324" s="87" t="n">
        <x:f>H324+K324+M324</x:f>
        <x:v>8256</x:v>
      </x:c>
      <x:c r="O324" s="87" t="n">
        <x:f>N324*'01 Base Costs'!$B$7+L324</x:f>
        <x:v>39711360000</x:v>
      </x:c>
      <x:c r="P324" s="87" t="n">
        <x:f>D324*E324</x:f>
        <x:v>24</x:v>
      </x:c>
      <x:c r="Q324" s="87" t="n">
        <x:f>P324*'01 Base Costs'!$B$12</x:f>
        <x:v>46656000</x:v>
      </x:c>
      <x:c r="R324" s="87" t="n">
        <x:f>0</x:f>
        <x:v>0</x:v>
      </x:c>
      <x:c r="S324" s="87" t="n">
        <x:f>Q324+R324</x:f>
        <x:v>46656000</x:v>
      </x:c>
      <x:c r="T324" s="141" t="n">
        <x:f>S324/'01 Base Costs'!$B$14</x:f>
        <x:v>93.312</x:v>
      </x:c>
      <x:c r="U324" s="87" t="n">
        <x:f>INT(T324)</x:f>
        <x:v>93</x:v>
      </x:c>
      <x:c r="V324" s="87" t="n">
        <x:f>S324-U324*'01 Base Costs'!$B$14</x:f>
        <x:v>156000</x:v>
      </x:c>
      <x:c r="W324" s="120" t="n">
        <x:f>'01 Base Costs'!$B$19*0.8/10</x:f>
        <x:v>95.2</x:v>
      </x:c>
      <x:c r="X324" s="120" t="n">
        <x:f>0</x:f>
        <x:v>0</x:v>
      </x:c>
      <x:c r="Y324" s="87" t="n">
        <x:f>T324*(W324*'01 Base Costs'!$B$7+X324)</x:f>
        <x:v>42728684544</x:v>
      </x:c>
      <x:c r="Z324" s="87" t="n">
        <x:f>T324*'01 Base Costs'!$B$8</x:f>
        <x:v>70254604800</x:v>
      </x:c>
      <x:c r="AA324" s="87" t="n">
        <x:f>Z324*'01 Base Costs'!$B$11</x:f>
        <x:v>3512730240</x:v>
      </x:c>
      <x:c r="AB324" s="87" t="n">
        <x:f>Z324-AA324</x:f>
        <x:v>66741874560</x:v>
      </x:c>
      <x:c r="AC324" s="87" t="n">
        <x:f>O324+Y324</x:f>
        <x:v>82440044544</x:v>
      </x:c>
      <x:c r="AD324" s="87" t="n">
        <x:f>AB324-AC324</x:f>
        <x:v>-15698169984</x:v>
      </x:c>
      <x:c r="AE324" s="87" t="n">
        <x:f>AD324/D324</x:f>
        <x:v>-1308180832</x:v>
      </x:c>
      <x:c r="AF324" s="87" t="n">
        <x:f>AD324/P324</x:f>
        <x:v>-654090416</x:v>
      </x:c>
      <x:c r="AG324" s="87" t="n">
        <x:f>IF(T324=0,0,AC324/T324/(1-'01 Base Costs'!$B$11))</x:f>
        <x:v>929987507.039203</x:v>
      </x:c>
      <x:c r="AH324" s="88" t="str">
        <x:f>IF(AD324&gt;0,"PROFIT","LOSS")</x:f>
        <x:v>LOSS</x:v>
      </x:c>
      <x:c r="AI324" s="89" t="str">
        <x:v>Base 12M Omega. MCT sale 20% off. 10-pack at 20% off.</x:v>
      </x:c>
    </x:row>
    <x:row r="325">
      <x:c r="A325" s="86" t="n">
        <x:v>323</x:v>
      </x:c>
      <x:c r="B325" s="88" t="str">
        <x:v>Base</x:v>
      </x:c>
      <x:c r="C325" s="88" t="str">
        <x:v>12M Omega</x:v>
      </x:c>
      <x:c r="D325" s="88" t="n">
        <x:v>12</x:v>
      </x:c>
      <x:c r="E325" s="88" t="n">
        <x:v>2</x:v>
      </x:c>
      <x:c r="F325" s="88" t="str">
        <x:v>NES MCT 20% sale</x:v>
      </x:c>
      <x:c r="G325" s="88" t="str">
        <x:v>NES 50-pack extractor 20% sale</x:v>
      </x:c>
      <x:c r="H325" s="87" t="n">
        <x:f>'01 Base Costs'!$B$24</x:f>
        <x:v>3600</x:v>
      </x:c>
      <x:c r="I325" s="87" t="n">
        <x:f>'01 Base Costs'!$B$16*0.8</x:f>
        <x:v>388</x:v>
      </x:c>
      <x:c r="J325" s="87" t="n">
        <x:f>0</x:f>
        <x:v>0</x:v>
      </x:c>
      <x:c r="K325" s="87" t="n">
        <x:f>D325*(E325-1)*I325</x:f>
        <x:v>4656</x:v>
      </x:c>
      <x:c r="L325" s="87" t="n">
        <x:f>D325*(E325-1)*J325</x:f>
        <x:v>0</x:v>
      </x:c>
      <x:c r="M325" s="87" t="n">
        <x:f>0</x:f>
        <x:v>0</x:v>
      </x:c>
      <x:c r="N325" s="87" t="n">
        <x:f>H325+K325+M325</x:f>
        <x:v>8256</x:v>
      </x:c>
      <x:c r="O325" s="87" t="n">
        <x:f>N325*'01 Base Costs'!$B$7+L325</x:f>
        <x:v>39711360000</x:v>
      </x:c>
      <x:c r="P325" s="87" t="n">
        <x:f>D325*E325</x:f>
        <x:v>24</x:v>
      </x:c>
      <x:c r="Q325" s="87" t="n">
        <x:f>P325*'01 Base Costs'!$B$12</x:f>
        <x:v>46656000</x:v>
      </x:c>
      <x:c r="R325" s="87" t="n">
        <x:f>0</x:f>
        <x:v>0</x:v>
      </x:c>
      <x:c r="S325" s="87" t="n">
        <x:f>Q325+R325</x:f>
        <x:v>46656000</x:v>
      </x:c>
      <x:c r="T325" s="141" t="n">
        <x:f>S325/'01 Base Costs'!$B$14</x:f>
        <x:v>93.312</x:v>
      </x:c>
      <x:c r="U325" s="87" t="n">
        <x:f>INT(T325)</x:f>
        <x:v>93</x:v>
      </x:c>
      <x:c r="V325" s="87" t="n">
        <x:f>S325-U325*'01 Base Costs'!$B$14</x:f>
        <x:v>156000</x:v>
      </x:c>
      <x:c r="W325" s="120" t="n">
        <x:f>'01 Base Costs'!$B$20*0.8/50</x:f>
        <x:v>89.6</x:v>
      </x:c>
      <x:c r="X325" s="120" t="n">
        <x:f>0</x:f>
        <x:v>0</x:v>
      </x:c>
      <x:c r="Y325" s="87" t="n">
        <x:f>T325*(W325*'01 Base Costs'!$B$7+X325)</x:f>
        <x:v>40215232512</x:v>
      </x:c>
      <x:c r="Z325" s="87" t="n">
        <x:f>T325*'01 Base Costs'!$B$8</x:f>
        <x:v>70254604800</x:v>
      </x:c>
      <x:c r="AA325" s="87" t="n">
        <x:f>Z325*'01 Base Costs'!$B$11</x:f>
        <x:v>3512730240</x:v>
      </x:c>
      <x:c r="AB325" s="87" t="n">
        <x:f>Z325-AA325</x:f>
        <x:v>66741874560</x:v>
      </x:c>
      <x:c r="AC325" s="87" t="n">
        <x:f>O325+Y325</x:f>
        <x:v>79926592512</x:v>
      </x:c>
      <x:c r="AD325" s="87" t="n">
        <x:f>AB325-AC325</x:f>
        <x:v>-13184717952</x:v>
      </x:c>
      <x:c r="AE325" s="87" t="n">
        <x:f>AD325/D325</x:f>
        <x:v>-1098726496</x:v>
      </x:c>
      <x:c r="AF325" s="87" t="n">
        <x:f>AD325/P325</x:f>
        <x:v>-549363248</x:v>
      </x:c>
      <x:c r="AG325" s="87" t="n">
        <x:f>IF(T325=0,0,AC325/T325/(1-'01 Base Costs'!$B$11))</x:f>
        <x:v>901633822.8286767</x:v>
      </x:c>
      <x:c r="AH325" s="88" t="str">
        <x:f>IF(AD325&gt;0,"PROFIT","LOSS")</x:f>
        <x:v>LOSS</x:v>
      </x:c>
      <x:c r="AI325" s="89" t="str">
        <x:v>Base 12M Omega. MCT sale 20% off. 50-pack at 20% off.</x:v>
      </x:c>
    </x:row>
    <x:row r="326">
      <x:c r="A326" s="86" t="n">
        <x:v>324</x:v>
      </x:c>
      <x:c r="B326" s="88" t="str">
        <x:v>Base</x:v>
      </x:c>
      <x:c r="C326" s="88" t="str">
        <x:v>12M Omega</x:v>
      </x:c>
      <x:c r="D326" s="88" t="n">
        <x:v>12</x:v>
      </x:c>
      <x:c r="E326" s="88" t="n">
        <x:v>2</x:v>
      </x:c>
      <x:c r="F326" s="88" t="str">
        <x:v>NES MCT 20% sale</x:v>
      </x:c>
      <x:c r="G326" s="88" t="str">
        <x:v>Market Skill Extractor</x:v>
      </x:c>
      <x:c r="H326" s="87" t="n">
        <x:f>'01 Base Costs'!$B$24</x:f>
        <x:v>3600</x:v>
      </x:c>
      <x:c r="I326" s="87" t="n">
        <x:f>'01 Base Costs'!$B$16*0.8</x:f>
        <x:v>388</x:v>
      </x:c>
      <x:c r="J326" s="87" t="n">
        <x:f>0</x:f>
        <x:v>0</x:v>
      </x:c>
      <x:c r="K326" s="87" t="n">
        <x:f>D326*(E326-1)*I326</x:f>
        <x:v>4656</x:v>
      </x:c>
      <x:c r="L326" s="87" t="n">
        <x:f>D326*(E326-1)*J326</x:f>
        <x:v>0</x:v>
      </x:c>
      <x:c r="M326" s="87" t="n">
        <x:f>0</x:f>
        <x:v>0</x:v>
      </x:c>
      <x:c r="N326" s="87" t="n">
        <x:f>H326+K326+M326</x:f>
        <x:v>8256</x:v>
      </x:c>
      <x:c r="O326" s="87" t="n">
        <x:f>N326*'01 Base Costs'!$B$7+L326</x:f>
        <x:v>39711360000</x:v>
      </x:c>
      <x:c r="P326" s="87" t="n">
        <x:f>D326*E326</x:f>
        <x:v>24</x:v>
      </x:c>
      <x:c r="Q326" s="87" t="n">
        <x:f>P326*'01 Base Costs'!$B$12</x:f>
        <x:v>46656000</x:v>
      </x:c>
      <x:c r="R326" s="87" t="n">
        <x:f>0</x:f>
        <x:v>0</x:v>
      </x:c>
      <x:c r="S326" s="87" t="n">
        <x:f>Q326+R326</x:f>
        <x:v>46656000</x:v>
      </x:c>
      <x:c r="T326" s="141" t="n">
        <x:f>S326/'01 Base Costs'!$B$14</x:f>
        <x:v>93.312</x:v>
      </x:c>
      <x:c r="U326" s="87" t="n">
        <x:f>INT(T326)</x:f>
        <x:v>93</x:v>
      </x:c>
      <x:c r="V326" s="87" t="n">
        <x:f>S326-U326*'01 Base Costs'!$B$14</x:f>
        <x:v>156000</x:v>
      </x:c>
      <x:c r="W326" s="120" t="n">
        <x:f>0</x:f>
        <x:v>0</x:v>
      </x:c>
      <x:c r="X326" s="120" t="n">
        <x:f>'01 Base Costs'!$B$9</x:f>
        <x:v>463500000</x:v>
      </x:c>
      <x:c r="Y326" s="87" t="n">
        <x:f>T326*(W326*'01 Base Costs'!$B$7+X326)</x:f>
        <x:v>43250112000</x:v>
      </x:c>
      <x:c r="Z326" s="87" t="n">
        <x:f>T326*'01 Base Costs'!$B$8</x:f>
        <x:v>70254604800</x:v>
      </x:c>
      <x:c r="AA326" s="87" t="n">
        <x:f>Z326*'01 Base Costs'!$B$11</x:f>
        <x:v>3512730240</x:v>
      </x:c>
      <x:c r="AB326" s="87" t="n">
        <x:f>Z326-AA326</x:f>
        <x:v>66741874560</x:v>
      </x:c>
      <x:c r="AC326" s="87" t="n">
        <x:f>O326+Y326</x:f>
        <x:v>82961472000</x:v>
      </x:c>
      <x:c r="AD326" s="87" t="n">
        <x:f>AB326-AC326</x:f>
        <x:v>-16219597440</x:v>
      </x:c>
      <x:c r="AE326" s="87" t="n">
        <x:f>AD326/D326</x:f>
        <x:v>-1351633120</x:v>
      </x:c>
      <x:c r="AF326" s="87" t="n">
        <x:f>AD326/P326</x:f>
        <x:v>-675816560</x:v>
      </x:c>
      <x:c r="AG326" s="87" t="n">
        <x:f>IF(T326=0,0,AC326/T326/(1-'01 Base Costs'!$B$11))</x:f>
        <x:v>935869612.302361</x:v>
      </x:c>
      <x:c r="AH326" s="88" t="str">
        <x:f>IF(AD326&gt;0,"PROFIT","LOSS")</x:f>
        <x:v>LOSS</x:v>
      </x:c>
      <x:c r="AI326" s="89" t="str">
        <x:v>Base 12M Omega. MCT sale 20% off. Extractor bought on market with ISK.</x:v>
      </x:c>
    </x:row>
    <x:row r="327">
      <x:c r="A327" s="86" t="n">
        <x:v>325</x:v>
      </x:c>
      <x:c r="B327" s="88" t="str">
        <x:v>Base</x:v>
      </x:c>
      <x:c r="C327" s="88" t="str">
        <x:v>12M Omega</x:v>
      </x:c>
      <x:c r="D327" s="88" t="n">
        <x:v>12</x:v>
      </x:c>
      <x:c r="E327" s="88" t="n">
        <x:v>2</x:v>
      </x:c>
      <x:c r="F327" s="88" t="str">
        <x:v>NES MCT 30% sale</x:v>
      </x:c>
      <x:c r="G327" s="88" t="str">
        <x:v>NES single extractor</x:v>
      </x:c>
      <x:c r="H327" s="87" t="n">
        <x:f>'01 Base Costs'!$B$24</x:f>
        <x:v>3600</x:v>
      </x:c>
      <x:c r="I327" s="87" t="n">
        <x:f>'01 Base Costs'!$B$16*0.7</x:f>
        <x:v>339.5</x:v>
      </x:c>
      <x:c r="J327" s="87" t="n">
        <x:f>0</x:f>
        <x:v>0</x:v>
      </x:c>
      <x:c r="K327" s="87" t="n">
        <x:f>D327*(E327-1)*I327</x:f>
        <x:v>4074</x:v>
      </x:c>
      <x:c r="L327" s="87" t="n">
        <x:f>D327*(E327-1)*J327</x:f>
        <x:v>0</x:v>
      </x:c>
      <x:c r="M327" s="87" t="n">
        <x:f>0</x:f>
        <x:v>0</x:v>
      </x:c>
      <x:c r="N327" s="87" t="n">
        <x:f>H327+K327+M327</x:f>
        <x:v>7674</x:v>
      </x:c>
      <x:c r="O327" s="87" t="n">
        <x:f>N327*'01 Base Costs'!$B$7+L327</x:f>
        <x:v>36911940000</x:v>
      </x:c>
      <x:c r="P327" s="87" t="n">
        <x:f>D327*E327</x:f>
        <x:v>24</x:v>
      </x:c>
      <x:c r="Q327" s="87" t="n">
        <x:f>P327*'01 Base Costs'!$B$12</x:f>
        <x:v>46656000</x:v>
      </x:c>
      <x:c r="R327" s="87" t="n">
        <x:f>0</x:f>
        <x:v>0</x:v>
      </x:c>
      <x:c r="S327" s="87" t="n">
        <x:f>Q327+R327</x:f>
        <x:v>46656000</x:v>
      </x:c>
      <x:c r="T327" s="141" t="n">
        <x:f>S327/'01 Base Costs'!$B$14</x:f>
        <x:v>93.312</x:v>
      </x:c>
      <x:c r="U327" s="87" t="n">
        <x:f>INT(T327)</x:f>
        <x:v>93</x:v>
      </x:c>
      <x:c r="V327" s="87" t="n">
        <x:f>S327-U327*'01 Base Costs'!$B$14</x:f>
        <x:v>156000</x:v>
      </x:c>
      <x:c r="W327" s="120" t="n">
        <x:f>'01 Base Costs'!$B$17</x:f>
        <x:v>140</x:v>
      </x:c>
      <x:c r="X327" s="120" t="n">
        <x:f>0</x:f>
        <x:v>0</x:v>
      </x:c>
      <x:c r="Y327" s="87" t="n">
        <x:f>T327*(W327*'01 Base Costs'!$B$7+X327)</x:f>
        <x:v>62836300800</x:v>
      </x:c>
      <x:c r="Z327" s="87" t="n">
        <x:f>T327*'01 Base Costs'!$B$8</x:f>
        <x:v>70254604800</x:v>
      </x:c>
      <x:c r="AA327" s="87" t="n">
        <x:f>Z327*'01 Base Costs'!$B$11</x:f>
        <x:v>3512730240</x:v>
      </x:c>
      <x:c r="AB327" s="87" t="n">
        <x:f>Z327-AA327</x:f>
        <x:v>66741874560</x:v>
      </x:c>
      <x:c r="AC327" s="87" t="n">
        <x:f>O327+Y327</x:f>
        <x:v>99748240800</x:v>
      </x:c>
      <x:c r="AD327" s="87" t="n">
        <x:f>AB327-AC327</x:f>
        <x:v>-33006366240</x:v>
      </x:c>
      <x:c r="AE327" s="87" t="n">
        <x:f>AD327/D327</x:f>
        <x:v>-2750530520</x:v>
      </x:c>
      <x:c r="AF327" s="87" t="n">
        <x:f>AD327/P327</x:f>
        <x:v>-1375265260</x:v>
      </x:c>
      <x:c r="AG327" s="87" t="n">
        <x:f>IF(T327=0,0,AC327/T327/(1-'01 Base Costs'!$B$11))</x:f>
        <x:v>1125237356.5085554</x:v>
      </x:c>
      <x:c r="AH327" s="88" t="str">
        <x:f>IF(AD327&gt;0,"PROFIT","LOSS")</x:f>
        <x:v>LOSS</x:v>
      </x:c>
      <x:c r="AI327" s="89" t="str">
        <x:v>Base 12M Omega. MCT sale 30% off. Base single extractor.</x:v>
      </x:c>
    </x:row>
    <x:row r="328">
      <x:c r="A328" s="86" t="n">
        <x:v>326</x:v>
      </x:c>
      <x:c r="B328" s="88" t="str">
        <x:v>Base</x:v>
      </x:c>
      <x:c r="C328" s="88" t="str">
        <x:v>12M Omega</x:v>
      </x:c>
      <x:c r="D328" s="88" t="n">
        <x:v>12</x:v>
      </x:c>
      <x:c r="E328" s="88" t="n">
        <x:v>2</x:v>
      </x:c>
      <x:c r="F328" s="88" t="str">
        <x:v>NES MCT 30% sale</x:v>
      </x:c>
      <x:c r="G328" s="88" t="str">
        <x:v>NES 5-pack extractor</x:v>
      </x:c>
      <x:c r="H328" s="87" t="n">
        <x:f>'01 Base Costs'!$B$24</x:f>
        <x:v>3600</x:v>
      </x:c>
      <x:c r="I328" s="87" t="n">
        <x:f>'01 Base Costs'!$B$16*0.7</x:f>
        <x:v>339.5</x:v>
      </x:c>
      <x:c r="J328" s="87" t="n">
        <x:f>0</x:f>
        <x:v>0</x:v>
      </x:c>
      <x:c r="K328" s="87" t="n">
        <x:f>D328*(E328-1)*I328</x:f>
        <x:v>4074</x:v>
      </x:c>
      <x:c r="L328" s="87" t="n">
        <x:f>D328*(E328-1)*J328</x:f>
        <x:v>0</x:v>
      </x:c>
      <x:c r="M328" s="87" t="n">
        <x:f>0</x:f>
        <x:v>0</x:v>
      </x:c>
      <x:c r="N328" s="87" t="n">
        <x:f>H328+K328+M328</x:f>
        <x:v>7674</x:v>
      </x:c>
      <x:c r="O328" s="87" t="n">
        <x:f>N328*'01 Base Costs'!$B$7+L328</x:f>
        <x:v>36911940000</x:v>
      </x:c>
      <x:c r="P328" s="87" t="n">
        <x:f>D328*E328</x:f>
        <x:v>24</x:v>
      </x:c>
      <x:c r="Q328" s="87" t="n">
        <x:f>P328*'01 Base Costs'!$B$12</x:f>
        <x:v>46656000</x:v>
      </x:c>
      <x:c r="R328" s="87" t="n">
        <x:f>0</x:f>
        <x:v>0</x:v>
      </x:c>
      <x:c r="S328" s="87" t="n">
        <x:f>Q328+R328</x:f>
        <x:v>46656000</x:v>
      </x:c>
      <x:c r="T328" s="141" t="n">
        <x:f>S328/'01 Base Costs'!$B$14</x:f>
        <x:v>93.312</x:v>
      </x:c>
      <x:c r="U328" s="87" t="n">
        <x:f>INT(T328)</x:f>
        <x:v>93</x:v>
      </x:c>
      <x:c r="V328" s="87" t="n">
        <x:f>S328-U328*'01 Base Costs'!$B$14</x:f>
        <x:v>156000</x:v>
      </x:c>
      <x:c r="W328" s="120" t="n">
        <x:f>'01 Base Costs'!$B$18/5</x:f>
        <x:v>126</x:v>
      </x:c>
      <x:c r="X328" s="120" t="n">
        <x:f>0</x:f>
        <x:v>0</x:v>
      </x:c>
      <x:c r="Y328" s="87" t="n">
        <x:f>T328*(W328*'01 Base Costs'!$B$7+X328)</x:f>
        <x:v>56552670720</x:v>
      </x:c>
      <x:c r="Z328" s="87" t="n">
        <x:f>T328*'01 Base Costs'!$B$8</x:f>
        <x:v>70254604800</x:v>
      </x:c>
      <x:c r="AA328" s="87" t="n">
        <x:f>Z328*'01 Base Costs'!$B$11</x:f>
        <x:v>3512730240</x:v>
      </x:c>
      <x:c r="AB328" s="87" t="n">
        <x:f>Z328-AA328</x:f>
        <x:v>66741874560</x:v>
      </x:c>
      <x:c r="AC328" s="87" t="n">
        <x:f>O328+Y328</x:f>
        <x:v>93464610720</x:v>
      </x:c>
      <x:c r="AD328" s="87" t="n">
        <x:f>AB328-AC328</x:f>
        <x:v>-26722736160</x:v>
      </x:c>
      <x:c r="AE328" s="87" t="n">
        <x:f>AD328/D328</x:f>
        <x:v>-2226894680</x:v>
      </x:c>
      <x:c r="AF328" s="87" t="n">
        <x:f>AD328/P328</x:f>
        <x:v>-1113447340</x:v>
      </x:c>
      <x:c r="AG328" s="87" t="n">
        <x:f>IF(T328=0,0,AC328/T328/(1-'01 Base Costs'!$B$11))</x:f>
        <x:v>1054353145.9822397</x:v>
      </x:c>
      <x:c r="AH328" s="88" t="str">
        <x:f>IF(AD328&gt;0,"PROFIT","LOSS")</x:f>
        <x:v>LOSS</x:v>
      </x:c>
      <x:c r="AI328" s="89" t="str">
        <x:v>Base 12M Omega. MCT sale 30% off. Base 5-pack average.</x:v>
      </x:c>
    </x:row>
    <x:row r="329">
      <x:c r="A329" s="86" t="n">
        <x:v>327</x:v>
      </x:c>
      <x:c r="B329" s="88" t="str">
        <x:v>Base</x:v>
      </x:c>
      <x:c r="C329" s="88" t="str">
        <x:v>12M Omega</x:v>
      </x:c>
      <x:c r="D329" s="88" t="n">
        <x:v>12</x:v>
      </x:c>
      <x:c r="E329" s="88" t="n">
        <x:v>2</x:v>
      </x:c>
      <x:c r="F329" s="88" t="str">
        <x:v>NES MCT 30% sale</x:v>
      </x:c>
      <x:c r="G329" s="88" t="str">
        <x:v>NES 10-pack extractor</x:v>
      </x:c>
      <x:c r="H329" s="87" t="n">
        <x:f>'01 Base Costs'!$B$24</x:f>
        <x:v>3600</x:v>
      </x:c>
      <x:c r="I329" s="87" t="n">
        <x:f>'01 Base Costs'!$B$16*0.7</x:f>
        <x:v>339.5</x:v>
      </x:c>
      <x:c r="J329" s="87" t="n">
        <x:f>0</x:f>
        <x:v>0</x:v>
      </x:c>
      <x:c r="K329" s="87" t="n">
        <x:f>D329*(E329-1)*I329</x:f>
        <x:v>4074</x:v>
      </x:c>
      <x:c r="L329" s="87" t="n">
        <x:f>D329*(E329-1)*J329</x:f>
        <x:v>0</x:v>
      </x:c>
      <x:c r="M329" s="87" t="n">
        <x:f>0</x:f>
        <x:v>0</x:v>
      </x:c>
      <x:c r="N329" s="87" t="n">
        <x:f>H329+K329+M329</x:f>
        <x:v>7674</x:v>
      </x:c>
      <x:c r="O329" s="87" t="n">
        <x:f>N329*'01 Base Costs'!$B$7+L329</x:f>
        <x:v>36911940000</x:v>
      </x:c>
      <x:c r="P329" s="87" t="n">
        <x:f>D329*E329</x:f>
        <x:v>24</x:v>
      </x:c>
      <x:c r="Q329" s="87" t="n">
        <x:f>P329*'01 Base Costs'!$B$12</x:f>
        <x:v>46656000</x:v>
      </x:c>
      <x:c r="R329" s="87" t="n">
        <x:f>0</x:f>
        <x:v>0</x:v>
      </x:c>
      <x:c r="S329" s="87" t="n">
        <x:f>Q329+R329</x:f>
        <x:v>46656000</x:v>
      </x:c>
      <x:c r="T329" s="141" t="n">
        <x:f>S329/'01 Base Costs'!$B$14</x:f>
        <x:v>93.312</x:v>
      </x:c>
      <x:c r="U329" s="87" t="n">
        <x:f>INT(T329)</x:f>
        <x:v>93</x:v>
      </x:c>
      <x:c r="V329" s="87" t="n">
        <x:f>S329-U329*'01 Base Costs'!$B$14</x:f>
        <x:v>156000</x:v>
      </x:c>
      <x:c r="W329" s="120" t="n">
        <x:f>'01 Base Costs'!$B$19/10</x:f>
        <x:v>119</x:v>
      </x:c>
      <x:c r="X329" s="120" t="n">
        <x:f>0</x:f>
        <x:v>0</x:v>
      </x:c>
      <x:c r="Y329" s="87" t="n">
        <x:f>T329*(W329*'01 Base Costs'!$B$7+X329)</x:f>
        <x:v>53410855680</x:v>
      </x:c>
      <x:c r="Z329" s="87" t="n">
        <x:f>T329*'01 Base Costs'!$B$8</x:f>
        <x:v>70254604800</x:v>
      </x:c>
      <x:c r="AA329" s="87" t="n">
        <x:f>Z329*'01 Base Costs'!$B$11</x:f>
        <x:v>3512730240</x:v>
      </x:c>
      <x:c r="AB329" s="87" t="n">
        <x:f>Z329-AA329</x:f>
        <x:v>66741874560</x:v>
      </x:c>
      <x:c r="AC329" s="87" t="n">
        <x:f>O329+Y329</x:f>
        <x:v>90322795680</x:v>
      </x:c>
      <x:c r="AD329" s="87" t="n">
        <x:f>AB329-AC329</x:f>
        <x:v>-23580921120</x:v>
      </x:c>
      <x:c r="AE329" s="87" t="n">
        <x:f>AD329/D329</x:f>
        <x:v>-1965076760</x:v>
      </x:c>
      <x:c r="AF329" s="87" t="n">
        <x:f>AD329/P329</x:f>
        <x:v>-982538380</x:v>
      </x:c>
      <x:c r="AG329" s="87" t="n">
        <x:f>IF(T329=0,0,AC329/T329/(1-'01 Base Costs'!$B$11))</x:f>
        <x:v>1018911040.7190818</x:v>
      </x:c>
      <x:c r="AH329" s="88" t="str">
        <x:f>IF(AD329&gt;0,"PROFIT","LOSS")</x:f>
        <x:v>LOSS</x:v>
      </x:c>
      <x:c r="AI329" s="89" t="str">
        <x:v>Base 12M Omega. MCT sale 30% off. Base 10-pack average.</x:v>
      </x:c>
    </x:row>
    <x:row r="330">
      <x:c r="A330" s="86" t="n">
        <x:v>328</x:v>
      </x:c>
      <x:c r="B330" s="88" t="str">
        <x:v>Base</x:v>
      </x:c>
      <x:c r="C330" s="88" t="str">
        <x:v>12M Omega</x:v>
      </x:c>
      <x:c r="D330" s="88" t="n">
        <x:v>12</x:v>
      </x:c>
      <x:c r="E330" s="88" t="n">
        <x:v>2</x:v>
      </x:c>
      <x:c r="F330" s="88" t="str">
        <x:v>NES MCT 30% sale</x:v>
      </x:c>
      <x:c r="G330" s="88" t="str">
        <x:v>NES 50-pack extractor</x:v>
      </x:c>
      <x:c r="H330" s="87" t="n">
        <x:f>'01 Base Costs'!$B$24</x:f>
        <x:v>3600</x:v>
      </x:c>
      <x:c r="I330" s="87" t="n">
        <x:f>'01 Base Costs'!$B$16*0.7</x:f>
        <x:v>339.5</x:v>
      </x:c>
      <x:c r="J330" s="87" t="n">
        <x:f>0</x:f>
        <x:v>0</x:v>
      </x:c>
      <x:c r="K330" s="87" t="n">
        <x:f>D330*(E330-1)*I330</x:f>
        <x:v>4074</x:v>
      </x:c>
      <x:c r="L330" s="87" t="n">
        <x:f>D330*(E330-1)*J330</x:f>
        <x:v>0</x:v>
      </x:c>
      <x:c r="M330" s="87" t="n">
        <x:f>0</x:f>
        <x:v>0</x:v>
      </x:c>
      <x:c r="N330" s="87" t="n">
        <x:f>H330+K330+M330</x:f>
        <x:v>7674</x:v>
      </x:c>
      <x:c r="O330" s="87" t="n">
        <x:f>N330*'01 Base Costs'!$B$7+L330</x:f>
        <x:v>36911940000</x:v>
      </x:c>
      <x:c r="P330" s="87" t="n">
        <x:f>D330*E330</x:f>
        <x:v>24</x:v>
      </x:c>
      <x:c r="Q330" s="87" t="n">
        <x:f>P330*'01 Base Costs'!$B$12</x:f>
        <x:v>46656000</x:v>
      </x:c>
      <x:c r="R330" s="87" t="n">
        <x:f>0</x:f>
        <x:v>0</x:v>
      </x:c>
      <x:c r="S330" s="87" t="n">
        <x:f>Q330+R330</x:f>
        <x:v>46656000</x:v>
      </x:c>
      <x:c r="T330" s="141" t="n">
        <x:f>S330/'01 Base Costs'!$B$14</x:f>
        <x:v>93.312</x:v>
      </x:c>
      <x:c r="U330" s="87" t="n">
        <x:f>INT(T330)</x:f>
        <x:v>93</x:v>
      </x:c>
      <x:c r="V330" s="87" t="n">
        <x:f>S330-U330*'01 Base Costs'!$B$14</x:f>
        <x:v>156000</x:v>
      </x:c>
      <x:c r="W330" s="120" t="n">
        <x:f>'01 Base Costs'!$B$20/50</x:f>
        <x:v>112</x:v>
      </x:c>
      <x:c r="X330" s="120" t="n">
        <x:f>0</x:f>
        <x:v>0</x:v>
      </x:c>
      <x:c r="Y330" s="87" t="n">
        <x:f>T330*(W330*'01 Base Costs'!$B$7+X330)</x:f>
        <x:v>50269040640</x:v>
      </x:c>
      <x:c r="Z330" s="87" t="n">
        <x:f>T330*'01 Base Costs'!$B$8</x:f>
        <x:v>70254604800</x:v>
      </x:c>
      <x:c r="AA330" s="87" t="n">
        <x:f>Z330*'01 Base Costs'!$B$11</x:f>
        <x:v>3512730240</x:v>
      </x:c>
      <x:c r="AB330" s="87" t="n">
        <x:f>Z330-AA330</x:f>
        <x:v>66741874560</x:v>
      </x:c>
      <x:c r="AC330" s="87" t="n">
        <x:f>O330+Y330</x:f>
        <x:v>87180980640</x:v>
      </x:c>
      <x:c r="AD330" s="87" t="n">
        <x:f>AB330-AC330</x:f>
        <x:v>-20439106080</x:v>
      </x:c>
      <x:c r="AE330" s="87" t="n">
        <x:f>AD330/D330</x:f>
        <x:v>-1703258840</x:v>
      </x:c>
      <x:c r="AF330" s="87" t="n">
        <x:f>AD330/P330</x:f>
        <x:v>-851629420</x:v>
      </x:c>
      <x:c r="AG330" s="87" t="n">
        <x:f>IF(T330=0,0,AC330/T330/(1-'01 Base Costs'!$B$11))</x:f>
        <x:v>983468935.4559239</x:v>
      </x:c>
      <x:c r="AH330" s="88" t="str">
        <x:f>IF(AD330&gt;0,"PROFIT","LOSS")</x:f>
        <x:v>LOSS</x:v>
      </x:c>
      <x:c r="AI330" s="89" t="str">
        <x:v>Base 12M Omega. MCT sale 30% off. Base 50-pack average.</x:v>
      </x:c>
    </x:row>
    <x:row r="331">
      <x:c r="A331" s="86" t="n">
        <x:v>329</x:v>
      </x:c>
      <x:c r="B331" s="88" t="str">
        <x:v>Base</x:v>
      </x:c>
      <x:c r="C331" s="88" t="str">
        <x:v>12M Omega</x:v>
      </x:c>
      <x:c r="D331" s="88" t="n">
        <x:v>12</x:v>
      </x:c>
      <x:c r="E331" s="88" t="n">
        <x:v>2</x:v>
      </x:c>
      <x:c r="F331" s="88" t="str">
        <x:v>NES MCT 30% sale</x:v>
      </x:c>
      <x:c r="G331" s="88" t="str">
        <x:v>NES 3-for-2 extractor sale</x:v>
      </x:c>
      <x:c r="H331" s="87" t="n">
        <x:f>'01 Base Costs'!$B$24</x:f>
        <x:v>3600</x:v>
      </x:c>
      <x:c r="I331" s="87" t="n">
        <x:f>'01 Base Costs'!$B$16*0.7</x:f>
        <x:v>339.5</x:v>
      </x:c>
      <x:c r="J331" s="87" t="n">
        <x:f>0</x:f>
        <x:v>0</x:v>
      </x:c>
      <x:c r="K331" s="87" t="n">
        <x:f>D331*(E331-1)*I331</x:f>
        <x:v>4074</x:v>
      </x:c>
      <x:c r="L331" s="87" t="n">
        <x:f>D331*(E331-1)*J331</x:f>
        <x:v>0</x:v>
      </x:c>
      <x:c r="M331" s="87" t="n">
        <x:f>0</x:f>
        <x:v>0</x:v>
      </x:c>
      <x:c r="N331" s="87" t="n">
        <x:f>H331+K331+M331</x:f>
        <x:v>7674</x:v>
      </x:c>
      <x:c r="O331" s="87" t="n">
        <x:f>N331*'01 Base Costs'!$B$7+L331</x:f>
        <x:v>36911940000</x:v>
      </x:c>
      <x:c r="P331" s="87" t="n">
        <x:f>D331*E331</x:f>
        <x:v>24</x:v>
      </x:c>
      <x:c r="Q331" s="87" t="n">
        <x:f>P331*'01 Base Costs'!$B$12</x:f>
        <x:v>46656000</x:v>
      </x:c>
      <x:c r="R331" s="87" t="n">
        <x:f>0</x:f>
        <x:v>0</x:v>
      </x:c>
      <x:c r="S331" s="87" t="n">
        <x:f>Q331+R331</x:f>
        <x:v>46656000</x:v>
      </x:c>
      <x:c r="T331" s="141" t="n">
        <x:f>S331/'01 Base Costs'!$B$14</x:f>
        <x:v>93.312</x:v>
      </x:c>
      <x:c r="U331" s="87" t="n">
        <x:f>INT(T331)</x:f>
        <x:v>93</x:v>
      </x:c>
      <x:c r="V331" s="87" t="n">
        <x:f>S331-U331*'01 Base Costs'!$B$14</x:f>
        <x:v>156000</x:v>
      </x:c>
      <x:c r="W331" s="120" t="n">
        <x:f>'01 Base Costs'!$B$17*2/3</x:f>
        <x:v>93.33333333333333</x:v>
      </x:c>
      <x:c r="X331" s="120" t="n">
        <x:f>0</x:f>
        <x:v>0</x:v>
      </x:c>
      <x:c r="Y331" s="87" t="n">
        <x:f>T331*(W331*'01 Base Costs'!$B$7+X331)</x:f>
        <x:v>41890867200</x:v>
      </x:c>
      <x:c r="Z331" s="87" t="n">
        <x:f>T331*'01 Base Costs'!$B$8</x:f>
        <x:v>70254604800</x:v>
      </x:c>
      <x:c r="AA331" s="87" t="n">
        <x:f>Z331*'01 Base Costs'!$B$11</x:f>
        <x:v>3512730240</x:v>
      </x:c>
      <x:c r="AB331" s="87" t="n">
        <x:f>Z331-AA331</x:f>
        <x:v>66741874560</x:v>
      </x:c>
      <x:c r="AC331" s="87" t="n">
        <x:f>O331+Y331</x:f>
        <x:v>78802807200</x:v>
      </x:c>
      <x:c r="AD331" s="87" t="n">
        <x:f>AB331-AC331</x:f>
        <x:v>-12060932640</x:v>
      </x:c>
      <x:c r="AE331" s="87" t="n">
        <x:f>AD331/D331</x:f>
        <x:v>-1005077720</x:v>
      </x:c>
      <x:c r="AF331" s="87" t="n">
        <x:f>AD331/P331</x:f>
        <x:v>-502538860</x:v>
      </x:c>
      <x:c r="AG331" s="87" t="n">
        <x:f>IF(T331=0,0,AC331/T331/(1-'01 Base Costs'!$B$11))</x:f>
        <x:v>888956654.7541695</x:v>
      </x:c>
      <x:c r="AH331" s="88" t="str">
        <x:f>IF(AD331&gt;0,"PROFIT","LOSS")</x:f>
        <x:v>LOSS</x:v>
      </x:c>
      <x:c r="AI331" s="89" t="str">
        <x:v>Base 12M Omega. MCT sale 30% off. Extractor 3-for-2 sale.</x:v>
      </x:c>
    </x:row>
    <x:row r="332">
      <x:c r="A332" s="86" t="n">
        <x:v>330</x:v>
      </x:c>
      <x:c r="B332" s="88" t="str">
        <x:v>Base</x:v>
      </x:c>
      <x:c r="C332" s="88" t="str">
        <x:v>12M Omega</x:v>
      </x:c>
      <x:c r="D332" s="88" t="n">
        <x:v>12</x:v>
      </x:c>
      <x:c r="E332" s="88" t="n">
        <x:v>2</x:v>
      </x:c>
      <x:c r="F332" s="88" t="str">
        <x:v>NES MCT 30% sale</x:v>
      </x:c>
      <x:c r="G332" s="88" t="str">
        <x:v>NES 2-for-1 extractor sale</x:v>
      </x:c>
      <x:c r="H332" s="87" t="n">
        <x:f>'01 Base Costs'!$B$24</x:f>
        <x:v>3600</x:v>
      </x:c>
      <x:c r="I332" s="87" t="n">
        <x:f>'01 Base Costs'!$B$16*0.7</x:f>
        <x:v>339.5</x:v>
      </x:c>
      <x:c r="J332" s="87" t="n">
        <x:f>0</x:f>
        <x:v>0</x:v>
      </x:c>
      <x:c r="K332" s="87" t="n">
        <x:f>D332*(E332-1)*I332</x:f>
        <x:v>4074</x:v>
      </x:c>
      <x:c r="L332" s="87" t="n">
        <x:f>D332*(E332-1)*J332</x:f>
        <x:v>0</x:v>
      </x:c>
      <x:c r="M332" s="87" t="n">
        <x:f>0</x:f>
        <x:v>0</x:v>
      </x:c>
      <x:c r="N332" s="87" t="n">
        <x:f>H332+K332+M332</x:f>
        <x:v>7674</x:v>
      </x:c>
      <x:c r="O332" s="87" t="n">
        <x:f>N332*'01 Base Costs'!$B$7+L332</x:f>
        <x:v>36911940000</x:v>
      </x:c>
      <x:c r="P332" s="87" t="n">
        <x:f>D332*E332</x:f>
        <x:v>24</x:v>
      </x:c>
      <x:c r="Q332" s="87" t="n">
        <x:f>P332*'01 Base Costs'!$B$12</x:f>
        <x:v>46656000</x:v>
      </x:c>
      <x:c r="R332" s="87" t="n">
        <x:f>0</x:f>
        <x:v>0</x:v>
      </x:c>
      <x:c r="S332" s="87" t="n">
        <x:f>Q332+R332</x:f>
        <x:v>46656000</x:v>
      </x:c>
      <x:c r="T332" s="141" t="n">
        <x:f>S332/'01 Base Costs'!$B$14</x:f>
        <x:v>93.312</x:v>
      </x:c>
      <x:c r="U332" s="87" t="n">
        <x:f>INT(T332)</x:f>
        <x:v>93</x:v>
      </x:c>
      <x:c r="V332" s="87" t="n">
        <x:f>S332-U332*'01 Base Costs'!$B$14</x:f>
        <x:v>156000</x:v>
      </x:c>
      <x:c r="W332" s="120" t="n">
        <x:f>'01 Base Costs'!$B$17/2</x:f>
        <x:v>70</x:v>
      </x:c>
      <x:c r="X332" s="120" t="n">
        <x:f>0</x:f>
        <x:v>0</x:v>
      </x:c>
      <x:c r="Y332" s="87" t="n">
        <x:f>T332*(W332*'01 Base Costs'!$B$7+X332)</x:f>
        <x:v>31418150400</x:v>
      </x:c>
      <x:c r="Z332" s="87" t="n">
        <x:f>T332*'01 Base Costs'!$B$8</x:f>
        <x:v>70254604800</x:v>
      </x:c>
      <x:c r="AA332" s="87" t="n">
        <x:f>Z332*'01 Base Costs'!$B$11</x:f>
        <x:v>3512730240</x:v>
      </x:c>
      <x:c r="AB332" s="87" t="n">
        <x:f>Z332-AA332</x:f>
        <x:v>66741874560</x:v>
      </x:c>
      <x:c r="AC332" s="87" t="n">
        <x:f>O332+Y332</x:f>
        <x:v>68330090400</x:v>
      </x:c>
      <x:c r="AD332" s="87" t="n">
        <x:f>AB332-AC332</x:f>
        <x:v>-1588215840</x:v>
      </x:c>
      <x:c r="AE332" s="87" t="n">
        <x:f>AD332/D332</x:f>
        <x:v>-132351320</x:v>
      </x:c>
      <x:c r="AF332" s="87" t="n">
        <x:f>AD332/P332</x:f>
        <x:v>-66175660</x:v>
      </x:c>
      <x:c r="AG332" s="87" t="n">
        <x:f>IF(T332=0,0,AC332/T332/(1-'01 Base Costs'!$B$11))</x:f>
        <x:v>770816303.8769765</x:v>
      </x:c>
      <x:c r="AH332" s="88" t="str">
        <x:f>IF(AD332&gt;0,"PROFIT","LOSS")</x:f>
        <x:v>LOSS</x:v>
      </x:c>
      <x:c r="AI332" s="89" t="str">
        <x:v>Base 12M Omega. MCT sale 30% off. Extractor 2-for-1 sale.</x:v>
      </x:c>
    </x:row>
    <x:row r="333">
      <x:c r="A333" s="86" t="n">
        <x:v>331</x:v>
      </x:c>
      <x:c r="B333" s="88" t="str">
        <x:v>Base</x:v>
      </x:c>
      <x:c r="C333" s="88" t="str">
        <x:v>12M Omega</x:v>
      </x:c>
      <x:c r="D333" s="88" t="n">
        <x:v>12</x:v>
      </x:c>
      <x:c r="E333" s="88" t="n">
        <x:v>2</x:v>
      </x:c>
      <x:c r="F333" s="88" t="str">
        <x:v>NES MCT 30% sale</x:v>
      </x:c>
      <x:c r="G333" s="88" t="str">
        <x:v>NES 10-pack extractor 20% sale</x:v>
      </x:c>
      <x:c r="H333" s="87" t="n">
        <x:f>'01 Base Costs'!$B$24</x:f>
        <x:v>3600</x:v>
      </x:c>
      <x:c r="I333" s="87" t="n">
        <x:f>'01 Base Costs'!$B$16*0.7</x:f>
        <x:v>339.5</x:v>
      </x:c>
      <x:c r="J333" s="87" t="n">
        <x:f>0</x:f>
        <x:v>0</x:v>
      </x:c>
      <x:c r="K333" s="87" t="n">
        <x:f>D333*(E333-1)*I333</x:f>
        <x:v>4074</x:v>
      </x:c>
      <x:c r="L333" s="87" t="n">
        <x:f>D333*(E333-1)*J333</x:f>
        <x:v>0</x:v>
      </x:c>
      <x:c r="M333" s="87" t="n">
        <x:f>0</x:f>
        <x:v>0</x:v>
      </x:c>
      <x:c r="N333" s="87" t="n">
        <x:f>H333+K333+M333</x:f>
        <x:v>7674</x:v>
      </x:c>
      <x:c r="O333" s="87" t="n">
        <x:f>N333*'01 Base Costs'!$B$7+L333</x:f>
        <x:v>36911940000</x:v>
      </x:c>
      <x:c r="P333" s="87" t="n">
        <x:f>D333*E333</x:f>
        <x:v>24</x:v>
      </x:c>
      <x:c r="Q333" s="87" t="n">
        <x:f>P333*'01 Base Costs'!$B$12</x:f>
        <x:v>46656000</x:v>
      </x:c>
      <x:c r="R333" s="87" t="n">
        <x:f>0</x:f>
        <x:v>0</x:v>
      </x:c>
      <x:c r="S333" s="87" t="n">
        <x:f>Q333+R333</x:f>
        <x:v>46656000</x:v>
      </x:c>
      <x:c r="T333" s="141" t="n">
        <x:f>S333/'01 Base Costs'!$B$14</x:f>
        <x:v>93.312</x:v>
      </x:c>
      <x:c r="U333" s="87" t="n">
        <x:f>INT(T333)</x:f>
        <x:v>93</x:v>
      </x:c>
      <x:c r="V333" s="87" t="n">
        <x:f>S333-U333*'01 Base Costs'!$B$14</x:f>
        <x:v>156000</x:v>
      </x:c>
      <x:c r="W333" s="120" t="n">
        <x:f>'01 Base Costs'!$B$19*0.8/10</x:f>
        <x:v>95.2</x:v>
      </x:c>
      <x:c r="X333" s="120" t="n">
        <x:f>0</x:f>
        <x:v>0</x:v>
      </x:c>
      <x:c r="Y333" s="87" t="n">
        <x:f>T333*(W333*'01 Base Costs'!$B$7+X333)</x:f>
        <x:v>42728684544</x:v>
      </x:c>
      <x:c r="Z333" s="87" t="n">
        <x:f>T333*'01 Base Costs'!$B$8</x:f>
        <x:v>70254604800</x:v>
      </x:c>
      <x:c r="AA333" s="87" t="n">
        <x:f>Z333*'01 Base Costs'!$B$11</x:f>
        <x:v>3512730240</x:v>
      </x:c>
      <x:c r="AB333" s="87" t="n">
        <x:f>Z333-AA333</x:f>
        <x:v>66741874560</x:v>
      </x:c>
      <x:c r="AC333" s="87" t="n">
        <x:f>O333+Y333</x:f>
        <x:v>79640624544</x:v>
      </x:c>
      <x:c r="AD333" s="87" t="n">
        <x:f>AB333-AC333</x:f>
        <x:v>-12898749984</x:v>
      </x:c>
      <x:c r="AE333" s="87" t="n">
        <x:f>AD333/D333</x:f>
        <x:v>-1074895832</x:v>
      </x:c>
      <x:c r="AF333" s="87" t="n">
        <x:f>AD333/P333</x:f>
        <x:v>-537447916</x:v>
      </x:c>
      <x:c r="AG333" s="87" t="n">
        <x:f>IF(T333=0,0,AC333/T333/(1-'01 Base Costs'!$B$11))</x:f>
        <x:v>898407882.8243449</x:v>
      </x:c>
      <x:c r="AH333" s="88" t="str">
        <x:f>IF(AD333&gt;0,"PROFIT","LOSS")</x:f>
        <x:v>LOSS</x:v>
      </x:c>
      <x:c r="AI333" s="89" t="str">
        <x:v>Base 12M Omega. MCT sale 30% off. 10-pack at 20% off.</x:v>
      </x:c>
    </x:row>
    <x:row r="334">
      <x:c r="A334" s="86" t="n">
        <x:v>332</x:v>
      </x:c>
      <x:c r="B334" s="88" t="str">
        <x:v>Base</x:v>
      </x:c>
      <x:c r="C334" s="88" t="str">
        <x:v>12M Omega</x:v>
      </x:c>
      <x:c r="D334" s="88" t="n">
        <x:v>12</x:v>
      </x:c>
      <x:c r="E334" s="88" t="n">
        <x:v>2</x:v>
      </x:c>
      <x:c r="F334" s="88" t="str">
        <x:v>NES MCT 30% sale</x:v>
      </x:c>
      <x:c r="G334" s="88" t="str">
        <x:v>NES 50-pack extractor 20% sale</x:v>
      </x:c>
      <x:c r="H334" s="87" t="n">
        <x:f>'01 Base Costs'!$B$24</x:f>
        <x:v>3600</x:v>
      </x:c>
      <x:c r="I334" s="87" t="n">
        <x:f>'01 Base Costs'!$B$16*0.7</x:f>
        <x:v>339.5</x:v>
      </x:c>
      <x:c r="J334" s="87" t="n">
        <x:f>0</x:f>
        <x:v>0</x:v>
      </x:c>
      <x:c r="K334" s="87" t="n">
        <x:f>D334*(E334-1)*I334</x:f>
        <x:v>4074</x:v>
      </x:c>
      <x:c r="L334" s="87" t="n">
        <x:f>D334*(E334-1)*J334</x:f>
        <x:v>0</x:v>
      </x:c>
      <x:c r="M334" s="87" t="n">
        <x:f>0</x:f>
        <x:v>0</x:v>
      </x:c>
      <x:c r="N334" s="87" t="n">
        <x:f>H334+K334+M334</x:f>
        <x:v>7674</x:v>
      </x:c>
      <x:c r="O334" s="87" t="n">
        <x:f>N334*'01 Base Costs'!$B$7+L334</x:f>
        <x:v>36911940000</x:v>
      </x:c>
      <x:c r="P334" s="87" t="n">
        <x:f>D334*E334</x:f>
        <x:v>24</x:v>
      </x:c>
      <x:c r="Q334" s="87" t="n">
        <x:f>P334*'01 Base Costs'!$B$12</x:f>
        <x:v>46656000</x:v>
      </x:c>
      <x:c r="R334" s="87" t="n">
        <x:f>0</x:f>
        <x:v>0</x:v>
      </x:c>
      <x:c r="S334" s="87" t="n">
        <x:f>Q334+R334</x:f>
        <x:v>46656000</x:v>
      </x:c>
      <x:c r="T334" s="141" t="n">
        <x:f>S334/'01 Base Costs'!$B$14</x:f>
        <x:v>93.312</x:v>
      </x:c>
      <x:c r="U334" s="87" t="n">
        <x:f>INT(T334)</x:f>
        <x:v>93</x:v>
      </x:c>
      <x:c r="V334" s="87" t="n">
        <x:f>S334-U334*'01 Base Costs'!$B$14</x:f>
        <x:v>156000</x:v>
      </x:c>
      <x:c r="W334" s="120" t="n">
        <x:f>'01 Base Costs'!$B$20*0.8/50</x:f>
        <x:v>89.6</x:v>
      </x:c>
      <x:c r="X334" s="120" t="n">
        <x:f>0</x:f>
        <x:v>0</x:v>
      </x:c>
      <x:c r="Y334" s="87" t="n">
        <x:f>T334*(W334*'01 Base Costs'!$B$7+X334)</x:f>
        <x:v>40215232512</x:v>
      </x:c>
      <x:c r="Z334" s="87" t="n">
        <x:f>T334*'01 Base Costs'!$B$8</x:f>
        <x:v>70254604800</x:v>
      </x:c>
      <x:c r="AA334" s="87" t="n">
        <x:f>Z334*'01 Base Costs'!$B$11</x:f>
        <x:v>3512730240</x:v>
      </x:c>
      <x:c r="AB334" s="87" t="n">
        <x:f>Z334-AA334</x:f>
        <x:v>66741874560</x:v>
      </x:c>
      <x:c r="AC334" s="87" t="n">
        <x:f>O334+Y334</x:f>
        <x:v>77127172512</x:v>
      </x:c>
      <x:c r="AD334" s="87" t="n">
        <x:f>AB334-AC334</x:f>
        <x:v>-10385297952</x:v>
      </x:c>
      <x:c r="AE334" s="87" t="n">
        <x:f>AD334/D334</x:f>
        <x:v>-865441496</x:v>
      </x:c>
      <x:c r="AF334" s="87" t="n">
        <x:f>AD334/P334</x:f>
        <x:v>-432720748</x:v>
      </x:c>
      <x:c r="AG334" s="87" t="n">
        <x:f>IF(T334=0,0,AC334/T334/(1-'01 Base Costs'!$B$11))</x:f>
        <x:v>870054198.6138186</x:v>
      </x:c>
      <x:c r="AH334" s="88" t="str">
        <x:f>IF(AD334&gt;0,"PROFIT","LOSS")</x:f>
        <x:v>LOSS</x:v>
      </x:c>
      <x:c r="AI334" s="89" t="str">
        <x:v>Base 12M Omega. MCT sale 30% off. 50-pack at 20% off.</x:v>
      </x:c>
    </x:row>
    <x:row r="335">
      <x:c r="A335" s="86" t="n">
        <x:v>333</x:v>
      </x:c>
      <x:c r="B335" s="88" t="str">
        <x:v>Base</x:v>
      </x:c>
      <x:c r="C335" s="88" t="str">
        <x:v>12M Omega</x:v>
      </x:c>
      <x:c r="D335" s="88" t="n">
        <x:v>12</x:v>
      </x:c>
      <x:c r="E335" s="88" t="n">
        <x:v>2</x:v>
      </x:c>
      <x:c r="F335" s="88" t="str">
        <x:v>NES MCT 30% sale</x:v>
      </x:c>
      <x:c r="G335" s="88" t="str">
        <x:v>Market Skill Extractor</x:v>
      </x:c>
      <x:c r="H335" s="87" t="n">
        <x:f>'01 Base Costs'!$B$24</x:f>
        <x:v>3600</x:v>
      </x:c>
      <x:c r="I335" s="87" t="n">
        <x:f>'01 Base Costs'!$B$16*0.7</x:f>
        <x:v>339.5</x:v>
      </x:c>
      <x:c r="J335" s="87" t="n">
        <x:f>0</x:f>
        <x:v>0</x:v>
      </x:c>
      <x:c r="K335" s="87" t="n">
        <x:f>D335*(E335-1)*I335</x:f>
        <x:v>4074</x:v>
      </x:c>
      <x:c r="L335" s="87" t="n">
        <x:f>D335*(E335-1)*J335</x:f>
        <x:v>0</x:v>
      </x:c>
      <x:c r="M335" s="87" t="n">
        <x:f>0</x:f>
        <x:v>0</x:v>
      </x:c>
      <x:c r="N335" s="87" t="n">
        <x:f>H335+K335+M335</x:f>
        <x:v>7674</x:v>
      </x:c>
      <x:c r="O335" s="87" t="n">
        <x:f>N335*'01 Base Costs'!$B$7+L335</x:f>
        <x:v>36911940000</x:v>
      </x:c>
      <x:c r="P335" s="87" t="n">
        <x:f>D335*E335</x:f>
        <x:v>24</x:v>
      </x:c>
      <x:c r="Q335" s="87" t="n">
        <x:f>P335*'01 Base Costs'!$B$12</x:f>
        <x:v>46656000</x:v>
      </x:c>
      <x:c r="R335" s="87" t="n">
        <x:f>0</x:f>
        <x:v>0</x:v>
      </x:c>
      <x:c r="S335" s="87" t="n">
        <x:f>Q335+R335</x:f>
        <x:v>46656000</x:v>
      </x:c>
      <x:c r="T335" s="141" t="n">
        <x:f>S335/'01 Base Costs'!$B$14</x:f>
        <x:v>93.312</x:v>
      </x:c>
      <x:c r="U335" s="87" t="n">
        <x:f>INT(T335)</x:f>
        <x:v>93</x:v>
      </x:c>
      <x:c r="V335" s="87" t="n">
        <x:f>S335-U335*'01 Base Costs'!$B$14</x:f>
        <x:v>156000</x:v>
      </x:c>
      <x:c r="W335" s="120" t="n">
        <x:f>0</x:f>
        <x:v>0</x:v>
      </x:c>
      <x:c r="X335" s="120" t="n">
        <x:f>'01 Base Costs'!$B$9</x:f>
        <x:v>463500000</x:v>
      </x:c>
      <x:c r="Y335" s="87" t="n">
        <x:f>T335*(W335*'01 Base Costs'!$B$7+X335)</x:f>
        <x:v>43250112000</x:v>
      </x:c>
      <x:c r="Z335" s="87" t="n">
        <x:f>T335*'01 Base Costs'!$B$8</x:f>
        <x:v>70254604800</x:v>
      </x:c>
      <x:c r="AA335" s="87" t="n">
        <x:f>Z335*'01 Base Costs'!$B$11</x:f>
        <x:v>3512730240</x:v>
      </x:c>
      <x:c r="AB335" s="87" t="n">
        <x:f>Z335-AA335</x:f>
        <x:v>66741874560</x:v>
      </x:c>
      <x:c r="AC335" s="87" t="n">
        <x:f>O335+Y335</x:f>
        <x:v>80162052000</x:v>
      </x:c>
      <x:c r="AD335" s="87" t="n">
        <x:f>AB335-AC335</x:f>
        <x:v>-13420177440</x:v>
      </x:c>
      <x:c r="AE335" s="87" t="n">
        <x:f>AD335/D335</x:f>
        <x:v>-1118348120</x:v>
      </x:c>
      <x:c r="AF335" s="87" t="n">
        <x:f>AD335/P335</x:f>
        <x:v>-559174060</x:v>
      </x:c>
      <x:c r="AG335" s="87" t="n">
        <x:f>IF(T335=0,0,AC335/T335/(1-'01 Base Costs'!$B$11))</x:f>
        <x:v>904289988.0875028</x:v>
      </x:c>
      <x:c r="AH335" s="88" t="str">
        <x:f>IF(AD335&gt;0,"PROFIT","LOSS")</x:f>
        <x:v>LOSS</x:v>
      </x:c>
      <x:c r="AI335" s="89" t="str">
        <x:v>Base 12M Omega. MCT sale 30% off. Extractor bought on market with ISK.</x:v>
      </x:c>
    </x:row>
    <x:row r="336">
      <x:c r="A336" s="86" t="n">
        <x:v>334</x:v>
      </x:c>
      <x:c r="B336" s="88" t="str">
        <x:v>Base</x:v>
      </x:c>
      <x:c r="C336" s="88" t="str">
        <x:v>12M Omega</x:v>
      </x:c>
      <x:c r="D336" s="88" t="n">
        <x:v>12</x:v>
      </x:c>
      <x:c r="E336" s="88" t="n">
        <x:v>2</x:v>
      </x:c>
      <x:c r="F336" s="88" t="str">
        <x:v>NES MCT 40% sale</x:v>
      </x:c>
      <x:c r="G336" s="88" t="str">
        <x:v>NES single extractor</x:v>
      </x:c>
      <x:c r="H336" s="87" t="n">
        <x:f>'01 Base Costs'!$B$24</x:f>
        <x:v>3600</x:v>
      </x:c>
      <x:c r="I336" s="87" t="n">
        <x:f>'01 Base Costs'!$B$16*0.6</x:f>
        <x:v>291</x:v>
      </x:c>
      <x:c r="J336" s="87" t="n">
        <x:f>0</x:f>
        <x:v>0</x:v>
      </x:c>
      <x:c r="K336" s="87" t="n">
        <x:f>D336*(E336-1)*I336</x:f>
        <x:v>3492</x:v>
      </x:c>
      <x:c r="L336" s="87" t="n">
        <x:f>D336*(E336-1)*J336</x:f>
        <x:v>0</x:v>
      </x:c>
      <x:c r="M336" s="87" t="n">
        <x:f>0</x:f>
        <x:v>0</x:v>
      </x:c>
      <x:c r="N336" s="87" t="n">
        <x:f>H336+K336+M336</x:f>
        <x:v>7092</x:v>
      </x:c>
      <x:c r="O336" s="87" t="n">
        <x:f>N336*'01 Base Costs'!$B$7+L336</x:f>
        <x:v>34112520000</x:v>
      </x:c>
      <x:c r="P336" s="87" t="n">
        <x:f>D336*E336</x:f>
        <x:v>24</x:v>
      </x:c>
      <x:c r="Q336" s="87" t="n">
        <x:f>P336*'01 Base Costs'!$B$12</x:f>
        <x:v>46656000</x:v>
      </x:c>
      <x:c r="R336" s="87" t="n">
        <x:f>0</x:f>
        <x:v>0</x:v>
      </x:c>
      <x:c r="S336" s="87" t="n">
        <x:f>Q336+R336</x:f>
        <x:v>46656000</x:v>
      </x:c>
      <x:c r="T336" s="141" t="n">
        <x:f>S336/'01 Base Costs'!$B$14</x:f>
        <x:v>93.312</x:v>
      </x:c>
      <x:c r="U336" s="87" t="n">
        <x:f>INT(T336)</x:f>
        <x:v>93</x:v>
      </x:c>
      <x:c r="V336" s="87" t="n">
        <x:f>S336-U336*'01 Base Costs'!$B$14</x:f>
        <x:v>156000</x:v>
      </x:c>
      <x:c r="W336" s="120" t="n">
        <x:f>'01 Base Costs'!$B$17</x:f>
        <x:v>140</x:v>
      </x:c>
      <x:c r="X336" s="120" t="n">
        <x:f>0</x:f>
        <x:v>0</x:v>
      </x:c>
      <x:c r="Y336" s="87" t="n">
        <x:f>T336*(W336*'01 Base Costs'!$B$7+X336)</x:f>
        <x:v>62836300800</x:v>
      </x:c>
      <x:c r="Z336" s="87" t="n">
        <x:f>T336*'01 Base Costs'!$B$8</x:f>
        <x:v>70254604800</x:v>
      </x:c>
      <x:c r="AA336" s="87" t="n">
        <x:f>Z336*'01 Base Costs'!$B$11</x:f>
        <x:v>3512730240</x:v>
      </x:c>
      <x:c r="AB336" s="87" t="n">
        <x:f>Z336-AA336</x:f>
        <x:v>66741874560</x:v>
      </x:c>
      <x:c r="AC336" s="87" t="n">
        <x:f>O336+Y336</x:f>
        <x:v>96948820800</x:v>
      </x:c>
      <x:c r="AD336" s="87" t="n">
        <x:f>AB336-AC336</x:f>
        <x:v>-30206946240</x:v>
      </x:c>
      <x:c r="AE336" s="87" t="n">
        <x:f>AD336/D336</x:f>
        <x:v>-2517245520</x:v>
      </x:c>
      <x:c r="AF336" s="87" t="n">
        <x:f>AD336/P336</x:f>
        <x:v>-1258622760</x:v>
      </x:c>
      <x:c r="AG336" s="87" t="n">
        <x:f>IF(T336=0,0,AC336/T336/(1-'01 Base Costs'!$B$11))</x:f>
        <x:v>1093657732.2936974</x:v>
      </x:c>
      <x:c r="AH336" s="88" t="str">
        <x:f>IF(AD336&gt;0,"PROFIT","LOSS")</x:f>
        <x:v>LOSS</x:v>
      </x:c>
      <x:c r="AI336" s="89" t="str">
        <x:v>Base 12M Omega. MCT sale 40% off. Base single extractor.</x:v>
      </x:c>
    </x:row>
    <x:row r="337">
      <x:c r="A337" s="86" t="n">
        <x:v>335</x:v>
      </x:c>
      <x:c r="B337" s="88" t="str">
        <x:v>Base</x:v>
      </x:c>
      <x:c r="C337" s="88" t="str">
        <x:v>12M Omega</x:v>
      </x:c>
      <x:c r="D337" s="88" t="n">
        <x:v>12</x:v>
      </x:c>
      <x:c r="E337" s="88" t="n">
        <x:v>2</x:v>
      </x:c>
      <x:c r="F337" s="88" t="str">
        <x:v>NES MCT 40% sale</x:v>
      </x:c>
      <x:c r="G337" s="88" t="str">
        <x:v>NES 5-pack extractor</x:v>
      </x:c>
      <x:c r="H337" s="87" t="n">
        <x:f>'01 Base Costs'!$B$24</x:f>
        <x:v>3600</x:v>
      </x:c>
      <x:c r="I337" s="87" t="n">
        <x:f>'01 Base Costs'!$B$16*0.6</x:f>
        <x:v>291</x:v>
      </x:c>
      <x:c r="J337" s="87" t="n">
        <x:f>0</x:f>
        <x:v>0</x:v>
      </x:c>
      <x:c r="K337" s="87" t="n">
        <x:f>D337*(E337-1)*I337</x:f>
        <x:v>3492</x:v>
      </x:c>
      <x:c r="L337" s="87" t="n">
        <x:f>D337*(E337-1)*J337</x:f>
        <x:v>0</x:v>
      </x:c>
      <x:c r="M337" s="87" t="n">
        <x:f>0</x:f>
        <x:v>0</x:v>
      </x:c>
      <x:c r="N337" s="87" t="n">
        <x:f>H337+K337+M337</x:f>
        <x:v>7092</x:v>
      </x:c>
      <x:c r="O337" s="87" t="n">
        <x:f>N337*'01 Base Costs'!$B$7+L337</x:f>
        <x:v>34112520000</x:v>
      </x:c>
      <x:c r="P337" s="87" t="n">
        <x:f>D337*E337</x:f>
        <x:v>24</x:v>
      </x:c>
      <x:c r="Q337" s="87" t="n">
        <x:f>P337*'01 Base Costs'!$B$12</x:f>
        <x:v>46656000</x:v>
      </x:c>
      <x:c r="R337" s="87" t="n">
        <x:f>0</x:f>
        <x:v>0</x:v>
      </x:c>
      <x:c r="S337" s="87" t="n">
        <x:f>Q337+R337</x:f>
        <x:v>46656000</x:v>
      </x:c>
      <x:c r="T337" s="141" t="n">
        <x:f>S337/'01 Base Costs'!$B$14</x:f>
        <x:v>93.312</x:v>
      </x:c>
      <x:c r="U337" s="87" t="n">
        <x:f>INT(T337)</x:f>
        <x:v>93</x:v>
      </x:c>
      <x:c r="V337" s="87" t="n">
        <x:f>S337-U337*'01 Base Costs'!$B$14</x:f>
        <x:v>156000</x:v>
      </x:c>
      <x:c r="W337" s="120" t="n">
        <x:f>'01 Base Costs'!$B$18/5</x:f>
        <x:v>126</x:v>
      </x:c>
      <x:c r="X337" s="120" t="n">
        <x:f>0</x:f>
        <x:v>0</x:v>
      </x:c>
      <x:c r="Y337" s="87" t="n">
        <x:f>T337*(W337*'01 Base Costs'!$B$7+X337)</x:f>
        <x:v>56552670720</x:v>
      </x:c>
      <x:c r="Z337" s="87" t="n">
        <x:f>T337*'01 Base Costs'!$B$8</x:f>
        <x:v>70254604800</x:v>
      </x:c>
      <x:c r="AA337" s="87" t="n">
        <x:f>Z337*'01 Base Costs'!$B$11</x:f>
        <x:v>3512730240</x:v>
      </x:c>
      <x:c r="AB337" s="87" t="n">
        <x:f>Z337-AA337</x:f>
        <x:v>66741874560</x:v>
      </x:c>
      <x:c r="AC337" s="87" t="n">
        <x:f>O337+Y337</x:f>
        <x:v>90665190720</x:v>
      </x:c>
      <x:c r="AD337" s="87" t="n">
        <x:f>AB337-AC337</x:f>
        <x:v>-23923316160</x:v>
      </x:c>
      <x:c r="AE337" s="87" t="n">
        <x:f>AD337/D337</x:f>
        <x:v>-1993609680</x:v>
      </x:c>
      <x:c r="AF337" s="87" t="n">
        <x:f>AD337/P337</x:f>
        <x:v>-996804840</x:v>
      </x:c>
      <x:c r="AG337" s="87" t="n">
        <x:f>IF(T337=0,0,AC337/T337/(1-'01 Base Costs'!$B$11))</x:f>
        <x:v>1022773521.7673815</x:v>
      </x:c>
      <x:c r="AH337" s="88" t="str">
        <x:f>IF(AD337&gt;0,"PROFIT","LOSS")</x:f>
        <x:v>LOSS</x:v>
      </x:c>
      <x:c r="AI337" s="89" t="str">
        <x:v>Base 12M Omega. MCT sale 40% off. Base 5-pack average.</x:v>
      </x:c>
    </x:row>
    <x:row r="338">
      <x:c r="A338" s="86" t="n">
        <x:v>336</x:v>
      </x:c>
      <x:c r="B338" s="88" t="str">
        <x:v>Base</x:v>
      </x:c>
      <x:c r="C338" s="88" t="str">
        <x:v>12M Omega</x:v>
      </x:c>
      <x:c r="D338" s="88" t="n">
        <x:v>12</x:v>
      </x:c>
      <x:c r="E338" s="88" t="n">
        <x:v>2</x:v>
      </x:c>
      <x:c r="F338" s="88" t="str">
        <x:v>NES MCT 40% sale</x:v>
      </x:c>
      <x:c r="G338" s="88" t="str">
        <x:v>NES 10-pack extractor</x:v>
      </x:c>
      <x:c r="H338" s="87" t="n">
        <x:f>'01 Base Costs'!$B$24</x:f>
        <x:v>3600</x:v>
      </x:c>
      <x:c r="I338" s="87" t="n">
        <x:f>'01 Base Costs'!$B$16*0.6</x:f>
        <x:v>291</x:v>
      </x:c>
      <x:c r="J338" s="87" t="n">
        <x:f>0</x:f>
        <x:v>0</x:v>
      </x:c>
      <x:c r="K338" s="87" t="n">
        <x:f>D338*(E338-1)*I338</x:f>
        <x:v>3492</x:v>
      </x:c>
      <x:c r="L338" s="87" t="n">
        <x:f>D338*(E338-1)*J338</x:f>
        <x:v>0</x:v>
      </x:c>
      <x:c r="M338" s="87" t="n">
        <x:f>0</x:f>
        <x:v>0</x:v>
      </x:c>
      <x:c r="N338" s="87" t="n">
        <x:f>H338+K338+M338</x:f>
        <x:v>7092</x:v>
      </x:c>
      <x:c r="O338" s="87" t="n">
        <x:f>N338*'01 Base Costs'!$B$7+L338</x:f>
        <x:v>34112520000</x:v>
      </x:c>
      <x:c r="P338" s="87" t="n">
        <x:f>D338*E338</x:f>
        <x:v>24</x:v>
      </x:c>
      <x:c r="Q338" s="87" t="n">
        <x:f>P338*'01 Base Costs'!$B$12</x:f>
        <x:v>46656000</x:v>
      </x:c>
      <x:c r="R338" s="87" t="n">
        <x:f>0</x:f>
        <x:v>0</x:v>
      </x:c>
      <x:c r="S338" s="87" t="n">
        <x:f>Q338+R338</x:f>
        <x:v>46656000</x:v>
      </x:c>
      <x:c r="T338" s="141" t="n">
        <x:f>S338/'01 Base Costs'!$B$14</x:f>
        <x:v>93.312</x:v>
      </x:c>
      <x:c r="U338" s="87" t="n">
        <x:f>INT(T338)</x:f>
        <x:v>93</x:v>
      </x:c>
      <x:c r="V338" s="87" t="n">
        <x:f>S338-U338*'01 Base Costs'!$B$14</x:f>
        <x:v>156000</x:v>
      </x:c>
      <x:c r="W338" s="120" t="n">
        <x:f>'01 Base Costs'!$B$19/10</x:f>
        <x:v>119</x:v>
      </x:c>
      <x:c r="X338" s="120" t="n">
        <x:f>0</x:f>
        <x:v>0</x:v>
      </x:c>
      <x:c r="Y338" s="87" t="n">
        <x:f>T338*(W338*'01 Base Costs'!$B$7+X338)</x:f>
        <x:v>53410855680</x:v>
      </x:c>
      <x:c r="Z338" s="87" t="n">
        <x:f>T338*'01 Base Costs'!$B$8</x:f>
        <x:v>70254604800</x:v>
      </x:c>
      <x:c r="AA338" s="87" t="n">
        <x:f>Z338*'01 Base Costs'!$B$11</x:f>
        <x:v>3512730240</x:v>
      </x:c>
      <x:c r="AB338" s="87" t="n">
        <x:f>Z338-AA338</x:f>
        <x:v>66741874560</x:v>
      </x:c>
      <x:c r="AC338" s="87" t="n">
        <x:f>O338+Y338</x:f>
        <x:v>87523375680</x:v>
      </x:c>
      <x:c r="AD338" s="87" t="n">
        <x:f>AB338-AC338</x:f>
        <x:v>-20781501120</x:v>
      </x:c>
      <x:c r="AE338" s="87" t="n">
        <x:f>AD338/D338</x:f>
        <x:v>-1731791760</x:v>
      </x:c>
      <x:c r="AF338" s="87" t="n">
        <x:f>AD338/P338</x:f>
        <x:v>-865895880</x:v>
      </x:c>
      <x:c r="AG338" s="87" t="n">
        <x:f>IF(T338=0,0,AC338/T338/(1-'01 Base Costs'!$B$11))</x:f>
        <x:v>987331416.5042236</x:v>
      </x:c>
      <x:c r="AH338" s="88" t="str">
        <x:f>IF(AD338&gt;0,"PROFIT","LOSS")</x:f>
        <x:v>LOSS</x:v>
      </x:c>
      <x:c r="AI338" s="89" t="str">
        <x:v>Base 12M Omega. MCT sale 40% off. Base 10-pack average.</x:v>
      </x:c>
    </x:row>
    <x:row r="339">
      <x:c r="A339" s="86" t="n">
        <x:v>337</x:v>
      </x:c>
      <x:c r="B339" s="88" t="str">
        <x:v>Base</x:v>
      </x:c>
      <x:c r="C339" s="88" t="str">
        <x:v>12M Omega</x:v>
      </x:c>
      <x:c r="D339" s="88" t="n">
        <x:v>12</x:v>
      </x:c>
      <x:c r="E339" s="88" t="n">
        <x:v>2</x:v>
      </x:c>
      <x:c r="F339" s="88" t="str">
        <x:v>NES MCT 40% sale</x:v>
      </x:c>
      <x:c r="G339" s="88" t="str">
        <x:v>NES 50-pack extractor</x:v>
      </x:c>
      <x:c r="H339" s="87" t="n">
        <x:f>'01 Base Costs'!$B$24</x:f>
        <x:v>3600</x:v>
      </x:c>
      <x:c r="I339" s="87" t="n">
        <x:f>'01 Base Costs'!$B$16*0.6</x:f>
        <x:v>291</x:v>
      </x:c>
      <x:c r="J339" s="87" t="n">
        <x:f>0</x:f>
        <x:v>0</x:v>
      </x:c>
      <x:c r="K339" s="87" t="n">
        <x:f>D339*(E339-1)*I339</x:f>
        <x:v>3492</x:v>
      </x:c>
      <x:c r="L339" s="87" t="n">
        <x:f>D339*(E339-1)*J339</x:f>
        <x:v>0</x:v>
      </x:c>
      <x:c r="M339" s="87" t="n">
        <x:f>0</x:f>
        <x:v>0</x:v>
      </x:c>
      <x:c r="N339" s="87" t="n">
        <x:f>H339+K339+M339</x:f>
        <x:v>7092</x:v>
      </x:c>
      <x:c r="O339" s="87" t="n">
        <x:f>N339*'01 Base Costs'!$B$7+L339</x:f>
        <x:v>34112520000</x:v>
      </x:c>
      <x:c r="P339" s="87" t="n">
        <x:f>D339*E339</x:f>
        <x:v>24</x:v>
      </x:c>
      <x:c r="Q339" s="87" t="n">
        <x:f>P339*'01 Base Costs'!$B$12</x:f>
        <x:v>46656000</x:v>
      </x:c>
      <x:c r="R339" s="87" t="n">
        <x:f>0</x:f>
        <x:v>0</x:v>
      </x:c>
      <x:c r="S339" s="87" t="n">
        <x:f>Q339+R339</x:f>
        <x:v>46656000</x:v>
      </x:c>
      <x:c r="T339" s="141" t="n">
        <x:f>S339/'01 Base Costs'!$B$14</x:f>
        <x:v>93.312</x:v>
      </x:c>
      <x:c r="U339" s="87" t="n">
        <x:f>INT(T339)</x:f>
        <x:v>93</x:v>
      </x:c>
      <x:c r="V339" s="87" t="n">
        <x:f>S339-U339*'01 Base Costs'!$B$14</x:f>
        <x:v>156000</x:v>
      </x:c>
      <x:c r="W339" s="120" t="n">
        <x:f>'01 Base Costs'!$B$20/50</x:f>
        <x:v>112</x:v>
      </x:c>
      <x:c r="X339" s="120" t="n">
        <x:f>0</x:f>
        <x:v>0</x:v>
      </x:c>
      <x:c r="Y339" s="87" t="n">
        <x:f>T339*(W339*'01 Base Costs'!$B$7+X339)</x:f>
        <x:v>50269040640</x:v>
      </x:c>
      <x:c r="Z339" s="87" t="n">
        <x:f>T339*'01 Base Costs'!$B$8</x:f>
        <x:v>70254604800</x:v>
      </x:c>
      <x:c r="AA339" s="87" t="n">
        <x:f>Z339*'01 Base Costs'!$B$11</x:f>
        <x:v>3512730240</x:v>
      </x:c>
      <x:c r="AB339" s="87" t="n">
        <x:f>Z339-AA339</x:f>
        <x:v>66741874560</x:v>
      </x:c>
      <x:c r="AC339" s="87" t="n">
        <x:f>O339+Y339</x:f>
        <x:v>84381560640</x:v>
      </x:c>
      <x:c r="AD339" s="87" t="n">
        <x:f>AB339-AC339</x:f>
        <x:v>-17639686080</x:v>
      </x:c>
      <x:c r="AE339" s="87" t="n">
        <x:f>AD339/D339</x:f>
        <x:v>-1469973840</x:v>
      </x:c>
      <x:c r="AF339" s="87" t="n">
        <x:f>AD339/P339</x:f>
        <x:v>-734986920</x:v>
      </x:c>
      <x:c r="AG339" s="87" t="n">
        <x:f>IF(T339=0,0,AC339/T339/(1-'01 Base Costs'!$B$11))</x:f>
        <x:v>951889311.2410657</x:v>
      </x:c>
      <x:c r="AH339" s="88" t="str">
        <x:f>IF(AD339&gt;0,"PROFIT","LOSS")</x:f>
        <x:v>LOSS</x:v>
      </x:c>
      <x:c r="AI339" s="89" t="str">
        <x:v>Base 12M Omega. MCT sale 40% off. Base 50-pack average.</x:v>
      </x:c>
    </x:row>
    <x:row r="340">
      <x:c r="A340" s="86" t="n">
        <x:v>338</x:v>
      </x:c>
      <x:c r="B340" s="88" t="str">
        <x:v>Base</x:v>
      </x:c>
      <x:c r="C340" s="88" t="str">
        <x:v>12M Omega</x:v>
      </x:c>
      <x:c r="D340" s="88" t="n">
        <x:v>12</x:v>
      </x:c>
      <x:c r="E340" s="88" t="n">
        <x:v>2</x:v>
      </x:c>
      <x:c r="F340" s="88" t="str">
        <x:v>NES MCT 40% sale</x:v>
      </x:c>
      <x:c r="G340" s="88" t="str">
        <x:v>NES 3-for-2 extractor sale</x:v>
      </x:c>
      <x:c r="H340" s="87" t="n">
        <x:f>'01 Base Costs'!$B$24</x:f>
        <x:v>3600</x:v>
      </x:c>
      <x:c r="I340" s="87" t="n">
        <x:f>'01 Base Costs'!$B$16*0.6</x:f>
        <x:v>291</x:v>
      </x:c>
      <x:c r="J340" s="87" t="n">
        <x:f>0</x:f>
        <x:v>0</x:v>
      </x:c>
      <x:c r="K340" s="87" t="n">
        <x:f>D340*(E340-1)*I340</x:f>
        <x:v>3492</x:v>
      </x:c>
      <x:c r="L340" s="87" t="n">
        <x:f>D340*(E340-1)*J340</x:f>
        <x:v>0</x:v>
      </x:c>
      <x:c r="M340" s="87" t="n">
        <x:f>0</x:f>
        <x:v>0</x:v>
      </x:c>
      <x:c r="N340" s="87" t="n">
        <x:f>H340+K340+M340</x:f>
        <x:v>7092</x:v>
      </x:c>
      <x:c r="O340" s="87" t="n">
        <x:f>N340*'01 Base Costs'!$B$7+L340</x:f>
        <x:v>34112520000</x:v>
      </x:c>
      <x:c r="P340" s="87" t="n">
        <x:f>D340*E340</x:f>
        <x:v>24</x:v>
      </x:c>
      <x:c r="Q340" s="87" t="n">
        <x:f>P340*'01 Base Costs'!$B$12</x:f>
        <x:v>46656000</x:v>
      </x:c>
      <x:c r="R340" s="87" t="n">
        <x:f>0</x:f>
        <x:v>0</x:v>
      </x:c>
      <x:c r="S340" s="87" t="n">
        <x:f>Q340+R340</x:f>
        <x:v>46656000</x:v>
      </x:c>
      <x:c r="T340" s="141" t="n">
        <x:f>S340/'01 Base Costs'!$B$14</x:f>
        <x:v>93.312</x:v>
      </x:c>
      <x:c r="U340" s="87" t="n">
        <x:f>INT(T340)</x:f>
        <x:v>93</x:v>
      </x:c>
      <x:c r="V340" s="87" t="n">
        <x:f>S340-U340*'01 Base Costs'!$B$14</x:f>
        <x:v>156000</x:v>
      </x:c>
      <x:c r="W340" s="120" t="n">
        <x:f>'01 Base Costs'!$B$17*2/3</x:f>
        <x:v>93.33333333333333</x:v>
      </x:c>
      <x:c r="X340" s="120" t="n">
        <x:f>0</x:f>
        <x:v>0</x:v>
      </x:c>
      <x:c r="Y340" s="87" t="n">
        <x:f>T340*(W340*'01 Base Costs'!$B$7+X340)</x:f>
        <x:v>41890867200</x:v>
      </x:c>
      <x:c r="Z340" s="87" t="n">
        <x:f>T340*'01 Base Costs'!$B$8</x:f>
        <x:v>70254604800</x:v>
      </x:c>
      <x:c r="AA340" s="87" t="n">
        <x:f>Z340*'01 Base Costs'!$B$11</x:f>
        <x:v>3512730240</x:v>
      </x:c>
      <x:c r="AB340" s="87" t="n">
        <x:f>Z340-AA340</x:f>
        <x:v>66741874560</x:v>
      </x:c>
      <x:c r="AC340" s="87" t="n">
        <x:f>O340+Y340</x:f>
        <x:v>76003387200</x:v>
      </x:c>
      <x:c r="AD340" s="87" t="n">
        <x:f>AB340-AC340</x:f>
        <x:v>-9261512640</x:v>
      </x:c>
      <x:c r="AE340" s="87" t="n">
        <x:f>AD340/D340</x:f>
        <x:v>-771792720</x:v>
      </x:c>
      <x:c r="AF340" s="87" t="n">
        <x:f>AD340/P340</x:f>
        <x:v>-385896360</x:v>
      </x:c>
      <x:c r="AG340" s="87" t="n">
        <x:f>IF(T340=0,0,AC340/T340/(1-'01 Base Costs'!$B$11))</x:f>
        <x:v>857377030.5393113</x:v>
      </x:c>
      <x:c r="AH340" s="88" t="str">
        <x:f>IF(AD340&gt;0,"PROFIT","LOSS")</x:f>
        <x:v>LOSS</x:v>
      </x:c>
      <x:c r="AI340" s="89" t="str">
        <x:v>Base 12M Omega. MCT sale 40% off. Extractor 3-for-2 sale.</x:v>
      </x:c>
    </x:row>
    <x:row r="341">
      <x:c r="A341" s="86" t="n">
        <x:v>339</x:v>
      </x:c>
      <x:c r="B341" s="88" t="str">
        <x:v>Base</x:v>
      </x:c>
      <x:c r="C341" s="88" t="str">
        <x:v>12M Omega</x:v>
      </x:c>
      <x:c r="D341" s="88" t="n">
        <x:v>12</x:v>
      </x:c>
      <x:c r="E341" s="88" t="n">
        <x:v>2</x:v>
      </x:c>
      <x:c r="F341" s="88" t="str">
        <x:v>NES MCT 40% sale</x:v>
      </x:c>
      <x:c r="G341" s="88" t="str">
        <x:v>NES 2-for-1 extractor sale</x:v>
      </x:c>
      <x:c r="H341" s="87" t="n">
        <x:f>'01 Base Costs'!$B$24</x:f>
        <x:v>3600</x:v>
      </x:c>
      <x:c r="I341" s="87" t="n">
        <x:f>'01 Base Costs'!$B$16*0.6</x:f>
        <x:v>291</x:v>
      </x:c>
      <x:c r="J341" s="87" t="n">
        <x:f>0</x:f>
        <x:v>0</x:v>
      </x:c>
      <x:c r="K341" s="87" t="n">
        <x:f>D341*(E341-1)*I341</x:f>
        <x:v>3492</x:v>
      </x:c>
      <x:c r="L341" s="87" t="n">
        <x:f>D341*(E341-1)*J341</x:f>
        <x:v>0</x:v>
      </x:c>
      <x:c r="M341" s="87" t="n">
        <x:f>0</x:f>
        <x:v>0</x:v>
      </x:c>
      <x:c r="N341" s="87" t="n">
        <x:f>H341+K341+M341</x:f>
        <x:v>7092</x:v>
      </x:c>
      <x:c r="O341" s="87" t="n">
        <x:f>N341*'01 Base Costs'!$B$7+L341</x:f>
        <x:v>34112520000</x:v>
      </x:c>
      <x:c r="P341" s="87" t="n">
        <x:f>D341*E341</x:f>
        <x:v>24</x:v>
      </x:c>
      <x:c r="Q341" s="87" t="n">
        <x:f>P341*'01 Base Costs'!$B$12</x:f>
        <x:v>46656000</x:v>
      </x:c>
      <x:c r="R341" s="87" t="n">
        <x:f>0</x:f>
        <x:v>0</x:v>
      </x:c>
      <x:c r="S341" s="87" t="n">
        <x:f>Q341+R341</x:f>
        <x:v>46656000</x:v>
      </x:c>
      <x:c r="T341" s="141" t="n">
        <x:f>S341/'01 Base Costs'!$B$14</x:f>
        <x:v>93.312</x:v>
      </x:c>
      <x:c r="U341" s="87" t="n">
        <x:f>INT(T341)</x:f>
        <x:v>93</x:v>
      </x:c>
      <x:c r="V341" s="87" t="n">
        <x:f>S341-U341*'01 Base Costs'!$B$14</x:f>
        <x:v>156000</x:v>
      </x:c>
      <x:c r="W341" s="120" t="n">
        <x:f>'01 Base Costs'!$B$17/2</x:f>
        <x:v>70</x:v>
      </x:c>
      <x:c r="X341" s="120" t="n">
        <x:f>0</x:f>
        <x:v>0</x:v>
      </x:c>
      <x:c r="Y341" s="87" t="n">
        <x:f>T341*(W341*'01 Base Costs'!$B$7+X341)</x:f>
        <x:v>31418150400</x:v>
      </x:c>
      <x:c r="Z341" s="87" t="n">
        <x:f>T341*'01 Base Costs'!$B$8</x:f>
        <x:v>70254604800</x:v>
      </x:c>
      <x:c r="AA341" s="87" t="n">
        <x:f>Z341*'01 Base Costs'!$B$11</x:f>
        <x:v>3512730240</x:v>
      </x:c>
      <x:c r="AB341" s="87" t="n">
        <x:f>Z341-AA341</x:f>
        <x:v>66741874560</x:v>
      </x:c>
      <x:c r="AC341" s="87" t="n">
        <x:f>O341+Y341</x:f>
        <x:v>65530670400</x:v>
      </x:c>
      <x:c r="AD341" s="87" t="n">
        <x:f>AB341-AC341</x:f>
        <x:v>1211204160</x:v>
      </x:c>
      <x:c r="AE341" s="87" t="n">
        <x:f>AD341/D341</x:f>
        <x:v>100933680</x:v>
      </x:c>
      <x:c r="AF341" s="87" t="n">
        <x:f>AD341/P341</x:f>
        <x:v>50466840</x:v>
      </x:c>
      <x:c r="AG341" s="87" t="n">
        <x:f>IF(T341=0,0,AC341/T341/(1-'01 Base Costs'!$B$11))</x:f>
        <x:v>739236679.6621183</x:v>
      </x:c>
      <x:c r="AH341" s="88" t="str">
        <x:f>IF(AD341&gt;0,"PROFIT","LOSS")</x:f>
        <x:v>PROFIT</x:v>
      </x:c>
      <x:c r="AI341" s="89" t="str">
        <x:v>Base 12M Omega. MCT sale 40% off. Extractor 2-for-1 sale.</x:v>
      </x:c>
    </x:row>
    <x:row r="342">
      <x:c r="A342" s="86" t="n">
        <x:v>340</x:v>
      </x:c>
      <x:c r="B342" s="88" t="str">
        <x:v>Base</x:v>
      </x:c>
      <x:c r="C342" s="88" t="str">
        <x:v>12M Omega</x:v>
      </x:c>
      <x:c r="D342" s="88" t="n">
        <x:v>12</x:v>
      </x:c>
      <x:c r="E342" s="88" t="n">
        <x:v>2</x:v>
      </x:c>
      <x:c r="F342" s="88" t="str">
        <x:v>NES MCT 40% sale</x:v>
      </x:c>
      <x:c r="G342" s="88" t="str">
        <x:v>NES 10-pack extractor 20% sale</x:v>
      </x:c>
      <x:c r="H342" s="87" t="n">
        <x:f>'01 Base Costs'!$B$24</x:f>
        <x:v>3600</x:v>
      </x:c>
      <x:c r="I342" s="87" t="n">
        <x:f>'01 Base Costs'!$B$16*0.6</x:f>
        <x:v>291</x:v>
      </x:c>
      <x:c r="J342" s="87" t="n">
        <x:f>0</x:f>
        <x:v>0</x:v>
      </x:c>
      <x:c r="K342" s="87" t="n">
        <x:f>D342*(E342-1)*I342</x:f>
        <x:v>3492</x:v>
      </x:c>
      <x:c r="L342" s="87" t="n">
        <x:f>D342*(E342-1)*J342</x:f>
        <x:v>0</x:v>
      </x:c>
      <x:c r="M342" s="87" t="n">
        <x:f>0</x:f>
        <x:v>0</x:v>
      </x:c>
      <x:c r="N342" s="87" t="n">
        <x:f>H342+K342+M342</x:f>
        <x:v>7092</x:v>
      </x:c>
      <x:c r="O342" s="87" t="n">
        <x:f>N342*'01 Base Costs'!$B$7+L342</x:f>
        <x:v>34112520000</x:v>
      </x:c>
      <x:c r="P342" s="87" t="n">
        <x:f>D342*E342</x:f>
        <x:v>24</x:v>
      </x:c>
      <x:c r="Q342" s="87" t="n">
        <x:f>P342*'01 Base Costs'!$B$12</x:f>
        <x:v>46656000</x:v>
      </x:c>
      <x:c r="R342" s="87" t="n">
        <x:f>0</x:f>
        <x:v>0</x:v>
      </x:c>
      <x:c r="S342" s="87" t="n">
        <x:f>Q342+R342</x:f>
        <x:v>46656000</x:v>
      </x:c>
      <x:c r="T342" s="141" t="n">
        <x:f>S342/'01 Base Costs'!$B$14</x:f>
        <x:v>93.312</x:v>
      </x:c>
      <x:c r="U342" s="87" t="n">
        <x:f>INT(T342)</x:f>
        <x:v>93</x:v>
      </x:c>
      <x:c r="V342" s="87" t="n">
        <x:f>S342-U342*'01 Base Costs'!$B$14</x:f>
        <x:v>156000</x:v>
      </x:c>
      <x:c r="W342" s="120" t="n">
        <x:f>'01 Base Costs'!$B$19*0.8/10</x:f>
        <x:v>95.2</x:v>
      </x:c>
      <x:c r="X342" s="120" t="n">
        <x:f>0</x:f>
        <x:v>0</x:v>
      </x:c>
      <x:c r="Y342" s="87" t="n">
        <x:f>T342*(W342*'01 Base Costs'!$B$7+X342)</x:f>
        <x:v>42728684544</x:v>
      </x:c>
      <x:c r="Z342" s="87" t="n">
        <x:f>T342*'01 Base Costs'!$B$8</x:f>
        <x:v>70254604800</x:v>
      </x:c>
      <x:c r="AA342" s="87" t="n">
        <x:f>Z342*'01 Base Costs'!$B$11</x:f>
        <x:v>3512730240</x:v>
      </x:c>
      <x:c r="AB342" s="87" t="n">
        <x:f>Z342-AA342</x:f>
        <x:v>66741874560</x:v>
      </x:c>
      <x:c r="AC342" s="87" t="n">
        <x:f>O342+Y342</x:f>
        <x:v>76841204544</x:v>
      </x:c>
      <x:c r="AD342" s="87" t="n">
        <x:f>AB342-AC342</x:f>
        <x:v>-10099329984</x:v>
      </x:c>
      <x:c r="AE342" s="87" t="n">
        <x:f>AD342/D342</x:f>
        <x:v>-841610832</x:v>
      </x:c>
      <x:c r="AF342" s="87" t="n">
        <x:f>AD342/P342</x:f>
        <x:v>-420805416</x:v>
      </x:c>
      <x:c r="AG342" s="87" t="n">
        <x:f>IF(T342=0,0,AC342/T342/(1-'01 Base Costs'!$B$11))</x:f>
        <x:v>866828258.6094868</x:v>
      </x:c>
      <x:c r="AH342" s="88" t="str">
        <x:f>IF(AD342&gt;0,"PROFIT","LOSS")</x:f>
        <x:v>LOSS</x:v>
      </x:c>
      <x:c r="AI342" s="89" t="str">
        <x:v>Base 12M Omega. MCT sale 40% off. 10-pack at 20% off.</x:v>
      </x:c>
    </x:row>
    <x:row r="343">
      <x:c r="A343" s="86" t="n">
        <x:v>341</x:v>
      </x:c>
      <x:c r="B343" s="88" t="str">
        <x:v>Base</x:v>
      </x:c>
      <x:c r="C343" s="88" t="str">
        <x:v>12M Omega</x:v>
      </x:c>
      <x:c r="D343" s="88" t="n">
        <x:v>12</x:v>
      </x:c>
      <x:c r="E343" s="88" t="n">
        <x:v>2</x:v>
      </x:c>
      <x:c r="F343" s="88" t="str">
        <x:v>NES MCT 40% sale</x:v>
      </x:c>
      <x:c r="G343" s="88" t="str">
        <x:v>NES 50-pack extractor 20% sale</x:v>
      </x:c>
      <x:c r="H343" s="87" t="n">
        <x:f>'01 Base Costs'!$B$24</x:f>
        <x:v>3600</x:v>
      </x:c>
      <x:c r="I343" s="87" t="n">
        <x:f>'01 Base Costs'!$B$16*0.6</x:f>
        <x:v>291</x:v>
      </x:c>
      <x:c r="J343" s="87" t="n">
        <x:f>0</x:f>
        <x:v>0</x:v>
      </x:c>
      <x:c r="K343" s="87" t="n">
        <x:f>D343*(E343-1)*I343</x:f>
        <x:v>3492</x:v>
      </x:c>
      <x:c r="L343" s="87" t="n">
        <x:f>D343*(E343-1)*J343</x:f>
        <x:v>0</x:v>
      </x:c>
      <x:c r="M343" s="87" t="n">
        <x:f>0</x:f>
        <x:v>0</x:v>
      </x:c>
      <x:c r="N343" s="87" t="n">
        <x:f>H343+K343+M343</x:f>
        <x:v>7092</x:v>
      </x:c>
      <x:c r="O343" s="87" t="n">
        <x:f>N343*'01 Base Costs'!$B$7+L343</x:f>
        <x:v>34112520000</x:v>
      </x:c>
      <x:c r="P343" s="87" t="n">
        <x:f>D343*E343</x:f>
        <x:v>24</x:v>
      </x:c>
      <x:c r="Q343" s="87" t="n">
        <x:f>P343*'01 Base Costs'!$B$12</x:f>
        <x:v>46656000</x:v>
      </x:c>
      <x:c r="R343" s="87" t="n">
        <x:f>0</x:f>
        <x:v>0</x:v>
      </x:c>
      <x:c r="S343" s="87" t="n">
        <x:f>Q343+R343</x:f>
        <x:v>46656000</x:v>
      </x:c>
      <x:c r="T343" s="141" t="n">
        <x:f>S343/'01 Base Costs'!$B$14</x:f>
        <x:v>93.312</x:v>
      </x:c>
      <x:c r="U343" s="87" t="n">
        <x:f>INT(T343)</x:f>
        <x:v>93</x:v>
      </x:c>
      <x:c r="V343" s="87" t="n">
        <x:f>S343-U343*'01 Base Costs'!$B$14</x:f>
        <x:v>156000</x:v>
      </x:c>
      <x:c r="W343" s="120" t="n">
        <x:f>'01 Base Costs'!$B$20*0.8/50</x:f>
        <x:v>89.6</x:v>
      </x:c>
      <x:c r="X343" s="120" t="n">
        <x:f>0</x:f>
        <x:v>0</x:v>
      </x:c>
      <x:c r="Y343" s="87" t="n">
        <x:f>T343*(W343*'01 Base Costs'!$B$7+X343)</x:f>
        <x:v>40215232512</x:v>
      </x:c>
      <x:c r="Z343" s="87" t="n">
        <x:f>T343*'01 Base Costs'!$B$8</x:f>
        <x:v>70254604800</x:v>
      </x:c>
      <x:c r="AA343" s="87" t="n">
        <x:f>Z343*'01 Base Costs'!$B$11</x:f>
        <x:v>3512730240</x:v>
      </x:c>
      <x:c r="AB343" s="87" t="n">
        <x:f>Z343-AA343</x:f>
        <x:v>66741874560</x:v>
      </x:c>
      <x:c r="AC343" s="87" t="n">
        <x:f>O343+Y343</x:f>
        <x:v>74327752512</x:v>
      </x:c>
      <x:c r="AD343" s="87" t="n">
        <x:f>AB343-AC343</x:f>
        <x:v>-7585877952</x:v>
      </x:c>
      <x:c r="AE343" s="87" t="n">
        <x:f>AD343/D343</x:f>
        <x:v>-632156496</x:v>
      </x:c>
      <x:c r="AF343" s="87" t="n">
        <x:f>AD343/P343</x:f>
        <x:v>-316078248</x:v>
      </x:c>
      <x:c r="AG343" s="87" t="n">
        <x:f>IF(T343=0,0,AC343/T343/(1-'01 Base Costs'!$B$11))</x:f>
        <x:v>838474574.3989605</x:v>
      </x:c>
      <x:c r="AH343" s="88" t="str">
        <x:f>IF(AD343&gt;0,"PROFIT","LOSS")</x:f>
        <x:v>LOSS</x:v>
      </x:c>
      <x:c r="AI343" s="89" t="str">
        <x:v>Base 12M Omega. MCT sale 40% off. 50-pack at 20% off.</x:v>
      </x:c>
    </x:row>
    <x:row r="344">
      <x:c r="A344" s="86" t="n">
        <x:v>342</x:v>
      </x:c>
      <x:c r="B344" s="88" t="str">
        <x:v>Base</x:v>
      </x:c>
      <x:c r="C344" s="88" t="str">
        <x:v>12M Omega</x:v>
      </x:c>
      <x:c r="D344" s="88" t="n">
        <x:v>12</x:v>
      </x:c>
      <x:c r="E344" s="88" t="n">
        <x:v>2</x:v>
      </x:c>
      <x:c r="F344" s="88" t="str">
        <x:v>NES MCT 40% sale</x:v>
      </x:c>
      <x:c r="G344" s="88" t="str">
        <x:v>Market Skill Extractor</x:v>
      </x:c>
      <x:c r="H344" s="87" t="n">
        <x:f>'01 Base Costs'!$B$24</x:f>
        <x:v>3600</x:v>
      </x:c>
      <x:c r="I344" s="87" t="n">
        <x:f>'01 Base Costs'!$B$16*0.6</x:f>
        <x:v>291</x:v>
      </x:c>
      <x:c r="J344" s="87" t="n">
        <x:f>0</x:f>
        <x:v>0</x:v>
      </x:c>
      <x:c r="K344" s="87" t="n">
        <x:f>D344*(E344-1)*I344</x:f>
        <x:v>3492</x:v>
      </x:c>
      <x:c r="L344" s="87" t="n">
        <x:f>D344*(E344-1)*J344</x:f>
        <x:v>0</x:v>
      </x:c>
      <x:c r="M344" s="87" t="n">
        <x:f>0</x:f>
        <x:v>0</x:v>
      </x:c>
      <x:c r="N344" s="87" t="n">
        <x:f>H344+K344+M344</x:f>
        <x:v>7092</x:v>
      </x:c>
      <x:c r="O344" s="87" t="n">
        <x:f>N344*'01 Base Costs'!$B$7+L344</x:f>
        <x:v>34112520000</x:v>
      </x:c>
      <x:c r="P344" s="87" t="n">
        <x:f>D344*E344</x:f>
        <x:v>24</x:v>
      </x:c>
      <x:c r="Q344" s="87" t="n">
        <x:f>P344*'01 Base Costs'!$B$12</x:f>
        <x:v>46656000</x:v>
      </x:c>
      <x:c r="R344" s="87" t="n">
        <x:f>0</x:f>
        <x:v>0</x:v>
      </x:c>
      <x:c r="S344" s="87" t="n">
        <x:f>Q344+R344</x:f>
        <x:v>46656000</x:v>
      </x:c>
      <x:c r="T344" s="141" t="n">
        <x:f>S344/'01 Base Costs'!$B$14</x:f>
        <x:v>93.312</x:v>
      </x:c>
      <x:c r="U344" s="87" t="n">
        <x:f>INT(T344)</x:f>
        <x:v>93</x:v>
      </x:c>
      <x:c r="V344" s="87" t="n">
        <x:f>S344-U344*'01 Base Costs'!$B$14</x:f>
        <x:v>156000</x:v>
      </x:c>
      <x:c r="W344" s="120" t="n">
        <x:f>0</x:f>
        <x:v>0</x:v>
      </x:c>
      <x:c r="X344" s="120" t="n">
        <x:f>'01 Base Costs'!$B$9</x:f>
        <x:v>463500000</x:v>
      </x:c>
      <x:c r="Y344" s="87" t="n">
        <x:f>T344*(W344*'01 Base Costs'!$B$7+X344)</x:f>
        <x:v>43250112000</x:v>
      </x:c>
      <x:c r="Z344" s="87" t="n">
        <x:f>T344*'01 Base Costs'!$B$8</x:f>
        <x:v>70254604800</x:v>
      </x:c>
      <x:c r="AA344" s="87" t="n">
        <x:f>Z344*'01 Base Costs'!$B$11</x:f>
        <x:v>3512730240</x:v>
      </x:c>
      <x:c r="AB344" s="87" t="n">
        <x:f>Z344-AA344</x:f>
        <x:v>66741874560</x:v>
      </x:c>
      <x:c r="AC344" s="87" t="n">
        <x:f>O344+Y344</x:f>
        <x:v>77362632000</x:v>
      </x:c>
      <x:c r="AD344" s="87" t="n">
        <x:f>AB344-AC344</x:f>
        <x:v>-10620757440</x:v>
      </x:c>
      <x:c r="AE344" s="87" t="n">
        <x:f>AD344/D344</x:f>
        <x:v>-885063120</x:v>
      </x:c>
      <x:c r="AF344" s="87" t="n">
        <x:f>AD344/P344</x:f>
        <x:v>-442531560</x:v>
      </x:c>
      <x:c r="AG344" s="87" t="n">
        <x:f>IF(T344=0,0,AC344/T344/(1-'01 Base Costs'!$B$11))</x:f>
        <x:v>872710363.8726447</x:v>
      </x:c>
      <x:c r="AH344" s="88" t="str">
        <x:f>IF(AD344&gt;0,"PROFIT","LOSS")</x:f>
        <x:v>LOSS</x:v>
      </x:c>
      <x:c r="AI344" s="89" t="str">
        <x:v>Base 12M Omega. MCT sale 40% off. Extractor bought on market with ISK.</x:v>
      </x:c>
    </x:row>
    <x:row r="345">
      <x:c r="A345" s="86" t="n">
        <x:v>343</x:v>
      </x:c>
      <x:c r="B345" s="88" t="str">
        <x:v>Base</x:v>
      </x:c>
      <x:c r="C345" s="88" t="str">
        <x:v>12M Omega</x:v>
      </x:c>
      <x:c r="D345" s="88" t="n">
        <x:v>12</x:v>
      </x:c>
      <x:c r="E345" s="88" t="n">
        <x:v>2</x:v>
      </x:c>
      <x:c r="F345" s="88" t="str">
        <x:v>Market MCT certificate</x:v>
      </x:c>
      <x:c r="G345" s="88" t="str">
        <x:v>NES single extractor</x:v>
      </x:c>
      <x:c r="H345" s="87" t="n">
        <x:f>'01 Base Costs'!$B$24</x:f>
        <x:v>3600</x:v>
      </x:c>
      <x:c r="I345" s="87" t="n">
        <x:f>0</x:f>
        <x:v>0</x:v>
      </x:c>
      <x:c r="J345" s="87" t="n">
        <x:f>'01 Base Costs'!$B$10</x:f>
        <x:v>2332850000</x:v>
      </x:c>
      <x:c r="K345" s="87" t="n">
        <x:f>D345*(E345-1)*I345</x:f>
        <x:v>0</x:v>
      </x:c>
      <x:c r="L345" s="87" t="n">
        <x:f>D345*(E345-1)*J345</x:f>
        <x:v>27994200000</x:v>
      </x:c>
      <x:c r="M345" s="87" t="n">
        <x:f>0</x:f>
        <x:v>0</x:v>
      </x:c>
      <x:c r="N345" s="87" t="n">
        <x:f>H345+K345+M345</x:f>
        <x:v>3600</x:v>
      </x:c>
      <x:c r="O345" s="87" t="n">
        <x:f>N345*'01 Base Costs'!$B$7+L345</x:f>
        <x:v>45310200000</x:v>
      </x:c>
      <x:c r="P345" s="87" t="n">
        <x:f>D345*E345</x:f>
        <x:v>24</x:v>
      </x:c>
      <x:c r="Q345" s="87" t="n">
        <x:f>P345*'01 Base Costs'!$B$12</x:f>
        <x:v>46656000</x:v>
      </x:c>
      <x:c r="R345" s="87" t="n">
        <x:f>0</x:f>
        <x:v>0</x:v>
      </x:c>
      <x:c r="S345" s="87" t="n">
        <x:f>Q345+R345</x:f>
        <x:v>46656000</x:v>
      </x:c>
      <x:c r="T345" s="141" t="n">
        <x:f>S345/'01 Base Costs'!$B$14</x:f>
        <x:v>93.312</x:v>
      </x:c>
      <x:c r="U345" s="87" t="n">
        <x:f>INT(T345)</x:f>
        <x:v>93</x:v>
      </x:c>
      <x:c r="V345" s="87" t="n">
        <x:f>S345-U345*'01 Base Costs'!$B$14</x:f>
        <x:v>156000</x:v>
      </x:c>
      <x:c r="W345" s="120" t="n">
        <x:f>'01 Base Costs'!$B$17</x:f>
        <x:v>140</x:v>
      </x:c>
      <x:c r="X345" s="120" t="n">
        <x:f>0</x:f>
        <x:v>0</x:v>
      </x:c>
      <x:c r="Y345" s="87" t="n">
        <x:f>T345*(W345*'01 Base Costs'!$B$7+X345)</x:f>
        <x:v>62836300800</x:v>
      </x:c>
      <x:c r="Z345" s="87" t="n">
        <x:f>T345*'01 Base Costs'!$B$8</x:f>
        <x:v>70254604800</x:v>
      </x:c>
      <x:c r="AA345" s="87" t="n">
        <x:f>Z345*'01 Base Costs'!$B$11</x:f>
        <x:v>3512730240</x:v>
      </x:c>
      <x:c r="AB345" s="87" t="n">
        <x:f>Z345-AA345</x:f>
        <x:v>66741874560</x:v>
      </x:c>
      <x:c r="AC345" s="87" t="n">
        <x:f>O345+Y345</x:f>
        <x:v>108146500800</x:v>
      </x:c>
      <x:c r="AD345" s="87" t="n">
        <x:f>AB345-AC345</x:f>
        <x:v>-41404626240</x:v>
      </x:c>
      <x:c r="AE345" s="87" t="n">
        <x:f>AD345/D345</x:f>
        <x:v>-3450385520</x:v>
      </x:c>
      <x:c r="AF345" s="87" t="n">
        <x:f>AD345/P345</x:f>
        <x:v>-1725192760</x:v>
      </x:c>
      <x:c r="AG345" s="87" t="n">
        <x:f>IF(T345=0,0,AC345/T345/(1-'01 Base Costs'!$B$11))</x:f>
        <x:v>1219976229.1531298</x:v>
      </x:c>
      <x:c r="AH345" s="88" t="str">
        <x:f>IF(AD345&gt;0,"PROFIT","LOSS")</x:f>
        <x:v>LOSS</x:v>
      </x:c>
      <x:c r="AI345" s="89" t="str">
        <x:v>Base 12M Omega. MCT certificate bought with ISK market price. Base single extractor.</x:v>
      </x:c>
    </x:row>
    <x:row r="346">
      <x:c r="A346" s="86" t="n">
        <x:v>344</x:v>
      </x:c>
      <x:c r="B346" s="88" t="str">
        <x:v>Base</x:v>
      </x:c>
      <x:c r="C346" s="88" t="str">
        <x:v>12M Omega</x:v>
      </x:c>
      <x:c r="D346" s="88" t="n">
        <x:v>12</x:v>
      </x:c>
      <x:c r="E346" s="88" t="n">
        <x:v>2</x:v>
      </x:c>
      <x:c r="F346" s="88" t="str">
        <x:v>Market MCT certificate</x:v>
      </x:c>
      <x:c r="G346" s="88" t="str">
        <x:v>NES 5-pack extractor</x:v>
      </x:c>
      <x:c r="H346" s="87" t="n">
        <x:f>'01 Base Costs'!$B$24</x:f>
        <x:v>3600</x:v>
      </x:c>
      <x:c r="I346" s="87" t="n">
        <x:f>0</x:f>
        <x:v>0</x:v>
      </x:c>
      <x:c r="J346" s="87" t="n">
        <x:f>'01 Base Costs'!$B$10</x:f>
        <x:v>2332850000</x:v>
      </x:c>
      <x:c r="K346" s="87" t="n">
        <x:f>D346*(E346-1)*I346</x:f>
        <x:v>0</x:v>
      </x:c>
      <x:c r="L346" s="87" t="n">
        <x:f>D346*(E346-1)*J346</x:f>
        <x:v>27994200000</x:v>
      </x:c>
      <x:c r="M346" s="87" t="n">
        <x:f>0</x:f>
        <x:v>0</x:v>
      </x:c>
      <x:c r="N346" s="87" t="n">
        <x:f>H346+K346+M346</x:f>
        <x:v>3600</x:v>
      </x:c>
      <x:c r="O346" s="87" t="n">
        <x:f>N346*'01 Base Costs'!$B$7+L346</x:f>
        <x:v>45310200000</x:v>
      </x:c>
      <x:c r="P346" s="87" t="n">
        <x:f>D346*E346</x:f>
        <x:v>24</x:v>
      </x:c>
      <x:c r="Q346" s="87" t="n">
        <x:f>P346*'01 Base Costs'!$B$12</x:f>
        <x:v>46656000</x:v>
      </x:c>
      <x:c r="R346" s="87" t="n">
        <x:f>0</x:f>
        <x:v>0</x:v>
      </x:c>
      <x:c r="S346" s="87" t="n">
        <x:f>Q346+R346</x:f>
        <x:v>46656000</x:v>
      </x:c>
      <x:c r="T346" s="141" t="n">
        <x:f>S346/'01 Base Costs'!$B$14</x:f>
        <x:v>93.312</x:v>
      </x:c>
      <x:c r="U346" s="87" t="n">
        <x:f>INT(T346)</x:f>
        <x:v>93</x:v>
      </x:c>
      <x:c r="V346" s="87" t="n">
        <x:f>S346-U346*'01 Base Costs'!$B$14</x:f>
        <x:v>156000</x:v>
      </x:c>
      <x:c r="W346" s="120" t="n">
        <x:f>'01 Base Costs'!$B$18/5</x:f>
        <x:v>126</x:v>
      </x:c>
      <x:c r="X346" s="120" t="n">
        <x:f>0</x:f>
        <x:v>0</x:v>
      </x:c>
      <x:c r="Y346" s="87" t="n">
        <x:f>T346*(W346*'01 Base Costs'!$B$7+X346)</x:f>
        <x:v>56552670720</x:v>
      </x:c>
      <x:c r="Z346" s="87" t="n">
        <x:f>T346*'01 Base Costs'!$B$8</x:f>
        <x:v>70254604800</x:v>
      </x:c>
      <x:c r="AA346" s="87" t="n">
        <x:f>Z346*'01 Base Costs'!$B$11</x:f>
        <x:v>3512730240</x:v>
      </x:c>
      <x:c r="AB346" s="87" t="n">
        <x:f>Z346-AA346</x:f>
        <x:v>66741874560</x:v>
      </x:c>
      <x:c r="AC346" s="87" t="n">
        <x:f>O346+Y346</x:f>
        <x:v>101862870720</x:v>
      </x:c>
      <x:c r="AD346" s="87" t="n">
        <x:f>AB346-AC346</x:f>
        <x:v>-35120996160</x:v>
      </x:c>
      <x:c r="AE346" s="87" t="n">
        <x:f>AD346/D346</x:f>
        <x:v>-2926749680</x:v>
      </x:c>
      <x:c r="AF346" s="87" t="n">
        <x:f>AD346/P346</x:f>
        <x:v>-1463374840</x:v>
      </x:c>
      <x:c r="AG346" s="87" t="n">
        <x:f>IF(T346=0,0,AC346/T346/(1-'01 Base Costs'!$B$11))</x:f>
        <x:v>1149092018.626814</x:v>
      </x:c>
      <x:c r="AH346" s="88" t="str">
        <x:f>IF(AD346&gt;0,"PROFIT","LOSS")</x:f>
        <x:v>LOSS</x:v>
      </x:c>
      <x:c r="AI346" s="89" t="str">
        <x:v>Base 12M Omega. MCT certificate bought with ISK market price. Base 5-pack average.</x:v>
      </x:c>
    </x:row>
    <x:row r="347">
      <x:c r="A347" s="86" t="n">
        <x:v>345</x:v>
      </x:c>
      <x:c r="B347" s="88" t="str">
        <x:v>Base</x:v>
      </x:c>
      <x:c r="C347" s="88" t="str">
        <x:v>12M Omega</x:v>
      </x:c>
      <x:c r="D347" s="88" t="n">
        <x:v>12</x:v>
      </x:c>
      <x:c r="E347" s="88" t="n">
        <x:v>2</x:v>
      </x:c>
      <x:c r="F347" s="88" t="str">
        <x:v>Market MCT certificate</x:v>
      </x:c>
      <x:c r="G347" s="88" t="str">
        <x:v>NES 10-pack extractor</x:v>
      </x:c>
      <x:c r="H347" s="87" t="n">
        <x:f>'01 Base Costs'!$B$24</x:f>
        <x:v>3600</x:v>
      </x:c>
      <x:c r="I347" s="87" t="n">
        <x:f>0</x:f>
        <x:v>0</x:v>
      </x:c>
      <x:c r="J347" s="87" t="n">
        <x:f>'01 Base Costs'!$B$10</x:f>
        <x:v>2332850000</x:v>
      </x:c>
      <x:c r="K347" s="87" t="n">
        <x:f>D347*(E347-1)*I347</x:f>
        <x:v>0</x:v>
      </x:c>
      <x:c r="L347" s="87" t="n">
        <x:f>D347*(E347-1)*J347</x:f>
        <x:v>27994200000</x:v>
      </x:c>
      <x:c r="M347" s="87" t="n">
        <x:f>0</x:f>
        <x:v>0</x:v>
      </x:c>
      <x:c r="N347" s="87" t="n">
        <x:f>H347+K347+M347</x:f>
        <x:v>3600</x:v>
      </x:c>
      <x:c r="O347" s="87" t="n">
        <x:f>N347*'01 Base Costs'!$B$7+L347</x:f>
        <x:v>45310200000</x:v>
      </x:c>
      <x:c r="P347" s="87" t="n">
        <x:f>D347*E347</x:f>
        <x:v>24</x:v>
      </x:c>
      <x:c r="Q347" s="87" t="n">
        <x:f>P347*'01 Base Costs'!$B$12</x:f>
        <x:v>46656000</x:v>
      </x:c>
      <x:c r="R347" s="87" t="n">
        <x:f>0</x:f>
        <x:v>0</x:v>
      </x:c>
      <x:c r="S347" s="87" t="n">
        <x:f>Q347+R347</x:f>
        <x:v>46656000</x:v>
      </x:c>
      <x:c r="T347" s="141" t="n">
        <x:f>S347/'01 Base Costs'!$B$14</x:f>
        <x:v>93.312</x:v>
      </x:c>
      <x:c r="U347" s="87" t="n">
        <x:f>INT(T347)</x:f>
        <x:v>93</x:v>
      </x:c>
      <x:c r="V347" s="87" t="n">
        <x:f>S347-U347*'01 Base Costs'!$B$14</x:f>
        <x:v>156000</x:v>
      </x:c>
      <x:c r="W347" s="120" t="n">
        <x:f>'01 Base Costs'!$B$19/10</x:f>
        <x:v>119</x:v>
      </x:c>
      <x:c r="X347" s="120" t="n">
        <x:f>0</x:f>
        <x:v>0</x:v>
      </x:c>
      <x:c r="Y347" s="87" t="n">
        <x:f>T347*(W347*'01 Base Costs'!$B$7+X347)</x:f>
        <x:v>53410855680</x:v>
      </x:c>
      <x:c r="Z347" s="87" t="n">
        <x:f>T347*'01 Base Costs'!$B$8</x:f>
        <x:v>70254604800</x:v>
      </x:c>
      <x:c r="AA347" s="87" t="n">
        <x:f>Z347*'01 Base Costs'!$B$11</x:f>
        <x:v>3512730240</x:v>
      </x:c>
      <x:c r="AB347" s="87" t="n">
        <x:f>Z347-AA347</x:f>
        <x:v>66741874560</x:v>
      </x:c>
      <x:c r="AC347" s="87" t="n">
        <x:f>O347+Y347</x:f>
        <x:v>98721055680</x:v>
      </x:c>
      <x:c r="AD347" s="87" t="n">
        <x:f>AB347-AC347</x:f>
        <x:v>-31979181120</x:v>
      </x:c>
      <x:c r="AE347" s="87" t="n">
        <x:f>AD347/D347</x:f>
        <x:v>-2664931760</x:v>
      </x:c>
      <x:c r="AF347" s="87" t="n">
        <x:f>AD347/P347</x:f>
        <x:v>-1332465880</x:v>
      </x:c>
      <x:c r="AG347" s="87" t="n">
        <x:f>IF(T347=0,0,AC347/T347/(1-'01 Base Costs'!$B$11))</x:f>
        <x:v>1113649913.3636563</x:v>
      </x:c>
      <x:c r="AH347" s="88" t="str">
        <x:f>IF(AD347&gt;0,"PROFIT","LOSS")</x:f>
        <x:v>LOSS</x:v>
      </x:c>
      <x:c r="AI347" s="89" t="str">
        <x:v>Base 12M Omega. MCT certificate bought with ISK market price. Base 10-pack average.</x:v>
      </x:c>
    </x:row>
    <x:row r="348">
      <x:c r="A348" s="86" t="n">
        <x:v>346</x:v>
      </x:c>
      <x:c r="B348" s="88" t="str">
        <x:v>Base</x:v>
      </x:c>
      <x:c r="C348" s="88" t="str">
        <x:v>12M Omega</x:v>
      </x:c>
      <x:c r="D348" s="88" t="n">
        <x:v>12</x:v>
      </x:c>
      <x:c r="E348" s="88" t="n">
        <x:v>2</x:v>
      </x:c>
      <x:c r="F348" s="88" t="str">
        <x:v>Market MCT certificate</x:v>
      </x:c>
      <x:c r="G348" s="88" t="str">
        <x:v>NES 50-pack extractor</x:v>
      </x:c>
      <x:c r="H348" s="87" t="n">
        <x:f>'01 Base Costs'!$B$24</x:f>
        <x:v>3600</x:v>
      </x:c>
      <x:c r="I348" s="87" t="n">
        <x:f>0</x:f>
        <x:v>0</x:v>
      </x:c>
      <x:c r="J348" s="87" t="n">
        <x:f>'01 Base Costs'!$B$10</x:f>
        <x:v>2332850000</x:v>
      </x:c>
      <x:c r="K348" s="87" t="n">
        <x:f>D348*(E348-1)*I348</x:f>
        <x:v>0</x:v>
      </x:c>
      <x:c r="L348" s="87" t="n">
        <x:f>D348*(E348-1)*J348</x:f>
        <x:v>27994200000</x:v>
      </x:c>
      <x:c r="M348" s="87" t="n">
        <x:f>0</x:f>
        <x:v>0</x:v>
      </x:c>
      <x:c r="N348" s="87" t="n">
        <x:f>H348+K348+M348</x:f>
        <x:v>3600</x:v>
      </x:c>
      <x:c r="O348" s="87" t="n">
        <x:f>N348*'01 Base Costs'!$B$7+L348</x:f>
        <x:v>45310200000</x:v>
      </x:c>
      <x:c r="P348" s="87" t="n">
        <x:f>D348*E348</x:f>
        <x:v>24</x:v>
      </x:c>
      <x:c r="Q348" s="87" t="n">
        <x:f>P348*'01 Base Costs'!$B$12</x:f>
        <x:v>46656000</x:v>
      </x:c>
      <x:c r="R348" s="87" t="n">
        <x:f>0</x:f>
        <x:v>0</x:v>
      </x:c>
      <x:c r="S348" s="87" t="n">
        <x:f>Q348+R348</x:f>
        <x:v>46656000</x:v>
      </x:c>
      <x:c r="T348" s="141" t="n">
        <x:f>S348/'01 Base Costs'!$B$14</x:f>
        <x:v>93.312</x:v>
      </x:c>
      <x:c r="U348" s="87" t="n">
        <x:f>INT(T348)</x:f>
        <x:v>93</x:v>
      </x:c>
      <x:c r="V348" s="87" t="n">
        <x:f>S348-U348*'01 Base Costs'!$B$14</x:f>
        <x:v>156000</x:v>
      </x:c>
      <x:c r="W348" s="120" t="n">
        <x:f>'01 Base Costs'!$B$20/50</x:f>
        <x:v>112</x:v>
      </x:c>
      <x:c r="X348" s="120" t="n">
        <x:f>0</x:f>
        <x:v>0</x:v>
      </x:c>
      <x:c r="Y348" s="87" t="n">
        <x:f>T348*(W348*'01 Base Costs'!$B$7+X348)</x:f>
        <x:v>50269040640</x:v>
      </x:c>
      <x:c r="Z348" s="87" t="n">
        <x:f>T348*'01 Base Costs'!$B$8</x:f>
        <x:v>70254604800</x:v>
      </x:c>
      <x:c r="AA348" s="87" t="n">
        <x:f>Z348*'01 Base Costs'!$B$11</x:f>
        <x:v>3512730240</x:v>
      </x:c>
      <x:c r="AB348" s="87" t="n">
        <x:f>Z348-AA348</x:f>
        <x:v>66741874560</x:v>
      </x:c>
      <x:c r="AC348" s="87" t="n">
        <x:f>O348+Y348</x:f>
        <x:v>95579240640</x:v>
      </x:c>
      <x:c r="AD348" s="87" t="n">
        <x:f>AB348-AC348</x:f>
        <x:v>-28837366080</x:v>
      </x:c>
      <x:c r="AE348" s="87" t="n">
        <x:f>AD348/D348</x:f>
        <x:v>-2403113840</x:v>
      </x:c>
      <x:c r="AF348" s="87" t="n">
        <x:f>AD348/P348</x:f>
        <x:v>-1201556920</x:v>
      </x:c>
      <x:c r="AG348" s="87" t="n">
        <x:f>IF(T348=0,0,AC348/T348/(1-'01 Base Costs'!$B$11))</x:f>
        <x:v>1078207808.1004982</x:v>
      </x:c>
      <x:c r="AH348" s="88" t="str">
        <x:f>IF(AD348&gt;0,"PROFIT","LOSS")</x:f>
        <x:v>LOSS</x:v>
      </x:c>
      <x:c r="AI348" s="89" t="str">
        <x:v>Base 12M Omega. MCT certificate bought with ISK market price. Base 50-pack average.</x:v>
      </x:c>
    </x:row>
    <x:row r="349">
      <x:c r="A349" s="86" t="n">
        <x:v>347</x:v>
      </x:c>
      <x:c r="B349" s="88" t="str">
        <x:v>Base</x:v>
      </x:c>
      <x:c r="C349" s="88" t="str">
        <x:v>12M Omega</x:v>
      </x:c>
      <x:c r="D349" s="88" t="n">
        <x:v>12</x:v>
      </x:c>
      <x:c r="E349" s="88" t="n">
        <x:v>2</x:v>
      </x:c>
      <x:c r="F349" s="88" t="str">
        <x:v>Market MCT certificate</x:v>
      </x:c>
      <x:c r="G349" s="88" t="str">
        <x:v>NES 3-for-2 extractor sale</x:v>
      </x:c>
      <x:c r="H349" s="87" t="n">
        <x:f>'01 Base Costs'!$B$24</x:f>
        <x:v>3600</x:v>
      </x:c>
      <x:c r="I349" s="87" t="n">
        <x:f>0</x:f>
        <x:v>0</x:v>
      </x:c>
      <x:c r="J349" s="87" t="n">
        <x:f>'01 Base Costs'!$B$10</x:f>
        <x:v>2332850000</x:v>
      </x:c>
      <x:c r="K349" s="87" t="n">
        <x:f>D349*(E349-1)*I349</x:f>
        <x:v>0</x:v>
      </x:c>
      <x:c r="L349" s="87" t="n">
        <x:f>D349*(E349-1)*J349</x:f>
        <x:v>27994200000</x:v>
      </x:c>
      <x:c r="M349" s="87" t="n">
        <x:f>0</x:f>
        <x:v>0</x:v>
      </x:c>
      <x:c r="N349" s="87" t="n">
        <x:f>H349+K349+M349</x:f>
        <x:v>3600</x:v>
      </x:c>
      <x:c r="O349" s="87" t="n">
        <x:f>N349*'01 Base Costs'!$B$7+L349</x:f>
        <x:v>45310200000</x:v>
      </x:c>
      <x:c r="P349" s="87" t="n">
        <x:f>D349*E349</x:f>
        <x:v>24</x:v>
      </x:c>
      <x:c r="Q349" s="87" t="n">
        <x:f>P349*'01 Base Costs'!$B$12</x:f>
        <x:v>46656000</x:v>
      </x:c>
      <x:c r="R349" s="87" t="n">
        <x:f>0</x:f>
        <x:v>0</x:v>
      </x:c>
      <x:c r="S349" s="87" t="n">
        <x:f>Q349+R349</x:f>
        <x:v>46656000</x:v>
      </x:c>
      <x:c r="T349" s="141" t="n">
        <x:f>S349/'01 Base Costs'!$B$14</x:f>
        <x:v>93.312</x:v>
      </x:c>
      <x:c r="U349" s="87" t="n">
        <x:f>INT(T349)</x:f>
        <x:v>93</x:v>
      </x:c>
      <x:c r="V349" s="87" t="n">
        <x:f>S349-U349*'01 Base Costs'!$B$14</x:f>
        <x:v>156000</x:v>
      </x:c>
      <x:c r="W349" s="120" t="n">
        <x:f>'01 Base Costs'!$B$17*2/3</x:f>
        <x:v>93.33333333333333</x:v>
      </x:c>
      <x:c r="X349" s="120" t="n">
        <x:f>0</x:f>
        <x:v>0</x:v>
      </x:c>
      <x:c r="Y349" s="87" t="n">
        <x:f>T349*(W349*'01 Base Costs'!$B$7+X349)</x:f>
        <x:v>41890867200</x:v>
      </x:c>
      <x:c r="Z349" s="87" t="n">
        <x:f>T349*'01 Base Costs'!$B$8</x:f>
        <x:v>70254604800</x:v>
      </x:c>
      <x:c r="AA349" s="87" t="n">
        <x:f>Z349*'01 Base Costs'!$B$11</x:f>
        <x:v>3512730240</x:v>
      </x:c>
      <x:c r="AB349" s="87" t="n">
        <x:f>Z349-AA349</x:f>
        <x:v>66741874560</x:v>
      </x:c>
      <x:c r="AC349" s="87" t="n">
        <x:f>O349+Y349</x:f>
        <x:v>87201067200</x:v>
      </x:c>
      <x:c r="AD349" s="87" t="n">
        <x:f>AB349-AC349</x:f>
        <x:v>-20459192640</x:v>
      </x:c>
      <x:c r="AE349" s="87" t="n">
        <x:f>AD349/D349</x:f>
        <x:v>-1704932720</x:v>
      </x:c>
      <x:c r="AF349" s="87" t="n">
        <x:f>AD349/P349</x:f>
        <x:v>-852466360</x:v>
      </x:c>
      <x:c r="AG349" s="87" t="n">
        <x:f>IF(T349=0,0,AC349/T349/(1-'01 Base Costs'!$B$11))</x:f>
        <x:v>983695527.3987437</x:v>
      </x:c>
      <x:c r="AH349" s="88" t="str">
        <x:f>IF(AD349&gt;0,"PROFIT","LOSS")</x:f>
        <x:v>LOSS</x:v>
      </x:c>
      <x:c r="AI349" s="89" t="str">
        <x:v>Base 12M Omega. MCT certificate bought with ISK market price. Extractor 3-for-2 sale.</x:v>
      </x:c>
    </x:row>
    <x:row r="350">
      <x:c r="A350" s="86" t="n">
        <x:v>348</x:v>
      </x:c>
      <x:c r="B350" s="88" t="str">
        <x:v>Base</x:v>
      </x:c>
      <x:c r="C350" s="88" t="str">
        <x:v>12M Omega</x:v>
      </x:c>
      <x:c r="D350" s="88" t="n">
        <x:v>12</x:v>
      </x:c>
      <x:c r="E350" s="88" t="n">
        <x:v>2</x:v>
      </x:c>
      <x:c r="F350" s="88" t="str">
        <x:v>Market MCT certificate</x:v>
      </x:c>
      <x:c r="G350" s="88" t="str">
        <x:v>NES 2-for-1 extractor sale</x:v>
      </x:c>
      <x:c r="H350" s="87" t="n">
        <x:f>'01 Base Costs'!$B$24</x:f>
        <x:v>3600</x:v>
      </x:c>
      <x:c r="I350" s="87" t="n">
        <x:f>0</x:f>
        <x:v>0</x:v>
      </x:c>
      <x:c r="J350" s="87" t="n">
        <x:f>'01 Base Costs'!$B$10</x:f>
        <x:v>2332850000</x:v>
      </x:c>
      <x:c r="K350" s="87" t="n">
        <x:f>D350*(E350-1)*I350</x:f>
        <x:v>0</x:v>
      </x:c>
      <x:c r="L350" s="87" t="n">
        <x:f>D350*(E350-1)*J350</x:f>
        <x:v>27994200000</x:v>
      </x:c>
      <x:c r="M350" s="87" t="n">
        <x:f>0</x:f>
        <x:v>0</x:v>
      </x:c>
      <x:c r="N350" s="87" t="n">
        <x:f>H350+K350+M350</x:f>
        <x:v>3600</x:v>
      </x:c>
      <x:c r="O350" s="87" t="n">
        <x:f>N350*'01 Base Costs'!$B$7+L350</x:f>
        <x:v>45310200000</x:v>
      </x:c>
      <x:c r="P350" s="87" t="n">
        <x:f>D350*E350</x:f>
        <x:v>24</x:v>
      </x:c>
      <x:c r="Q350" s="87" t="n">
        <x:f>P350*'01 Base Costs'!$B$12</x:f>
        <x:v>46656000</x:v>
      </x:c>
      <x:c r="R350" s="87" t="n">
        <x:f>0</x:f>
        <x:v>0</x:v>
      </x:c>
      <x:c r="S350" s="87" t="n">
        <x:f>Q350+R350</x:f>
        <x:v>46656000</x:v>
      </x:c>
      <x:c r="T350" s="141" t="n">
        <x:f>S350/'01 Base Costs'!$B$14</x:f>
        <x:v>93.312</x:v>
      </x:c>
      <x:c r="U350" s="87" t="n">
        <x:f>INT(T350)</x:f>
        <x:v>93</x:v>
      </x:c>
      <x:c r="V350" s="87" t="n">
        <x:f>S350-U350*'01 Base Costs'!$B$14</x:f>
        <x:v>156000</x:v>
      </x:c>
      <x:c r="W350" s="120" t="n">
        <x:f>'01 Base Costs'!$B$17/2</x:f>
        <x:v>70</x:v>
      </x:c>
      <x:c r="X350" s="120" t="n">
        <x:f>0</x:f>
        <x:v>0</x:v>
      </x:c>
      <x:c r="Y350" s="87" t="n">
        <x:f>T350*(W350*'01 Base Costs'!$B$7+X350)</x:f>
        <x:v>31418150400</x:v>
      </x:c>
      <x:c r="Z350" s="87" t="n">
        <x:f>T350*'01 Base Costs'!$B$8</x:f>
        <x:v>70254604800</x:v>
      </x:c>
      <x:c r="AA350" s="87" t="n">
        <x:f>Z350*'01 Base Costs'!$B$11</x:f>
        <x:v>3512730240</x:v>
      </x:c>
      <x:c r="AB350" s="87" t="n">
        <x:f>Z350-AA350</x:f>
        <x:v>66741874560</x:v>
      </x:c>
      <x:c r="AC350" s="87" t="n">
        <x:f>O350+Y350</x:f>
        <x:v>76728350400</x:v>
      </x:c>
      <x:c r="AD350" s="87" t="n">
        <x:f>AB350-AC350</x:f>
        <x:v>-9986475840</x:v>
      </x:c>
      <x:c r="AE350" s="87" t="n">
        <x:f>AD350/D350</x:f>
        <x:v>-832206320</x:v>
      </x:c>
      <x:c r="AF350" s="87" t="n">
        <x:f>AD350/P350</x:f>
        <x:v>-416103160</x:v>
      </x:c>
      <x:c r="AG350" s="87" t="n">
        <x:f>IF(T350=0,0,AC350/T350/(1-'01 Base Costs'!$B$11))</x:f>
        <x:v>865555176.5215509</x:v>
      </x:c>
      <x:c r="AH350" s="88" t="str">
        <x:f>IF(AD350&gt;0,"PROFIT","LOSS")</x:f>
        <x:v>LOSS</x:v>
      </x:c>
      <x:c r="AI350" s="89" t="str">
        <x:v>Base 12M Omega. MCT certificate bought with ISK market price. Extractor 2-for-1 sale.</x:v>
      </x:c>
    </x:row>
    <x:row r="351">
      <x:c r="A351" s="86" t="n">
        <x:v>349</x:v>
      </x:c>
      <x:c r="B351" s="88" t="str">
        <x:v>Base</x:v>
      </x:c>
      <x:c r="C351" s="88" t="str">
        <x:v>12M Omega</x:v>
      </x:c>
      <x:c r="D351" s="88" t="n">
        <x:v>12</x:v>
      </x:c>
      <x:c r="E351" s="88" t="n">
        <x:v>2</x:v>
      </x:c>
      <x:c r="F351" s="88" t="str">
        <x:v>Market MCT certificate</x:v>
      </x:c>
      <x:c r="G351" s="88" t="str">
        <x:v>NES 10-pack extractor 20% sale</x:v>
      </x:c>
      <x:c r="H351" s="87" t="n">
        <x:f>'01 Base Costs'!$B$24</x:f>
        <x:v>3600</x:v>
      </x:c>
      <x:c r="I351" s="87" t="n">
        <x:f>0</x:f>
        <x:v>0</x:v>
      </x:c>
      <x:c r="J351" s="87" t="n">
        <x:f>'01 Base Costs'!$B$10</x:f>
        <x:v>2332850000</x:v>
      </x:c>
      <x:c r="K351" s="87" t="n">
        <x:f>D351*(E351-1)*I351</x:f>
        <x:v>0</x:v>
      </x:c>
      <x:c r="L351" s="87" t="n">
        <x:f>D351*(E351-1)*J351</x:f>
        <x:v>27994200000</x:v>
      </x:c>
      <x:c r="M351" s="87" t="n">
        <x:f>0</x:f>
        <x:v>0</x:v>
      </x:c>
      <x:c r="N351" s="87" t="n">
        <x:f>H351+K351+M351</x:f>
        <x:v>3600</x:v>
      </x:c>
      <x:c r="O351" s="87" t="n">
        <x:f>N351*'01 Base Costs'!$B$7+L351</x:f>
        <x:v>45310200000</x:v>
      </x:c>
      <x:c r="P351" s="87" t="n">
        <x:f>D351*E351</x:f>
        <x:v>24</x:v>
      </x:c>
      <x:c r="Q351" s="87" t="n">
        <x:f>P351*'01 Base Costs'!$B$12</x:f>
        <x:v>46656000</x:v>
      </x:c>
      <x:c r="R351" s="87" t="n">
        <x:f>0</x:f>
        <x:v>0</x:v>
      </x:c>
      <x:c r="S351" s="87" t="n">
        <x:f>Q351+R351</x:f>
        <x:v>46656000</x:v>
      </x:c>
      <x:c r="T351" s="141" t="n">
        <x:f>S351/'01 Base Costs'!$B$14</x:f>
        <x:v>93.312</x:v>
      </x:c>
      <x:c r="U351" s="87" t="n">
        <x:f>INT(T351)</x:f>
        <x:v>93</x:v>
      </x:c>
      <x:c r="V351" s="87" t="n">
        <x:f>S351-U351*'01 Base Costs'!$B$14</x:f>
        <x:v>156000</x:v>
      </x:c>
      <x:c r="W351" s="120" t="n">
        <x:f>'01 Base Costs'!$B$19*0.8/10</x:f>
        <x:v>95.2</x:v>
      </x:c>
      <x:c r="X351" s="120" t="n">
        <x:f>0</x:f>
        <x:v>0</x:v>
      </x:c>
      <x:c r="Y351" s="87" t="n">
        <x:f>T351*(W351*'01 Base Costs'!$B$7+X351)</x:f>
        <x:v>42728684544</x:v>
      </x:c>
      <x:c r="Z351" s="87" t="n">
        <x:f>T351*'01 Base Costs'!$B$8</x:f>
        <x:v>70254604800</x:v>
      </x:c>
      <x:c r="AA351" s="87" t="n">
        <x:f>Z351*'01 Base Costs'!$B$11</x:f>
        <x:v>3512730240</x:v>
      </x:c>
      <x:c r="AB351" s="87" t="n">
        <x:f>Z351-AA351</x:f>
        <x:v>66741874560</x:v>
      </x:c>
      <x:c r="AC351" s="87" t="n">
        <x:f>O351+Y351</x:f>
        <x:v>88038884544</x:v>
      </x:c>
      <x:c r="AD351" s="87" t="n">
        <x:f>AB351-AC351</x:f>
        <x:v>-21297009984</x:v>
      </x:c>
      <x:c r="AE351" s="87" t="n">
        <x:f>AD351/D351</x:f>
        <x:v>-1774750832</x:v>
      </x:c>
      <x:c r="AF351" s="87" t="n">
        <x:f>AD351/P351</x:f>
        <x:v>-887375416</x:v>
      </x:c>
      <x:c r="AG351" s="87" t="n">
        <x:f>IF(T351=0,0,AC351/T351/(1-'01 Base Costs'!$B$11))</x:f>
        <x:v>993146755.4689193</x:v>
      </x:c>
      <x:c r="AH351" s="88" t="str">
        <x:f>IF(AD351&gt;0,"PROFIT","LOSS")</x:f>
        <x:v>LOSS</x:v>
      </x:c>
      <x:c r="AI351" s="89" t="str">
        <x:v>Base 12M Omega. MCT certificate bought with ISK market price. 10-pack at 20% off.</x:v>
      </x:c>
    </x:row>
    <x:row r="352">
      <x:c r="A352" s="86" t="n">
        <x:v>350</x:v>
      </x:c>
      <x:c r="B352" s="88" t="str">
        <x:v>Base</x:v>
      </x:c>
      <x:c r="C352" s="88" t="str">
        <x:v>12M Omega</x:v>
      </x:c>
      <x:c r="D352" s="88" t="n">
        <x:v>12</x:v>
      </x:c>
      <x:c r="E352" s="88" t="n">
        <x:v>2</x:v>
      </x:c>
      <x:c r="F352" s="88" t="str">
        <x:v>Market MCT certificate</x:v>
      </x:c>
      <x:c r="G352" s="88" t="str">
        <x:v>NES 50-pack extractor 20% sale</x:v>
      </x:c>
      <x:c r="H352" s="87" t="n">
        <x:f>'01 Base Costs'!$B$24</x:f>
        <x:v>3600</x:v>
      </x:c>
      <x:c r="I352" s="87" t="n">
        <x:f>0</x:f>
        <x:v>0</x:v>
      </x:c>
      <x:c r="J352" s="87" t="n">
        <x:f>'01 Base Costs'!$B$10</x:f>
        <x:v>2332850000</x:v>
      </x:c>
      <x:c r="K352" s="87" t="n">
        <x:f>D352*(E352-1)*I352</x:f>
        <x:v>0</x:v>
      </x:c>
      <x:c r="L352" s="87" t="n">
        <x:f>D352*(E352-1)*J352</x:f>
        <x:v>27994200000</x:v>
      </x:c>
      <x:c r="M352" s="87" t="n">
        <x:f>0</x:f>
        <x:v>0</x:v>
      </x:c>
      <x:c r="N352" s="87" t="n">
        <x:f>H352+K352+M352</x:f>
        <x:v>3600</x:v>
      </x:c>
      <x:c r="O352" s="87" t="n">
        <x:f>N352*'01 Base Costs'!$B$7+L352</x:f>
        <x:v>45310200000</x:v>
      </x:c>
      <x:c r="P352" s="87" t="n">
        <x:f>D352*E352</x:f>
        <x:v>24</x:v>
      </x:c>
      <x:c r="Q352" s="87" t="n">
        <x:f>P352*'01 Base Costs'!$B$12</x:f>
        <x:v>46656000</x:v>
      </x:c>
      <x:c r="R352" s="87" t="n">
        <x:f>0</x:f>
        <x:v>0</x:v>
      </x:c>
      <x:c r="S352" s="87" t="n">
        <x:f>Q352+R352</x:f>
        <x:v>46656000</x:v>
      </x:c>
      <x:c r="T352" s="141" t="n">
        <x:f>S352/'01 Base Costs'!$B$14</x:f>
        <x:v>93.312</x:v>
      </x:c>
      <x:c r="U352" s="87" t="n">
        <x:f>INT(T352)</x:f>
        <x:v>93</x:v>
      </x:c>
      <x:c r="V352" s="87" t="n">
        <x:f>S352-U352*'01 Base Costs'!$B$14</x:f>
        <x:v>156000</x:v>
      </x:c>
      <x:c r="W352" s="120" t="n">
        <x:f>'01 Base Costs'!$B$20*0.8/50</x:f>
        <x:v>89.6</x:v>
      </x:c>
      <x:c r="X352" s="120" t="n">
        <x:f>0</x:f>
        <x:v>0</x:v>
      </x:c>
      <x:c r="Y352" s="87" t="n">
        <x:f>T352*(W352*'01 Base Costs'!$B$7+X352)</x:f>
        <x:v>40215232512</x:v>
      </x:c>
      <x:c r="Z352" s="87" t="n">
        <x:f>T352*'01 Base Costs'!$B$8</x:f>
        <x:v>70254604800</x:v>
      </x:c>
      <x:c r="AA352" s="87" t="n">
        <x:f>Z352*'01 Base Costs'!$B$11</x:f>
        <x:v>3512730240</x:v>
      </x:c>
      <x:c r="AB352" s="87" t="n">
        <x:f>Z352-AA352</x:f>
        <x:v>66741874560</x:v>
      </x:c>
      <x:c r="AC352" s="87" t="n">
        <x:f>O352+Y352</x:f>
        <x:v>85525432512</x:v>
      </x:c>
      <x:c r="AD352" s="87" t="n">
        <x:f>AB352-AC352</x:f>
        <x:v>-18783557952</x:v>
      </x:c>
      <x:c r="AE352" s="87" t="n">
        <x:f>AD352/D352</x:f>
        <x:v>-1565296496</x:v>
      </x:c>
      <x:c r="AF352" s="87" t="n">
        <x:f>AD352/P352</x:f>
        <x:v>-782648248</x:v>
      </x:c>
      <x:c r="AG352" s="87" t="n">
        <x:f>IF(T352=0,0,AC352/T352/(1-'01 Base Costs'!$B$11))</x:f>
        <x:v>964793071.258393</x:v>
      </x:c>
      <x:c r="AH352" s="88" t="str">
        <x:f>IF(AD352&gt;0,"PROFIT","LOSS")</x:f>
        <x:v>LOSS</x:v>
      </x:c>
      <x:c r="AI352" s="89" t="str">
        <x:v>Base 12M Omega. MCT certificate bought with ISK market price. 50-pack at 20% off.</x:v>
      </x:c>
    </x:row>
    <x:row r="353">
      <x:c r="A353" s="86" t="n">
        <x:v>351</x:v>
      </x:c>
      <x:c r="B353" s="88" t="str">
        <x:v>Base</x:v>
      </x:c>
      <x:c r="C353" s="88" t="str">
        <x:v>12M Omega</x:v>
      </x:c>
      <x:c r="D353" s="88" t="n">
        <x:v>12</x:v>
      </x:c>
      <x:c r="E353" s="88" t="n">
        <x:v>2</x:v>
      </x:c>
      <x:c r="F353" s="88" t="str">
        <x:v>Market MCT certificate</x:v>
      </x:c>
      <x:c r="G353" s="88" t="str">
        <x:v>Market Skill Extractor</x:v>
      </x:c>
      <x:c r="H353" s="87" t="n">
        <x:f>'01 Base Costs'!$B$24</x:f>
        <x:v>3600</x:v>
      </x:c>
      <x:c r="I353" s="87" t="n">
        <x:f>0</x:f>
        <x:v>0</x:v>
      </x:c>
      <x:c r="J353" s="87" t="n">
        <x:f>'01 Base Costs'!$B$10</x:f>
        <x:v>2332850000</x:v>
      </x:c>
      <x:c r="K353" s="87" t="n">
        <x:f>D353*(E353-1)*I353</x:f>
        <x:v>0</x:v>
      </x:c>
      <x:c r="L353" s="87" t="n">
        <x:f>D353*(E353-1)*J353</x:f>
        <x:v>27994200000</x:v>
      </x:c>
      <x:c r="M353" s="87" t="n">
        <x:f>0</x:f>
        <x:v>0</x:v>
      </x:c>
      <x:c r="N353" s="87" t="n">
        <x:f>H353+K353+M353</x:f>
        <x:v>3600</x:v>
      </x:c>
      <x:c r="O353" s="87" t="n">
        <x:f>N353*'01 Base Costs'!$B$7+L353</x:f>
        <x:v>45310200000</x:v>
      </x:c>
      <x:c r="P353" s="87" t="n">
        <x:f>D353*E353</x:f>
        <x:v>24</x:v>
      </x:c>
      <x:c r="Q353" s="87" t="n">
        <x:f>P353*'01 Base Costs'!$B$12</x:f>
        <x:v>46656000</x:v>
      </x:c>
      <x:c r="R353" s="87" t="n">
        <x:f>0</x:f>
        <x:v>0</x:v>
      </x:c>
      <x:c r="S353" s="87" t="n">
        <x:f>Q353+R353</x:f>
        <x:v>46656000</x:v>
      </x:c>
      <x:c r="T353" s="141" t="n">
        <x:f>S353/'01 Base Costs'!$B$14</x:f>
        <x:v>93.312</x:v>
      </x:c>
      <x:c r="U353" s="87" t="n">
        <x:f>INT(T353)</x:f>
        <x:v>93</x:v>
      </x:c>
      <x:c r="V353" s="87" t="n">
        <x:f>S353-U353*'01 Base Costs'!$B$14</x:f>
        <x:v>156000</x:v>
      </x:c>
      <x:c r="W353" s="120" t="n">
        <x:f>0</x:f>
        <x:v>0</x:v>
      </x:c>
      <x:c r="X353" s="120" t="n">
        <x:f>'01 Base Costs'!$B$9</x:f>
        <x:v>463500000</x:v>
      </x:c>
      <x:c r="Y353" s="87" t="n">
        <x:f>T353*(W353*'01 Base Costs'!$B$7+X353)</x:f>
        <x:v>43250112000</x:v>
      </x:c>
      <x:c r="Z353" s="87" t="n">
        <x:f>T353*'01 Base Costs'!$B$8</x:f>
        <x:v>70254604800</x:v>
      </x:c>
      <x:c r="AA353" s="87" t="n">
        <x:f>Z353*'01 Base Costs'!$B$11</x:f>
        <x:v>3512730240</x:v>
      </x:c>
      <x:c r="AB353" s="87" t="n">
        <x:f>Z353-AA353</x:f>
        <x:v>66741874560</x:v>
      </x:c>
      <x:c r="AC353" s="87" t="n">
        <x:f>O353+Y353</x:f>
        <x:v>88560312000</x:v>
      </x:c>
      <x:c r="AD353" s="87" t="n">
        <x:f>AB353-AC353</x:f>
        <x:v>-21818437440</x:v>
      </x:c>
      <x:c r="AE353" s="87" t="n">
        <x:f>AD353/D353</x:f>
        <x:v>-1818203120</x:v>
      </x:c>
      <x:c r="AF353" s="87" t="n">
        <x:f>AD353/P353</x:f>
        <x:v>-909101560</x:v>
      </x:c>
      <x:c r="AG353" s="87" t="n">
        <x:f>IF(T353=0,0,AC353/T353/(1-'01 Base Costs'!$B$11))</x:f>
        <x:v>999028860.7320772</x:v>
      </x:c>
      <x:c r="AH353" s="88" t="str">
        <x:f>IF(AD353&gt;0,"PROFIT","LOSS")</x:f>
        <x:v>LOSS</x:v>
      </x:c>
      <x:c r="AI353" s="89" t="str">
        <x:v>Base 12M Omega. MCT certificate bought with ISK market price. Extractor bought on market with ISK.</x:v>
      </x:c>
    </x:row>
    <x:row r="354">
      <x:c r="A354" s="86" t="n">
        <x:v>352</x:v>
      </x:c>
      <x:c r="B354" s="88" t="str">
        <x:v>Base</x:v>
      </x:c>
      <x:c r="C354" s="88" t="str">
        <x:v>12M Omega</x:v>
      </x:c>
      <x:c r="D354" s="88" t="n">
        <x:v>12</x:v>
      </x:c>
      <x:c r="E354" s="88" t="n">
        <x:v>3</x:v>
      </x:c>
      <x:c r="F354" s="88" t="str">
        <x:v>NES base MCT</x:v>
      </x:c>
      <x:c r="G354" s="88" t="str">
        <x:v>NES single extractor</x:v>
      </x:c>
      <x:c r="H354" s="87" t="n">
        <x:f>'01 Base Costs'!$B$24</x:f>
        <x:v>3600</x:v>
      </x:c>
      <x:c r="I354" s="87" t="n">
        <x:f>'01 Base Costs'!$B$16</x:f>
        <x:v>485</x:v>
      </x:c>
      <x:c r="J354" s="87" t="n">
        <x:f>0</x:f>
        <x:v>0</x:v>
      </x:c>
      <x:c r="K354" s="87" t="n">
        <x:f>D354*(E354-1)*I354</x:f>
        <x:v>11640</x:v>
      </x:c>
      <x:c r="L354" s="87" t="n">
        <x:f>D354*(E354-1)*J354</x:f>
        <x:v>0</x:v>
      </x:c>
      <x:c r="M354" s="87" t="n">
        <x:f>0</x:f>
        <x:v>0</x:v>
      </x:c>
      <x:c r="N354" s="87" t="n">
        <x:f>H354+K354+M354</x:f>
        <x:v>15240</x:v>
      </x:c>
      <x:c r="O354" s="87" t="n">
        <x:f>N354*'01 Base Costs'!$B$7+L354</x:f>
        <x:v>73304400000</x:v>
      </x:c>
      <x:c r="P354" s="87" t="n">
        <x:f>D354*E354</x:f>
        <x:v>36</x:v>
      </x:c>
      <x:c r="Q354" s="87" t="n">
        <x:f>P354*'01 Base Costs'!$B$12</x:f>
        <x:v>69984000</x:v>
      </x:c>
      <x:c r="R354" s="87" t="n">
        <x:f>0</x:f>
        <x:v>0</x:v>
      </x:c>
      <x:c r="S354" s="87" t="n">
        <x:f>Q354+R354</x:f>
        <x:v>69984000</x:v>
      </x:c>
      <x:c r="T354" s="141" t="n">
        <x:f>S354/'01 Base Costs'!$B$14</x:f>
        <x:v>139.968</x:v>
      </x:c>
      <x:c r="U354" s="87" t="n">
        <x:f>INT(T354)</x:f>
        <x:v>139</x:v>
      </x:c>
      <x:c r="V354" s="87" t="n">
        <x:f>S354-U354*'01 Base Costs'!$B$14</x:f>
        <x:v>484000</x:v>
      </x:c>
      <x:c r="W354" s="120" t="n">
        <x:f>'01 Base Costs'!$B$17</x:f>
        <x:v>140</x:v>
      </x:c>
      <x:c r="X354" s="120" t="n">
        <x:f>0</x:f>
        <x:v>0</x:v>
      </x:c>
      <x:c r="Y354" s="87" t="n">
        <x:f>T354*(W354*'01 Base Costs'!$B$7+X354)</x:f>
        <x:v>94254451200</x:v>
      </x:c>
      <x:c r="Z354" s="87" t="n">
        <x:f>T354*'01 Base Costs'!$B$8</x:f>
        <x:v>105381907199.99998</x:v>
      </x:c>
      <x:c r="AA354" s="87" t="n">
        <x:f>Z354*'01 Base Costs'!$B$11</x:f>
        <x:v>5269095360</x:v>
      </x:c>
      <x:c r="AB354" s="87" t="n">
        <x:f>Z354-AA354</x:f>
        <x:v>100112811839.99998</x:v>
      </x:c>
      <x:c r="AC354" s="87" t="n">
        <x:f>O354+Y354</x:f>
        <x:v>167558851200</x:v>
      </x:c>
      <x:c r="AD354" s="87" t="n">
        <x:f>AB354-AC354</x:f>
        <x:v>-67446039360.000015</x:v>
      </x:c>
      <x:c r="AE354" s="87" t="n">
        <x:f>AD354/D354</x:f>
        <x:v>-5620503280.000001</x:v>
      </x:c>
      <x:c r="AF354" s="87" t="n">
        <x:f>AD354/P354</x:f>
        <x:v>-1873501093.3333337</x:v>
      </x:c>
      <x:c r="AG354" s="87" t="n">
        <x:f>IF(T354=0,0,AC354/T354/(1-'01 Base Costs'!$B$11))</x:f>
        <x:v>1260129015.9555268</x:v>
      </x:c>
      <x:c r="AH354" s="88" t="str">
        <x:f>IF(AD354&gt;0,"PROFIT","LOSS")</x:f>
        <x:v>LOSS</x:v>
      </x:c>
      <x:c r="AI354" s="89" t="str">
        <x:v>Base 12M Omega. MCT purchased with PLEX in NES. Base single extractor.</x:v>
      </x:c>
    </x:row>
    <x:row r="355">
      <x:c r="A355" s="86" t="n">
        <x:v>353</x:v>
      </x:c>
      <x:c r="B355" s="88" t="str">
        <x:v>Base</x:v>
      </x:c>
      <x:c r="C355" s="88" t="str">
        <x:v>12M Omega</x:v>
      </x:c>
      <x:c r="D355" s="88" t="n">
        <x:v>12</x:v>
      </x:c>
      <x:c r="E355" s="88" t="n">
        <x:v>3</x:v>
      </x:c>
      <x:c r="F355" s="88" t="str">
        <x:v>NES base MCT</x:v>
      </x:c>
      <x:c r="G355" s="88" t="str">
        <x:v>NES 5-pack extractor</x:v>
      </x:c>
      <x:c r="H355" s="87" t="n">
        <x:f>'01 Base Costs'!$B$24</x:f>
        <x:v>3600</x:v>
      </x:c>
      <x:c r="I355" s="87" t="n">
        <x:f>'01 Base Costs'!$B$16</x:f>
        <x:v>485</x:v>
      </x:c>
      <x:c r="J355" s="87" t="n">
        <x:f>0</x:f>
        <x:v>0</x:v>
      </x:c>
      <x:c r="K355" s="87" t="n">
        <x:f>D355*(E355-1)*I355</x:f>
        <x:v>11640</x:v>
      </x:c>
      <x:c r="L355" s="87" t="n">
        <x:f>D355*(E355-1)*J355</x:f>
        <x:v>0</x:v>
      </x:c>
      <x:c r="M355" s="87" t="n">
        <x:f>0</x:f>
        <x:v>0</x:v>
      </x:c>
      <x:c r="N355" s="87" t="n">
        <x:f>H355+K355+M355</x:f>
        <x:v>15240</x:v>
      </x:c>
      <x:c r="O355" s="87" t="n">
        <x:f>N355*'01 Base Costs'!$B$7+L355</x:f>
        <x:v>73304400000</x:v>
      </x:c>
      <x:c r="P355" s="87" t="n">
        <x:f>D355*E355</x:f>
        <x:v>36</x:v>
      </x:c>
      <x:c r="Q355" s="87" t="n">
        <x:f>P355*'01 Base Costs'!$B$12</x:f>
        <x:v>69984000</x:v>
      </x:c>
      <x:c r="R355" s="87" t="n">
        <x:f>0</x:f>
        <x:v>0</x:v>
      </x:c>
      <x:c r="S355" s="87" t="n">
        <x:f>Q355+R355</x:f>
        <x:v>69984000</x:v>
      </x:c>
      <x:c r="T355" s="141" t="n">
        <x:f>S355/'01 Base Costs'!$B$14</x:f>
        <x:v>139.968</x:v>
      </x:c>
      <x:c r="U355" s="87" t="n">
        <x:f>INT(T355)</x:f>
        <x:v>139</x:v>
      </x:c>
      <x:c r="V355" s="87" t="n">
        <x:f>S355-U355*'01 Base Costs'!$B$14</x:f>
        <x:v>484000</x:v>
      </x:c>
      <x:c r="W355" s="120" t="n">
        <x:f>'01 Base Costs'!$B$18/5</x:f>
        <x:v>126</x:v>
      </x:c>
      <x:c r="X355" s="120" t="n">
        <x:f>0</x:f>
        <x:v>0</x:v>
      </x:c>
      <x:c r="Y355" s="87" t="n">
        <x:f>T355*(W355*'01 Base Costs'!$B$7+X355)</x:f>
        <x:v>84829006080</x:v>
      </x:c>
      <x:c r="Z355" s="87" t="n">
        <x:f>T355*'01 Base Costs'!$B$8</x:f>
        <x:v>105381907199.99998</x:v>
      </x:c>
      <x:c r="AA355" s="87" t="n">
        <x:f>Z355*'01 Base Costs'!$B$11</x:f>
        <x:v>5269095360</x:v>
      </x:c>
      <x:c r="AB355" s="87" t="n">
        <x:f>Z355-AA355</x:f>
        <x:v>100112811839.99998</x:v>
      </x:c>
      <x:c r="AC355" s="87" t="n">
        <x:f>O355+Y355</x:f>
        <x:v>158133406080</x:v>
      </x:c>
      <x:c r="AD355" s="87" t="n">
        <x:f>AB355-AC355</x:f>
        <x:v>-58020594240.000015</x:v>
      </x:c>
      <x:c r="AE355" s="87" t="n">
        <x:f>AD355/D355</x:f>
        <x:v>-4835049520.000001</x:v>
      </x:c>
      <x:c r="AF355" s="87" t="n">
        <x:f>AD355/P355</x:f>
        <x:v>-1611683173.3333337</x:v>
      </x:c>
      <x:c r="AG355" s="87" t="n">
        <x:f>IF(T355=0,0,AC355/T355/(1-'01 Base Costs'!$B$11))</x:f>
        <x:v>1189244805.429211</x:v>
      </x:c>
      <x:c r="AH355" s="88" t="str">
        <x:f>IF(AD355&gt;0,"PROFIT","LOSS")</x:f>
        <x:v>LOSS</x:v>
      </x:c>
      <x:c r="AI355" s="89" t="str">
        <x:v>Base 12M Omega. MCT purchased with PLEX in NES. Base 5-pack average.</x:v>
      </x:c>
    </x:row>
    <x:row r="356">
      <x:c r="A356" s="86" t="n">
        <x:v>354</x:v>
      </x:c>
      <x:c r="B356" s="88" t="str">
        <x:v>Base</x:v>
      </x:c>
      <x:c r="C356" s="88" t="str">
        <x:v>12M Omega</x:v>
      </x:c>
      <x:c r="D356" s="88" t="n">
        <x:v>12</x:v>
      </x:c>
      <x:c r="E356" s="88" t="n">
        <x:v>3</x:v>
      </x:c>
      <x:c r="F356" s="88" t="str">
        <x:v>NES base MCT</x:v>
      </x:c>
      <x:c r="G356" s="88" t="str">
        <x:v>NES 10-pack extractor</x:v>
      </x:c>
      <x:c r="H356" s="87" t="n">
        <x:f>'01 Base Costs'!$B$24</x:f>
        <x:v>3600</x:v>
      </x:c>
      <x:c r="I356" s="87" t="n">
        <x:f>'01 Base Costs'!$B$16</x:f>
        <x:v>485</x:v>
      </x:c>
      <x:c r="J356" s="87" t="n">
        <x:f>0</x:f>
        <x:v>0</x:v>
      </x:c>
      <x:c r="K356" s="87" t="n">
        <x:f>D356*(E356-1)*I356</x:f>
        <x:v>11640</x:v>
      </x:c>
      <x:c r="L356" s="87" t="n">
        <x:f>D356*(E356-1)*J356</x:f>
        <x:v>0</x:v>
      </x:c>
      <x:c r="M356" s="87" t="n">
        <x:f>0</x:f>
        <x:v>0</x:v>
      </x:c>
      <x:c r="N356" s="87" t="n">
        <x:f>H356+K356+M356</x:f>
        <x:v>15240</x:v>
      </x:c>
      <x:c r="O356" s="87" t="n">
        <x:f>N356*'01 Base Costs'!$B$7+L356</x:f>
        <x:v>73304400000</x:v>
      </x:c>
      <x:c r="P356" s="87" t="n">
        <x:f>D356*E356</x:f>
        <x:v>36</x:v>
      </x:c>
      <x:c r="Q356" s="87" t="n">
        <x:f>P356*'01 Base Costs'!$B$12</x:f>
        <x:v>69984000</x:v>
      </x:c>
      <x:c r="R356" s="87" t="n">
        <x:f>0</x:f>
        <x:v>0</x:v>
      </x:c>
      <x:c r="S356" s="87" t="n">
        <x:f>Q356+R356</x:f>
        <x:v>69984000</x:v>
      </x:c>
      <x:c r="T356" s="141" t="n">
        <x:f>S356/'01 Base Costs'!$B$14</x:f>
        <x:v>139.968</x:v>
      </x:c>
      <x:c r="U356" s="87" t="n">
        <x:f>INT(T356)</x:f>
        <x:v>139</x:v>
      </x:c>
      <x:c r="V356" s="87" t="n">
        <x:f>S356-U356*'01 Base Costs'!$B$14</x:f>
        <x:v>484000</x:v>
      </x:c>
      <x:c r="W356" s="120" t="n">
        <x:f>'01 Base Costs'!$B$19/10</x:f>
        <x:v>119</x:v>
      </x:c>
      <x:c r="X356" s="120" t="n">
        <x:f>0</x:f>
        <x:v>0</x:v>
      </x:c>
      <x:c r="Y356" s="87" t="n">
        <x:f>T356*(W356*'01 Base Costs'!$B$7+X356)</x:f>
        <x:v>80116283520</x:v>
      </x:c>
      <x:c r="Z356" s="87" t="n">
        <x:f>T356*'01 Base Costs'!$B$8</x:f>
        <x:v>105381907199.99998</x:v>
      </x:c>
      <x:c r="AA356" s="87" t="n">
        <x:f>Z356*'01 Base Costs'!$B$11</x:f>
        <x:v>5269095360</x:v>
      </x:c>
      <x:c r="AB356" s="87" t="n">
        <x:f>Z356-AA356</x:f>
        <x:v>100112811839.99998</x:v>
      </x:c>
      <x:c r="AC356" s="87" t="n">
        <x:f>O356+Y356</x:f>
        <x:v>153420683520</x:v>
      </x:c>
      <x:c r="AD356" s="87" t="n">
        <x:f>AB356-AC356</x:f>
        <x:v>-53307871680.000015</x:v>
      </x:c>
      <x:c r="AE356" s="87" t="n">
        <x:f>AD356/D356</x:f>
        <x:v>-4442322640.000001</x:v>
      </x:c>
      <x:c r="AF356" s="87" t="n">
        <x:f>AD356/P356</x:f>
        <x:v>-1480774213.3333337</x:v>
      </x:c>
      <x:c r="AG356" s="87" t="n">
        <x:f>IF(T356=0,0,AC356/T356/(1-'01 Base Costs'!$B$11))</x:f>
        <x:v>1153802700.166053</x:v>
      </x:c>
      <x:c r="AH356" s="88" t="str">
        <x:f>IF(AD356&gt;0,"PROFIT","LOSS")</x:f>
        <x:v>LOSS</x:v>
      </x:c>
      <x:c r="AI356" s="89" t="str">
        <x:v>Base 12M Omega. MCT purchased with PLEX in NES. Base 10-pack average.</x:v>
      </x:c>
    </x:row>
    <x:row r="357">
      <x:c r="A357" s="86" t="n">
        <x:v>355</x:v>
      </x:c>
      <x:c r="B357" s="88" t="str">
        <x:v>Base</x:v>
      </x:c>
      <x:c r="C357" s="88" t="str">
        <x:v>12M Omega</x:v>
      </x:c>
      <x:c r="D357" s="88" t="n">
        <x:v>12</x:v>
      </x:c>
      <x:c r="E357" s="88" t="n">
        <x:v>3</x:v>
      </x:c>
      <x:c r="F357" s="88" t="str">
        <x:v>NES base MCT</x:v>
      </x:c>
      <x:c r="G357" s="88" t="str">
        <x:v>NES 50-pack extractor</x:v>
      </x:c>
      <x:c r="H357" s="87" t="n">
        <x:f>'01 Base Costs'!$B$24</x:f>
        <x:v>3600</x:v>
      </x:c>
      <x:c r="I357" s="87" t="n">
        <x:f>'01 Base Costs'!$B$16</x:f>
        <x:v>485</x:v>
      </x:c>
      <x:c r="J357" s="87" t="n">
        <x:f>0</x:f>
        <x:v>0</x:v>
      </x:c>
      <x:c r="K357" s="87" t="n">
        <x:f>D357*(E357-1)*I357</x:f>
        <x:v>11640</x:v>
      </x:c>
      <x:c r="L357" s="87" t="n">
        <x:f>D357*(E357-1)*J357</x:f>
        <x:v>0</x:v>
      </x:c>
      <x:c r="M357" s="87" t="n">
        <x:f>0</x:f>
        <x:v>0</x:v>
      </x:c>
      <x:c r="N357" s="87" t="n">
        <x:f>H357+K357+M357</x:f>
        <x:v>15240</x:v>
      </x:c>
      <x:c r="O357" s="87" t="n">
        <x:f>N357*'01 Base Costs'!$B$7+L357</x:f>
        <x:v>73304400000</x:v>
      </x:c>
      <x:c r="P357" s="87" t="n">
        <x:f>D357*E357</x:f>
        <x:v>36</x:v>
      </x:c>
      <x:c r="Q357" s="87" t="n">
        <x:f>P357*'01 Base Costs'!$B$12</x:f>
        <x:v>69984000</x:v>
      </x:c>
      <x:c r="R357" s="87" t="n">
        <x:f>0</x:f>
        <x:v>0</x:v>
      </x:c>
      <x:c r="S357" s="87" t="n">
        <x:f>Q357+R357</x:f>
        <x:v>69984000</x:v>
      </x:c>
      <x:c r="T357" s="141" t="n">
        <x:f>S357/'01 Base Costs'!$B$14</x:f>
        <x:v>139.968</x:v>
      </x:c>
      <x:c r="U357" s="87" t="n">
        <x:f>INT(T357)</x:f>
        <x:v>139</x:v>
      </x:c>
      <x:c r="V357" s="87" t="n">
        <x:f>S357-U357*'01 Base Costs'!$B$14</x:f>
        <x:v>484000</x:v>
      </x:c>
      <x:c r="W357" s="120" t="n">
        <x:f>'01 Base Costs'!$B$20/50</x:f>
        <x:v>112</x:v>
      </x:c>
      <x:c r="X357" s="120" t="n">
        <x:f>0</x:f>
        <x:v>0</x:v>
      </x:c>
      <x:c r="Y357" s="87" t="n">
        <x:f>T357*(W357*'01 Base Costs'!$B$7+X357)</x:f>
        <x:v>75403560960</x:v>
      </x:c>
      <x:c r="Z357" s="87" t="n">
        <x:f>T357*'01 Base Costs'!$B$8</x:f>
        <x:v>105381907199.99998</x:v>
      </x:c>
      <x:c r="AA357" s="87" t="n">
        <x:f>Z357*'01 Base Costs'!$B$11</x:f>
        <x:v>5269095360</x:v>
      </x:c>
      <x:c r="AB357" s="87" t="n">
        <x:f>Z357-AA357</x:f>
        <x:v>100112811839.99998</x:v>
      </x:c>
      <x:c r="AC357" s="87" t="n">
        <x:f>O357+Y357</x:f>
        <x:v>148707960960</x:v>
      </x:c>
      <x:c r="AD357" s="87" t="n">
        <x:f>AB357-AC357</x:f>
        <x:v>-48595149120.000015</x:v>
      </x:c>
      <x:c r="AE357" s="87" t="n">
        <x:f>AD357/D357</x:f>
        <x:v>-4049595760.0000014</x:v>
      </x:c>
      <x:c r="AF357" s="87" t="n">
        <x:f>AD357/P357</x:f>
        <x:v>-1349865253.3333337</x:v>
      </x:c>
      <x:c r="AG357" s="87" t="n">
        <x:f>IF(T357=0,0,AC357/T357/(1-'01 Base Costs'!$B$11))</x:f>
        <x:v>1118360594.9028952</x:v>
      </x:c>
      <x:c r="AH357" s="88" t="str">
        <x:f>IF(AD357&gt;0,"PROFIT","LOSS")</x:f>
        <x:v>LOSS</x:v>
      </x:c>
      <x:c r="AI357" s="89" t="str">
        <x:v>Base 12M Omega. MCT purchased with PLEX in NES. Base 50-pack average.</x:v>
      </x:c>
    </x:row>
    <x:row r="358">
      <x:c r="A358" s="86" t="n">
        <x:v>356</x:v>
      </x:c>
      <x:c r="B358" s="88" t="str">
        <x:v>Base</x:v>
      </x:c>
      <x:c r="C358" s="88" t="str">
        <x:v>12M Omega</x:v>
      </x:c>
      <x:c r="D358" s="88" t="n">
        <x:v>12</x:v>
      </x:c>
      <x:c r="E358" s="88" t="n">
        <x:v>3</x:v>
      </x:c>
      <x:c r="F358" s="88" t="str">
        <x:v>NES base MCT</x:v>
      </x:c>
      <x:c r="G358" s="88" t="str">
        <x:v>NES 3-for-2 extractor sale</x:v>
      </x:c>
      <x:c r="H358" s="87" t="n">
        <x:f>'01 Base Costs'!$B$24</x:f>
        <x:v>3600</x:v>
      </x:c>
      <x:c r="I358" s="87" t="n">
        <x:f>'01 Base Costs'!$B$16</x:f>
        <x:v>485</x:v>
      </x:c>
      <x:c r="J358" s="87" t="n">
        <x:f>0</x:f>
        <x:v>0</x:v>
      </x:c>
      <x:c r="K358" s="87" t="n">
        <x:f>D358*(E358-1)*I358</x:f>
        <x:v>11640</x:v>
      </x:c>
      <x:c r="L358" s="87" t="n">
        <x:f>D358*(E358-1)*J358</x:f>
        <x:v>0</x:v>
      </x:c>
      <x:c r="M358" s="87" t="n">
        <x:f>0</x:f>
        <x:v>0</x:v>
      </x:c>
      <x:c r="N358" s="87" t="n">
        <x:f>H358+K358+M358</x:f>
        <x:v>15240</x:v>
      </x:c>
      <x:c r="O358" s="87" t="n">
        <x:f>N358*'01 Base Costs'!$B$7+L358</x:f>
        <x:v>73304400000</x:v>
      </x:c>
      <x:c r="P358" s="87" t="n">
        <x:f>D358*E358</x:f>
        <x:v>36</x:v>
      </x:c>
      <x:c r="Q358" s="87" t="n">
        <x:f>P358*'01 Base Costs'!$B$12</x:f>
        <x:v>69984000</x:v>
      </x:c>
      <x:c r="R358" s="87" t="n">
        <x:f>0</x:f>
        <x:v>0</x:v>
      </x:c>
      <x:c r="S358" s="87" t="n">
        <x:f>Q358+R358</x:f>
        <x:v>69984000</x:v>
      </x:c>
      <x:c r="T358" s="141" t="n">
        <x:f>S358/'01 Base Costs'!$B$14</x:f>
        <x:v>139.968</x:v>
      </x:c>
      <x:c r="U358" s="87" t="n">
        <x:f>INT(T358)</x:f>
        <x:v>139</x:v>
      </x:c>
      <x:c r="V358" s="87" t="n">
        <x:f>S358-U358*'01 Base Costs'!$B$14</x:f>
        <x:v>484000</x:v>
      </x:c>
      <x:c r="W358" s="120" t="n">
        <x:f>'01 Base Costs'!$B$17*2/3</x:f>
        <x:v>93.33333333333333</x:v>
      </x:c>
      <x:c r="X358" s="120" t="n">
        <x:f>0</x:f>
        <x:v>0</x:v>
      </x:c>
      <x:c r="Y358" s="87" t="n">
        <x:f>T358*(W358*'01 Base Costs'!$B$7+X358)</x:f>
        <x:v>62836300799.99999</x:v>
      </x:c>
      <x:c r="Z358" s="87" t="n">
        <x:f>T358*'01 Base Costs'!$B$8</x:f>
        <x:v>105381907199.99998</x:v>
      </x:c>
      <x:c r="AA358" s="87" t="n">
        <x:f>Z358*'01 Base Costs'!$B$11</x:f>
        <x:v>5269095360</x:v>
      </x:c>
      <x:c r="AB358" s="87" t="n">
        <x:f>Z358-AA358</x:f>
        <x:v>100112811839.99998</x:v>
      </x:c>
      <x:c r="AC358" s="87" t="n">
        <x:f>O358+Y358</x:f>
        <x:v>136140700800</x:v>
      </x:c>
      <x:c r="AD358" s="87" t="n">
        <x:f>AB358-AC358</x:f>
        <x:v>-36027888960.000015</x:v>
      </x:c>
      <x:c r="AE358" s="87" t="n">
        <x:f>AD358/D358</x:f>
        <x:v>-3002324080.0000014</x:v>
      </x:c>
      <x:c r="AF358" s="87" t="n">
        <x:f>AD358/P358</x:f>
        <x:v>-1000774693.3333337</x:v>
      </x:c>
      <x:c r="AG358" s="87" t="n">
        <x:f>IF(T358=0,0,AC358/T358/(1-'01 Base Costs'!$B$11))</x:f>
        <x:v>1023848314.2011409</x:v>
      </x:c>
      <x:c r="AH358" s="88" t="str">
        <x:f>IF(AD358&gt;0,"PROFIT","LOSS")</x:f>
        <x:v>LOSS</x:v>
      </x:c>
      <x:c r="AI358" s="89" t="str">
        <x:v>Base 12M Omega. MCT purchased with PLEX in NES. Extractor 3-for-2 sale.</x:v>
      </x:c>
    </x:row>
    <x:row r="359">
      <x:c r="A359" s="86" t="n">
        <x:v>357</x:v>
      </x:c>
      <x:c r="B359" s="88" t="str">
        <x:v>Base</x:v>
      </x:c>
      <x:c r="C359" s="88" t="str">
        <x:v>12M Omega</x:v>
      </x:c>
      <x:c r="D359" s="88" t="n">
        <x:v>12</x:v>
      </x:c>
      <x:c r="E359" s="88" t="n">
        <x:v>3</x:v>
      </x:c>
      <x:c r="F359" s="88" t="str">
        <x:v>NES base MCT</x:v>
      </x:c>
      <x:c r="G359" s="88" t="str">
        <x:v>NES 2-for-1 extractor sale</x:v>
      </x:c>
      <x:c r="H359" s="87" t="n">
        <x:f>'01 Base Costs'!$B$24</x:f>
        <x:v>3600</x:v>
      </x:c>
      <x:c r="I359" s="87" t="n">
        <x:f>'01 Base Costs'!$B$16</x:f>
        <x:v>485</x:v>
      </x:c>
      <x:c r="J359" s="87" t="n">
        <x:f>0</x:f>
        <x:v>0</x:v>
      </x:c>
      <x:c r="K359" s="87" t="n">
        <x:f>D359*(E359-1)*I359</x:f>
        <x:v>11640</x:v>
      </x:c>
      <x:c r="L359" s="87" t="n">
        <x:f>D359*(E359-1)*J359</x:f>
        <x:v>0</x:v>
      </x:c>
      <x:c r="M359" s="87" t="n">
        <x:f>0</x:f>
        <x:v>0</x:v>
      </x:c>
      <x:c r="N359" s="87" t="n">
        <x:f>H359+K359+M359</x:f>
        <x:v>15240</x:v>
      </x:c>
      <x:c r="O359" s="87" t="n">
        <x:f>N359*'01 Base Costs'!$B$7+L359</x:f>
        <x:v>73304400000</x:v>
      </x:c>
      <x:c r="P359" s="87" t="n">
        <x:f>D359*E359</x:f>
        <x:v>36</x:v>
      </x:c>
      <x:c r="Q359" s="87" t="n">
        <x:f>P359*'01 Base Costs'!$B$12</x:f>
        <x:v>69984000</x:v>
      </x:c>
      <x:c r="R359" s="87" t="n">
        <x:f>0</x:f>
        <x:v>0</x:v>
      </x:c>
      <x:c r="S359" s="87" t="n">
        <x:f>Q359+R359</x:f>
        <x:v>69984000</x:v>
      </x:c>
      <x:c r="T359" s="141" t="n">
        <x:f>S359/'01 Base Costs'!$B$14</x:f>
        <x:v>139.968</x:v>
      </x:c>
      <x:c r="U359" s="87" t="n">
        <x:f>INT(T359)</x:f>
        <x:v>139</x:v>
      </x:c>
      <x:c r="V359" s="87" t="n">
        <x:f>S359-U359*'01 Base Costs'!$B$14</x:f>
        <x:v>484000</x:v>
      </x:c>
      <x:c r="W359" s="120" t="n">
        <x:f>'01 Base Costs'!$B$17/2</x:f>
        <x:v>70</x:v>
      </x:c>
      <x:c r="X359" s="120" t="n">
        <x:f>0</x:f>
        <x:v>0</x:v>
      </x:c>
      <x:c r="Y359" s="87" t="n">
        <x:f>T359*(W359*'01 Base Costs'!$B$7+X359)</x:f>
        <x:v>47127225600</x:v>
      </x:c>
      <x:c r="Z359" s="87" t="n">
        <x:f>T359*'01 Base Costs'!$B$8</x:f>
        <x:v>105381907199.99998</x:v>
      </x:c>
      <x:c r="AA359" s="87" t="n">
        <x:f>Z359*'01 Base Costs'!$B$11</x:f>
        <x:v>5269095360</x:v>
      </x:c>
      <x:c r="AB359" s="87" t="n">
        <x:f>Z359-AA359</x:f>
        <x:v>100112811839.99998</x:v>
      </x:c>
      <x:c r="AC359" s="87" t="n">
        <x:f>O359+Y359</x:f>
        <x:v>120431625600</x:v>
      </x:c>
      <x:c r="AD359" s="87" t="n">
        <x:f>AB359-AC359</x:f>
        <x:v>-20318813760.000015</x:v>
      </x:c>
      <x:c r="AE359" s="87" t="n">
        <x:f>AD359/D359</x:f>
        <x:v>-1693234480.0000012</x:v>
      </x:c>
      <x:c r="AF359" s="87" t="n">
        <x:f>AD359/P359</x:f>
        <x:v>-564411493.3333337</x:v>
      </x:c>
      <x:c r="AG359" s="87" t="n">
        <x:f>IF(T359=0,0,AC359/T359/(1-'01 Base Costs'!$B$11))</x:f>
        <x:v>905707963.3239478</x:v>
      </x:c>
      <x:c r="AH359" s="88" t="str">
        <x:f>IF(AD359&gt;0,"PROFIT","LOSS")</x:f>
        <x:v>LOSS</x:v>
      </x:c>
      <x:c r="AI359" s="89" t="str">
        <x:v>Base 12M Omega. MCT purchased with PLEX in NES. Extractor 2-for-1 sale.</x:v>
      </x:c>
    </x:row>
    <x:row r="360">
      <x:c r="A360" s="86" t="n">
        <x:v>358</x:v>
      </x:c>
      <x:c r="B360" s="88" t="str">
        <x:v>Base</x:v>
      </x:c>
      <x:c r="C360" s="88" t="str">
        <x:v>12M Omega</x:v>
      </x:c>
      <x:c r="D360" s="88" t="n">
        <x:v>12</x:v>
      </x:c>
      <x:c r="E360" s="88" t="n">
        <x:v>3</x:v>
      </x:c>
      <x:c r="F360" s="88" t="str">
        <x:v>NES base MCT</x:v>
      </x:c>
      <x:c r="G360" s="88" t="str">
        <x:v>NES 10-pack extractor 20% sale</x:v>
      </x:c>
      <x:c r="H360" s="87" t="n">
        <x:f>'01 Base Costs'!$B$24</x:f>
        <x:v>3600</x:v>
      </x:c>
      <x:c r="I360" s="87" t="n">
        <x:f>'01 Base Costs'!$B$16</x:f>
        <x:v>485</x:v>
      </x:c>
      <x:c r="J360" s="87" t="n">
        <x:f>0</x:f>
        <x:v>0</x:v>
      </x:c>
      <x:c r="K360" s="87" t="n">
        <x:f>D360*(E360-1)*I360</x:f>
        <x:v>11640</x:v>
      </x:c>
      <x:c r="L360" s="87" t="n">
        <x:f>D360*(E360-1)*J360</x:f>
        <x:v>0</x:v>
      </x:c>
      <x:c r="M360" s="87" t="n">
        <x:f>0</x:f>
        <x:v>0</x:v>
      </x:c>
      <x:c r="N360" s="87" t="n">
        <x:f>H360+K360+M360</x:f>
        <x:v>15240</x:v>
      </x:c>
      <x:c r="O360" s="87" t="n">
        <x:f>N360*'01 Base Costs'!$B$7+L360</x:f>
        <x:v>73304400000</x:v>
      </x:c>
      <x:c r="P360" s="87" t="n">
        <x:f>D360*E360</x:f>
        <x:v>36</x:v>
      </x:c>
      <x:c r="Q360" s="87" t="n">
        <x:f>P360*'01 Base Costs'!$B$12</x:f>
        <x:v>69984000</x:v>
      </x:c>
      <x:c r="R360" s="87" t="n">
        <x:f>0</x:f>
        <x:v>0</x:v>
      </x:c>
      <x:c r="S360" s="87" t="n">
        <x:f>Q360+R360</x:f>
        <x:v>69984000</x:v>
      </x:c>
      <x:c r="T360" s="141" t="n">
        <x:f>S360/'01 Base Costs'!$B$14</x:f>
        <x:v>139.968</x:v>
      </x:c>
      <x:c r="U360" s="87" t="n">
        <x:f>INT(T360)</x:f>
        <x:v>139</x:v>
      </x:c>
      <x:c r="V360" s="87" t="n">
        <x:f>S360-U360*'01 Base Costs'!$B$14</x:f>
        <x:v>484000</x:v>
      </x:c>
      <x:c r="W360" s="120" t="n">
        <x:f>'01 Base Costs'!$B$19*0.8/10</x:f>
        <x:v>95.2</x:v>
      </x:c>
      <x:c r="X360" s="120" t="n">
        <x:f>0</x:f>
        <x:v>0</x:v>
      </x:c>
      <x:c r="Y360" s="87" t="n">
        <x:f>T360*(W360*'01 Base Costs'!$B$7+X360)</x:f>
        <x:v>64093026815.99999</x:v>
      </x:c>
      <x:c r="Z360" s="87" t="n">
        <x:f>T360*'01 Base Costs'!$B$8</x:f>
        <x:v>105381907199.99998</x:v>
      </x:c>
      <x:c r="AA360" s="87" t="n">
        <x:f>Z360*'01 Base Costs'!$B$11</x:f>
        <x:v>5269095360</x:v>
      </x:c>
      <x:c r="AB360" s="87" t="n">
        <x:f>Z360-AA360</x:f>
        <x:v>100112811839.99998</x:v>
      </x:c>
      <x:c r="AC360" s="87" t="n">
        <x:f>O360+Y360</x:f>
        <x:v>137397426816</x:v>
      </x:c>
      <x:c r="AD360" s="87" t="n">
        <x:f>AB360-AC360</x:f>
        <x:v>-37284614976.000015</x:v>
      </x:c>
      <x:c r="AE360" s="87" t="n">
        <x:f>AD360/D360</x:f>
        <x:v>-3107051248.0000014</x:v>
      </x:c>
      <x:c r="AF360" s="87" t="n">
        <x:f>AD360/P360</x:f>
        <x:v>-1035683749.3333337</x:v>
      </x:c>
      <x:c r="AG360" s="87" t="n">
        <x:f>IF(T360=0,0,AC360/T360/(1-'01 Base Costs'!$B$11))</x:f>
        <x:v>1033299542.2713162</x:v>
      </x:c>
      <x:c r="AH360" s="88" t="str">
        <x:f>IF(AD360&gt;0,"PROFIT","LOSS")</x:f>
        <x:v>LOSS</x:v>
      </x:c>
      <x:c r="AI360" s="89" t="str">
        <x:v>Base 12M Omega. MCT purchased with PLEX in NES. 10-pack at 20% off.</x:v>
      </x:c>
    </x:row>
    <x:row r="361">
      <x:c r="A361" s="86" t="n">
        <x:v>359</x:v>
      </x:c>
      <x:c r="B361" s="88" t="str">
        <x:v>Base</x:v>
      </x:c>
      <x:c r="C361" s="88" t="str">
        <x:v>12M Omega</x:v>
      </x:c>
      <x:c r="D361" s="88" t="n">
        <x:v>12</x:v>
      </x:c>
      <x:c r="E361" s="88" t="n">
        <x:v>3</x:v>
      </x:c>
      <x:c r="F361" s="88" t="str">
        <x:v>NES base MCT</x:v>
      </x:c>
      <x:c r="G361" s="88" t="str">
        <x:v>NES 50-pack extractor 20% sale</x:v>
      </x:c>
      <x:c r="H361" s="87" t="n">
        <x:f>'01 Base Costs'!$B$24</x:f>
        <x:v>3600</x:v>
      </x:c>
      <x:c r="I361" s="87" t="n">
        <x:f>'01 Base Costs'!$B$16</x:f>
        <x:v>485</x:v>
      </x:c>
      <x:c r="J361" s="87" t="n">
        <x:f>0</x:f>
        <x:v>0</x:v>
      </x:c>
      <x:c r="K361" s="87" t="n">
        <x:f>D361*(E361-1)*I361</x:f>
        <x:v>11640</x:v>
      </x:c>
      <x:c r="L361" s="87" t="n">
        <x:f>D361*(E361-1)*J361</x:f>
        <x:v>0</x:v>
      </x:c>
      <x:c r="M361" s="87" t="n">
        <x:f>0</x:f>
        <x:v>0</x:v>
      </x:c>
      <x:c r="N361" s="87" t="n">
        <x:f>H361+K361+M361</x:f>
        <x:v>15240</x:v>
      </x:c>
      <x:c r="O361" s="87" t="n">
        <x:f>N361*'01 Base Costs'!$B$7+L361</x:f>
        <x:v>73304400000</x:v>
      </x:c>
      <x:c r="P361" s="87" t="n">
        <x:f>D361*E361</x:f>
        <x:v>36</x:v>
      </x:c>
      <x:c r="Q361" s="87" t="n">
        <x:f>P361*'01 Base Costs'!$B$12</x:f>
        <x:v>69984000</x:v>
      </x:c>
      <x:c r="R361" s="87" t="n">
        <x:f>0</x:f>
        <x:v>0</x:v>
      </x:c>
      <x:c r="S361" s="87" t="n">
        <x:f>Q361+R361</x:f>
        <x:v>69984000</x:v>
      </x:c>
      <x:c r="T361" s="141" t="n">
        <x:f>S361/'01 Base Costs'!$B$14</x:f>
        <x:v>139.968</x:v>
      </x:c>
      <x:c r="U361" s="87" t="n">
        <x:f>INT(T361)</x:f>
        <x:v>139</x:v>
      </x:c>
      <x:c r="V361" s="87" t="n">
        <x:f>S361-U361*'01 Base Costs'!$B$14</x:f>
        <x:v>484000</x:v>
      </x:c>
      <x:c r="W361" s="120" t="n">
        <x:f>'01 Base Costs'!$B$20*0.8/50</x:f>
        <x:v>89.6</x:v>
      </x:c>
      <x:c r="X361" s="120" t="n">
        <x:f>0</x:f>
        <x:v>0</x:v>
      </x:c>
      <x:c r="Y361" s="87" t="n">
        <x:f>T361*(W361*'01 Base Costs'!$B$7+X361)</x:f>
        <x:v>60322848767.99999</x:v>
      </x:c>
      <x:c r="Z361" s="87" t="n">
        <x:f>T361*'01 Base Costs'!$B$8</x:f>
        <x:v>105381907199.99998</x:v>
      </x:c>
      <x:c r="AA361" s="87" t="n">
        <x:f>Z361*'01 Base Costs'!$B$11</x:f>
        <x:v>5269095360</x:v>
      </x:c>
      <x:c r="AB361" s="87" t="n">
        <x:f>Z361-AA361</x:f>
        <x:v>100112811839.99998</x:v>
      </x:c>
      <x:c r="AC361" s="87" t="n">
        <x:f>O361+Y361</x:f>
        <x:v>133627248768</x:v>
      </x:c>
      <x:c r="AD361" s="87" t="n">
        <x:f>AB361-AC361</x:f>
        <x:v>-33514436928.000015</x:v>
      </x:c>
      <x:c r="AE361" s="87" t="n">
        <x:f>AD361/D361</x:f>
        <x:v>-2792869744.0000014</x:v>
      </x:c>
      <x:c r="AF361" s="87" t="n">
        <x:f>AD361/P361</x:f>
        <x:v>-930956581.3333337</x:v>
      </x:c>
      <x:c r="AG361" s="87" t="n">
        <x:f>IF(T361=0,0,AC361/T361/(1-'01 Base Costs'!$B$11))</x:f>
        <x:v>1004945858.06079</x:v>
      </x:c>
      <x:c r="AH361" s="88" t="str">
        <x:f>IF(AD361&gt;0,"PROFIT","LOSS")</x:f>
        <x:v>LOSS</x:v>
      </x:c>
      <x:c r="AI361" s="89" t="str">
        <x:v>Base 12M Omega. MCT purchased with PLEX in NES. 50-pack at 20% off.</x:v>
      </x:c>
    </x:row>
    <x:row r="362">
      <x:c r="A362" s="86" t="n">
        <x:v>360</x:v>
      </x:c>
      <x:c r="B362" s="88" t="str">
        <x:v>Base</x:v>
      </x:c>
      <x:c r="C362" s="88" t="str">
        <x:v>12M Omega</x:v>
      </x:c>
      <x:c r="D362" s="88" t="n">
        <x:v>12</x:v>
      </x:c>
      <x:c r="E362" s="88" t="n">
        <x:v>3</x:v>
      </x:c>
      <x:c r="F362" s="88" t="str">
        <x:v>NES base MCT</x:v>
      </x:c>
      <x:c r="G362" s="88" t="str">
        <x:v>Market Skill Extractor</x:v>
      </x:c>
      <x:c r="H362" s="87" t="n">
        <x:f>'01 Base Costs'!$B$24</x:f>
        <x:v>3600</x:v>
      </x:c>
      <x:c r="I362" s="87" t="n">
        <x:f>'01 Base Costs'!$B$16</x:f>
        <x:v>485</x:v>
      </x:c>
      <x:c r="J362" s="87" t="n">
        <x:f>0</x:f>
        <x:v>0</x:v>
      </x:c>
      <x:c r="K362" s="87" t="n">
        <x:f>D362*(E362-1)*I362</x:f>
        <x:v>11640</x:v>
      </x:c>
      <x:c r="L362" s="87" t="n">
        <x:f>D362*(E362-1)*J362</x:f>
        <x:v>0</x:v>
      </x:c>
      <x:c r="M362" s="87" t="n">
        <x:f>0</x:f>
        <x:v>0</x:v>
      </x:c>
      <x:c r="N362" s="87" t="n">
        <x:f>H362+K362+M362</x:f>
        <x:v>15240</x:v>
      </x:c>
      <x:c r="O362" s="87" t="n">
        <x:f>N362*'01 Base Costs'!$B$7+L362</x:f>
        <x:v>73304400000</x:v>
      </x:c>
      <x:c r="P362" s="87" t="n">
        <x:f>D362*E362</x:f>
        <x:v>36</x:v>
      </x:c>
      <x:c r="Q362" s="87" t="n">
        <x:f>P362*'01 Base Costs'!$B$12</x:f>
        <x:v>69984000</x:v>
      </x:c>
      <x:c r="R362" s="87" t="n">
        <x:f>0</x:f>
        <x:v>0</x:v>
      </x:c>
      <x:c r="S362" s="87" t="n">
        <x:f>Q362+R362</x:f>
        <x:v>69984000</x:v>
      </x:c>
      <x:c r="T362" s="141" t="n">
        <x:f>S362/'01 Base Costs'!$B$14</x:f>
        <x:v>139.968</x:v>
      </x:c>
      <x:c r="U362" s="87" t="n">
        <x:f>INT(T362)</x:f>
        <x:v>139</x:v>
      </x:c>
      <x:c r="V362" s="87" t="n">
        <x:f>S362-U362*'01 Base Costs'!$B$14</x:f>
        <x:v>484000</x:v>
      </x:c>
      <x:c r="W362" s="120" t="n">
        <x:f>0</x:f>
        <x:v>0</x:v>
      </x:c>
      <x:c r="X362" s="120" t="n">
        <x:f>'01 Base Costs'!$B$9</x:f>
        <x:v>463500000</x:v>
      </x:c>
      <x:c r="Y362" s="87" t="n">
        <x:f>T362*(W362*'01 Base Costs'!$B$7+X362)</x:f>
        <x:v>64875167999.99999</x:v>
      </x:c>
      <x:c r="Z362" s="87" t="n">
        <x:f>T362*'01 Base Costs'!$B$8</x:f>
        <x:v>105381907199.99998</x:v>
      </x:c>
      <x:c r="AA362" s="87" t="n">
        <x:f>Z362*'01 Base Costs'!$B$11</x:f>
        <x:v>5269095360</x:v>
      </x:c>
      <x:c r="AB362" s="87" t="n">
        <x:f>Z362-AA362</x:f>
        <x:v>100112811839.99998</x:v>
      </x:c>
      <x:c r="AC362" s="87" t="n">
        <x:f>O362+Y362</x:f>
        <x:v>138179568000</x:v>
      </x:c>
      <x:c r="AD362" s="87" t="n">
        <x:f>AB362-AC362</x:f>
        <x:v>-38066756160.000015</x:v>
      </x:c>
      <x:c r="AE362" s="87" t="n">
        <x:f>AD362/D362</x:f>
        <x:v>-3172229680.0000014</x:v>
      </x:c>
      <x:c r="AF362" s="87" t="n">
        <x:f>AD362/P362</x:f>
        <x:v>-1057409893.3333337</x:v>
      </x:c>
      <x:c r="AG362" s="87" t="n">
        <x:f>IF(T362=0,0,AC362/T362/(1-'01 Base Costs'!$B$11))</x:f>
        <x:v>1039181647.5344741</x:v>
      </x:c>
      <x:c r="AH362" s="88" t="str">
        <x:f>IF(AD362&gt;0,"PROFIT","LOSS")</x:f>
        <x:v>LOSS</x:v>
      </x:c>
      <x:c r="AI362" s="89" t="str">
        <x:v>Base 12M Omega. MCT purchased with PLEX in NES. Extractor bought on market with ISK.</x:v>
      </x:c>
    </x:row>
    <x:row r="363">
      <x:c r="A363" s="86" t="n">
        <x:v>361</x:v>
      </x:c>
      <x:c r="B363" s="88" t="str">
        <x:v>Base</x:v>
      </x:c>
      <x:c r="C363" s="88" t="str">
        <x:v>12M Omega</x:v>
      </x:c>
      <x:c r="D363" s="88" t="n">
        <x:v>12</x:v>
      </x:c>
      <x:c r="E363" s="88" t="n">
        <x:v>3</x:v>
      </x:c>
      <x:c r="F363" s="88" t="str">
        <x:v>NES MCT 20% sale</x:v>
      </x:c>
      <x:c r="G363" s="88" t="str">
        <x:v>NES single extractor</x:v>
      </x:c>
      <x:c r="H363" s="87" t="n">
        <x:f>'01 Base Costs'!$B$24</x:f>
        <x:v>3600</x:v>
      </x:c>
      <x:c r="I363" s="87" t="n">
        <x:f>'01 Base Costs'!$B$16*0.8</x:f>
        <x:v>388</x:v>
      </x:c>
      <x:c r="J363" s="87" t="n">
        <x:f>0</x:f>
        <x:v>0</x:v>
      </x:c>
      <x:c r="K363" s="87" t="n">
        <x:f>D363*(E363-1)*I363</x:f>
        <x:v>9312</x:v>
      </x:c>
      <x:c r="L363" s="87" t="n">
        <x:f>D363*(E363-1)*J363</x:f>
        <x:v>0</x:v>
      </x:c>
      <x:c r="M363" s="87" t="n">
        <x:f>0</x:f>
        <x:v>0</x:v>
      </x:c>
      <x:c r="N363" s="87" t="n">
        <x:f>H363+K363+M363</x:f>
        <x:v>12912</x:v>
      </x:c>
      <x:c r="O363" s="87" t="n">
        <x:f>N363*'01 Base Costs'!$B$7+L363</x:f>
        <x:v>62106720000</x:v>
      </x:c>
      <x:c r="P363" s="87" t="n">
        <x:f>D363*E363</x:f>
        <x:v>36</x:v>
      </x:c>
      <x:c r="Q363" s="87" t="n">
        <x:f>P363*'01 Base Costs'!$B$12</x:f>
        <x:v>69984000</x:v>
      </x:c>
      <x:c r="R363" s="87" t="n">
        <x:f>0</x:f>
        <x:v>0</x:v>
      </x:c>
      <x:c r="S363" s="87" t="n">
        <x:f>Q363+R363</x:f>
        <x:v>69984000</x:v>
      </x:c>
      <x:c r="T363" s="141" t="n">
        <x:f>S363/'01 Base Costs'!$B$14</x:f>
        <x:v>139.968</x:v>
      </x:c>
      <x:c r="U363" s="87" t="n">
        <x:f>INT(T363)</x:f>
        <x:v>139</x:v>
      </x:c>
      <x:c r="V363" s="87" t="n">
        <x:f>S363-U363*'01 Base Costs'!$B$14</x:f>
        <x:v>484000</x:v>
      </x:c>
      <x:c r="W363" s="120" t="n">
        <x:f>'01 Base Costs'!$B$17</x:f>
        <x:v>140</x:v>
      </x:c>
      <x:c r="X363" s="120" t="n">
        <x:f>0</x:f>
        <x:v>0</x:v>
      </x:c>
      <x:c r="Y363" s="87" t="n">
        <x:f>T363*(W363*'01 Base Costs'!$B$7+X363)</x:f>
        <x:v>94254451200</x:v>
      </x:c>
      <x:c r="Z363" s="87" t="n">
        <x:f>T363*'01 Base Costs'!$B$8</x:f>
        <x:v>105381907199.99998</x:v>
      </x:c>
      <x:c r="AA363" s="87" t="n">
        <x:f>Z363*'01 Base Costs'!$B$11</x:f>
        <x:v>5269095360</x:v>
      </x:c>
      <x:c r="AB363" s="87" t="n">
        <x:f>Z363-AA363</x:f>
        <x:v>100112811839.99998</x:v>
      </x:c>
      <x:c r="AC363" s="87" t="n">
        <x:f>O363+Y363</x:f>
        <x:v>156361171200</x:v>
      </x:c>
      <x:c r="AD363" s="87" t="n">
        <x:f>AB363-AC363</x:f>
        <x:v>-56248359360.000015</x:v>
      </x:c>
      <x:c r="AE363" s="87" t="n">
        <x:f>AD363/D363</x:f>
        <x:v>-4687363280.000001</x:v>
      </x:c>
      <x:c r="AF363" s="87" t="n">
        <x:f>AD363/P363</x:f>
        <x:v>-1562454426.666667</x:v>
      </x:c>
      <x:c r="AG363" s="87" t="n">
        <x:f>IF(T363=0,0,AC363/T363/(1-'01 Base Costs'!$B$11))</x:f>
        <x:v>1175916684.7159052</x:v>
      </x:c>
      <x:c r="AH363" s="88" t="str">
        <x:f>IF(AD363&gt;0,"PROFIT","LOSS")</x:f>
        <x:v>LOSS</x:v>
      </x:c>
      <x:c r="AI363" s="89" t="str">
        <x:v>Base 12M Omega. MCT sale 20% off. Base single extractor.</x:v>
      </x:c>
    </x:row>
    <x:row r="364">
      <x:c r="A364" s="86" t="n">
        <x:v>362</x:v>
      </x:c>
      <x:c r="B364" s="88" t="str">
        <x:v>Base</x:v>
      </x:c>
      <x:c r="C364" s="88" t="str">
        <x:v>12M Omega</x:v>
      </x:c>
      <x:c r="D364" s="88" t="n">
        <x:v>12</x:v>
      </x:c>
      <x:c r="E364" s="88" t="n">
        <x:v>3</x:v>
      </x:c>
      <x:c r="F364" s="88" t="str">
        <x:v>NES MCT 20% sale</x:v>
      </x:c>
      <x:c r="G364" s="88" t="str">
        <x:v>NES 5-pack extractor</x:v>
      </x:c>
      <x:c r="H364" s="87" t="n">
        <x:f>'01 Base Costs'!$B$24</x:f>
        <x:v>3600</x:v>
      </x:c>
      <x:c r="I364" s="87" t="n">
        <x:f>'01 Base Costs'!$B$16*0.8</x:f>
        <x:v>388</x:v>
      </x:c>
      <x:c r="J364" s="87" t="n">
        <x:f>0</x:f>
        <x:v>0</x:v>
      </x:c>
      <x:c r="K364" s="87" t="n">
        <x:f>D364*(E364-1)*I364</x:f>
        <x:v>9312</x:v>
      </x:c>
      <x:c r="L364" s="87" t="n">
        <x:f>D364*(E364-1)*J364</x:f>
        <x:v>0</x:v>
      </x:c>
      <x:c r="M364" s="87" t="n">
        <x:f>0</x:f>
        <x:v>0</x:v>
      </x:c>
      <x:c r="N364" s="87" t="n">
        <x:f>H364+K364+M364</x:f>
        <x:v>12912</x:v>
      </x:c>
      <x:c r="O364" s="87" t="n">
        <x:f>N364*'01 Base Costs'!$B$7+L364</x:f>
        <x:v>62106720000</x:v>
      </x:c>
      <x:c r="P364" s="87" t="n">
        <x:f>D364*E364</x:f>
        <x:v>36</x:v>
      </x:c>
      <x:c r="Q364" s="87" t="n">
        <x:f>P364*'01 Base Costs'!$B$12</x:f>
        <x:v>69984000</x:v>
      </x:c>
      <x:c r="R364" s="87" t="n">
        <x:f>0</x:f>
        <x:v>0</x:v>
      </x:c>
      <x:c r="S364" s="87" t="n">
        <x:f>Q364+R364</x:f>
        <x:v>69984000</x:v>
      </x:c>
      <x:c r="T364" s="141" t="n">
        <x:f>S364/'01 Base Costs'!$B$14</x:f>
        <x:v>139.968</x:v>
      </x:c>
      <x:c r="U364" s="87" t="n">
        <x:f>INT(T364)</x:f>
        <x:v>139</x:v>
      </x:c>
      <x:c r="V364" s="87" t="n">
        <x:f>S364-U364*'01 Base Costs'!$B$14</x:f>
        <x:v>484000</x:v>
      </x:c>
      <x:c r="W364" s="120" t="n">
        <x:f>'01 Base Costs'!$B$18/5</x:f>
        <x:v>126</x:v>
      </x:c>
      <x:c r="X364" s="120" t="n">
        <x:f>0</x:f>
        <x:v>0</x:v>
      </x:c>
      <x:c r="Y364" s="87" t="n">
        <x:f>T364*(W364*'01 Base Costs'!$B$7+X364)</x:f>
        <x:v>84829006080</x:v>
      </x:c>
      <x:c r="Z364" s="87" t="n">
        <x:f>T364*'01 Base Costs'!$B$8</x:f>
        <x:v>105381907199.99998</x:v>
      </x:c>
      <x:c r="AA364" s="87" t="n">
        <x:f>Z364*'01 Base Costs'!$B$11</x:f>
        <x:v>5269095360</x:v>
      </x:c>
      <x:c r="AB364" s="87" t="n">
        <x:f>Z364-AA364</x:f>
        <x:v>100112811839.99998</x:v>
      </x:c>
      <x:c r="AC364" s="87" t="n">
        <x:f>O364+Y364</x:f>
        <x:v>146935726080</x:v>
      </x:c>
      <x:c r="AD364" s="87" t="n">
        <x:f>AB364-AC364</x:f>
        <x:v>-46822914240.000015</x:v>
      </x:c>
      <x:c r="AE364" s="87" t="n">
        <x:f>AD364/D364</x:f>
        <x:v>-3901909520.0000014</x:v>
      </x:c>
      <x:c r="AF364" s="87" t="n">
        <x:f>AD364/P364</x:f>
        <x:v>-1300636506.666667</x:v>
      </x:c>
      <x:c r="AG364" s="87" t="n">
        <x:f>IF(T364=0,0,AC364/T364/(1-'01 Base Costs'!$B$11))</x:f>
        <x:v>1105032474.1895893</x:v>
      </x:c>
      <x:c r="AH364" s="88" t="str">
        <x:f>IF(AD364&gt;0,"PROFIT","LOSS")</x:f>
        <x:v>LOSS</x:v>
      </x:c>
      <x:c r="AI364" s="89" t="str">
        <x:v>Base 12M Omega. MCT sale 20% off. Base 5-pack average.</x:v>
      </x:c>
    </x:row>
    <x:row r="365">
      <x:c r="A365" s="86" t="n">
        <x:v>363</x:v>
      </x:c>
      <x:c r="B365" s="88" t="str">
        <x:v>Base</x:v>
      </x:c>
      <x:c r="C365" s="88" t="str">
        <x:v>12M Omega</x:v>
      </x:c>
      <x:c r="D365" s="88" t="n">
        <x:v>12</x:v>
      </x:c>
      <x:c r="E365" s="88" t="n">
        <x:v>3</x:v>
      </x:c>
      <x:c r="F365" s="88" t="str">
        <x:v>NES MCT 20% sale</x:v>
      </x:c>
      <x:c r="G365" s="88" t="str">
        <x:v>NES 10-pack extractor</x:v>
      </x:c>
      <x:c r="H365" s="87" t="n">
        <x:f>'01 Base Costs'!$B$24</x:f>
        <x:v>3600</x:v>
      </x:c>
      <x:c r="I365" s="87" t="n">
        <x:f>'01 Base Costs'!$B$16*0.8</x:f>
        <x:v>388</x:v>
      </x:c>
      <x:c r="J365" s="87" t="n">
        <x:f>0</x:f>
        <x:v>0</x:v>
      </x:c>
      <x:c r="K365" s="87" t="n">
        <x:f>D365*(E365-1)*I365</x:f>
        <x:v>9312</x:v>
      </x:c>
      <x:c r="L365" s="87" t="n">
        <x:f>D365*(E365-1)*J365</x:f>
        <x:v>0</x:v>
      </x:c>
      <x:c r="M365" s="87" t="n">
        <x:f>0</x:f>
        <x:v>0</x:v>
      </x:c>
      <x:c r="N365" s="87" t="n">
        <x:f>H365+K365+M365</x:f>
        <x:v>12912</x:v>
      </x:c>
      <x:c r="O365" s="87" t="n">
        <x:f>N365*'01 Base Costs'!$B$7+L365</x:f>
        <x:v>62106720000</x:v>
      </x:c>
      <x:c r="P365" s="87" t="n">
        <x:f>D365*E365</x:f>
        <x:v>36</x:v>
      </x:c>
      <x:c r="Q365" s="87" t="n">
        <x:f>P365*'01 Base Costs'!$B$12</x:f>
        <x:v>69984000</x:v>
      </x:c>
      <x:c r="R365" s="87" t="n">
        <x:f>0</x:f>
        <x:v>0</x:v>
      </x:c>
      <x:c r="S365" s="87" t="n">
        <x:f>Q365+R365</x:f>
        <x:v>69984000</x:v>
      </x:c>
      <x:c r="T365" s="141" t="n">
        <x:f>S365/'01 Base Costs'!$B$14</x:f>
        <x:v>139.968</x:v>
      </x:c>
      <x:c r="U365" s="87" t="n">
        <x:f>INT(T365)</x:f>
        <x:v>139</x:v>
      </x:c>
      <x:c r="V365" s="87" t="n">
        <x:f>S365-U365*'01 Base Costs'!$B$14</x:f>
        <x:v>484000</x:v>
      </x:c>
      <x:c r="W365" s="120" t="n">
        <x:f>'01 Base Costs'!$B$19/10</x:f>
        <x:v>119</x:v>
      </x:c>
      <x:c r="X365" s="120" t="n">
        <x:f>0</x:f>
        <x:v>0</x:v>
      </x:c>
      <x:c r="Y365" s="87" t="n">
        <x:f>T365*(W365*'01 Base Costs'!$B$7+X365)</x:f>
        <x:v>80116283520</x:v>
      </x:c>
      <x:c r="Z365" s="87" t="n">
        <x:f>T365*'01 Base Costs'!$B$8</x:f>
        <x:v>105381907199.99998</x:v>
      </x:c>
      <x:c r="AA365" s="87" t="n">
        <x:f>Z365*'01 Base Costs'!$B$11</x:f>
        <x:v>5269095360</x:v>
      </x:c>
      <x:c r="AB365" s="87" t="n">
        <x:f>Z365-AA365</x:f>
        <x:v>100112811839.99998</x:v>
      </x:c>
      <x:c r="AC365" s="87" t="n">
        <x:f>O365+Y365</x:f>
        <x:v>142223003520</x:v>
      </x:c>
      <x:c r="AD365" s="87" t="n">
        <x:f>AB365-AC365</x:f>
        <x:v>-42110191680.000015</x:v>
      </x:c>
      <x:c r="AE365" s="87" t="n">
        <x:f>AD365/D365</x:f>
        <x:v>-3509182640.0000014</x:v>
      </x:c>
      <x:c r="AF365" s="87" t="n">
        <x:f>AD365/P365</x:f>
        <x:v>-1169727546.666667</x:v>
      </x:c>
      <x:c r="AG365" s="87" t="n">
        <x:f>IF(T365=0,0,AC365/T365/(1-'01 Base Costs'!$B$11))</x:f>
        <x:v>1069590368.9264314</x:v>
      </x:c>
      <x:c r="AH365" s="88" t="str">
        <x:f>IF(AD365&gt;0,"PROFIT","LOSS")</x:f>
        <x:v>LOSS</x:v>
      </x:c>
      <x:c r="AI365" s="89" t="str">
        <x:v>Base 12M Omega. MCT sale 20% off. Base 10-pack average.</x:v>
      </x:c>
    </x:row>
    <x:row r="366">
      <x:c r="A366" s="86" t="n">
        <x:v>364</x:v>
      </x:c>
      <x:c r="B366" s="88" t="str">
        <x:v>Base</x:v>
      </x:c>
      <x:c r="C366" s="88" t="str">
        <x:v>12M Omega</x:v>
      </x:c>
      <x:c r="D366" s="88" t="n">
        <x:v>12</x:v>
      </x:c>
      <x:c r="E366" s="88" t="n">
        <x:v>3</x:v>
      </x:c>
      <x:c r="F366" s="88" t="str">
        <x:v>NES MCT 20% sale</x:v>
      </x:c>
      <x:c r="G366" s="88" t="str">
        <x:v>NES 50-pack extractor</x:v>
      </x:c>
      <x:c r="H366" s="87" t="n">
        <x:f>'01 Base Costs'!$B$24</x:f>
        <x:v>3600</x:v>
      </x:c>
      <x:c r="I366" s="87" t="n">
        <x:f>'01 Base Costs'!$B$16*0.8</x:f>
        <x:v>388</x:v>
      </x:c>
      <x:c r="J366" s="87" t="n">
        <x:f>0</x:f>
        <x:v>0</x:v>
      </x:c>
      <x:c r="K366" s="87" t="n">
        <x:f>D366*(E366-1)*I366</x:f>
        <x:v>9312</x:v>
      </x:c>
      <x:c r="L366" s="87" t="n">
        <x:f>D366*(E366-1)*J366</x:f>
        <x:v>0</x:v>
      </x:c>
      <x:c r="M366" s="87" t="n">
        <x:f>0</x:f>
        <x:v>0</x:v>
      </x:c>
      <x:c r="N366" s="87" t="n">
        <x:f>H366+K366+M366</x:f>
        <x:v>12912</x:v>
      </x:c>
      <x:c r="O366" s="87" t="n">
        <x:f>N366*'01 Base Costs'!$B$7+L366</x:f>
        <x:v>62106720000</x:v>
      </x:c>
      <x:c r="P366" s="87" t="n">
        <x:f>D366*E366</x:f>
        <x:v>36</x:v>
      </x:c>
      <x:c r="Q366" s="87" t="n">
        <x:f>P366*'01 Base Costs'!$B$12</x:f>
        <x:v>69984000</x:v>
      </x:c>
      <x:c r="R366" s="87" t="n">
        <x:f>0</x:f>
        <x:v>0</x:v>
      </x:c>
      <x:c r="S366" s="87" t="n">
        <x:f>Q366+R366</x:f>
        <x:v>69984000</x:v>
      </x:c>
      <x:c r="T366" s="141" t="n">
        <x:f>S366/'01 Base Costs'!$B$14</x:f>
        <x:v>139.968</x:v>
      </x:c>
      <x:c r="U366" s="87" t="n">
        <x:f>INT(T366)</x:f>
        <x:v>139</x:v>
      </x:c>
      <x:c r="V366" s="87" t="n">
        <x:f>S366-U366*'01 Base Costs'!$B$14</x:f>
        <x:v>484000</x:v>
      </x:c>
      <x:c r="W366" s="120" t="n">
        <x:f>'01 Base Costs'!$B$20/50</x:f>
        <x:v>112</x:v>
      </x:c>
      <x:c r="X366" s="120" t="n">
        <x:f>0</x:f>
        <x:v>0</x:v>
      </x:c>
      <x:c r="Y366" s="87" t="n">
        <x:f>T366*(W366*'01 Base Costs'!$B$7+X366)</x:f>
        <x:v>75403560960</x:v>
      </x:c>
      <x:c r="Z366" s="87" t="n">
        <x:f>T366*'01 Base Costs'!$B$8</x:f>
        <x:v>105381907199.99998</x:v>
      </x:c>
      <x:c r="AA366" s="87" t="n">
        <x:f>Z366*'01 Base Costs'!$B$11</x:f>
        <x:v>5269095360</x:v>
      </x:c>
      <x:c r="AB366" s="87" t="n">
        <x:f>Z366-AA366</x:f>
        <x:v>100112811839.99998</x:v>
      </x:c>
      <x:c r="AC366" s="87" t="n">
        <x:f>O366+Y366</x:f>
        <x:v>137510280960</x:v>
      </x:c>
      <x:c r="AD366" s="87" t="n">
        <x:f>AB366-AC366</x:f>
        <x:v>-37397469120.000015</x:v>
      </x:c>
      <x:c r="AE366" s="87" t="n">
        <x:f>AD366/D366</x:f>
        <x:v>-3116455760.0000014</x:v>
      </x:c>
      <x:c r="AF366" s="87" t="n">
        <x:f>AD366/P366</x:f>
        <x:v>-1038818586.6666671</x:v>
      </x:c>
      <x:c r="AG366" s="87" t="n">
        <x:f>IF(T366=0,0,AC366/T366/(1-'01 Base Costs'!$B$11))</x:f>
        <x:v>1034148263.6632736</x:v>
      </x:c>
      <x:c r="AH366" s="88" t="str">
        <x:f>IF(AD366&gt;0,"PROFIT","LOSS")</x:f>
        <x:v>LOSS</x:v>
      </x:c>
      <x:c r="AI366" s="89" t="str">
        <x:v>Base 12M Omega. MCT sale 20% off. Base 50-pack average.</x:v>
      </x:c>
    </x:row>
    <x:row r="367">
      <x:c r="A367" s="86" t="n">
        <x:v>365</x:v>
      </x:c>
      <x:c r="B367" s="88" t="str">
        <x:v>Base</x:v>
      </x:c>
      <x:c r="C367" s="88" t="str">
        <x:v>12M Omega</x:v>
      </x:c>
      <x:c r="D367" s="88" t="n">
        <x:v>12</x:v>
      </x:c>
      <x:c r="E367" s="88" t="n">
        <x:v>3</x:v>
      </x:c>
      <x:c r="F367" s="88" t="str">
        <x:v>NES MCT 20% sale</x:v>
      </x:c>
      <x:c r="G367" s="88" t="str">
        <x:v>NES 3-for-2 extractor sale</x:v>
      </x:c>
      <x:c r="H367" s="87" t="n">
        <x:f>'01 Base Costs'!$B$24</x:f>
        <x:v>3600</x:v>
      </x:c>
      <x:c r="I367" s="87" t="n">
        <x:f>'01 Base Costs'!$B$16*0.8</x:f>
        <x:v>388</x:v>
      </x:c>
      <x:c r="J367" s="87" t="n">
        <x:f>0</x:f>
        <x:v>0</x:v>
      </x:c>
      <x:c r="K367" s="87" t="n">
        <x:f>D367*(E367-1)*I367</x:f>
        <x:v>9312</x:v>
      </x:c>
      <x:c r="L367" s="87" t="n">
        <x:f>D367*(E367-1)*J367</x:f>
        <x:v>0</x:v>
      </x:c>
      <x:c r="M367" s="87" t="n">
        <x:f>0</x:f>
        <x:v>0</x:v>
      </x:c>
      <x:c r="N367" s="87" t="n">
        <x:f>H367+K367+M367</x:f>
        <x:v>12912</x:v>
      </x:c>
      <x:c r="O367" s="87" t="n">
        <x:f>N367*'01 Base Costs'!$B$7+L367</x:f>
        <x:v>62106720000</x:v>
      </x:c>
      <x:c r="P367" s="87" t="n">
        <x:f>D367*E367</x:f>
        <x:v>36</x:v>
      </x:c>
      <x:c r="Q367" s="87" t="n">
        <x:f>P367*'01 Base Costs'!$B$12</x:f>
        <x:v>69984000</x:v>
      </x:c>
      <x:c r="R367" s="87" t="n">
        <x:f>0</x:f>
        <x:v>0</x:v>
      </x:c>
      <x:c r="S367" s="87" t="n">
        <x:f>Q367+R367</x:f>
        <x:v>69984000</x:v>
      </x:c>
      <x:c r="T367" s="141" t="n">
        <x:f>S367/'01 Base Costs'!$B$14</x:f>
        <x:v>139.968</x:v>
      </x:c>
      <x:c r="U367" s="87" t="n">
        <x:f>INT(T367)</x:f>
        <x:v>139</x:v>
      </x:c>
      <x:c r="V367" s="87" t="n">
        <x:f>S367-U367*'01 Base Costs'!$B$14</x:f>
        <x:v>484000</x:v>
      </x:c>
      <x:c r="W367" s="120" t="n">
        <x:f>'01 Base Costs'!$B$17*2/3</x:f>
        <x:v>93.33333333333333</x:v>
      </x:c>
      <x:c r="X367" s="120" t="n">
        <x:f>0</x:f>
        <x:v>0</x:v>
      </x:c>
      <x:c r="Y367" s="87" t="n">
        <x:f>T367*(W367*'01 Base Costs'!$B$7+X367)</x:f>
        <x:v>62836300799.99999</x:v>
      </x:c>
      <x:c r="Z367" s="87" t="n">
        <x:f>T367*'01 Base Costs'!$B$8</x:f>
        <x:v>105381907199.99998</x:v>
      </x:c>
      <x:c r="AA367" s="87" t="n">
        <x:f>Z367*'01 Base Costs'!$B$11</x:f>
        <x:v>5269095360</x:v>
      </x:c>
      <x:c r="AB367" s="87" t="n">
        <x:f>Z367-AA367</x:f>
        <x:v>100112811839.99998</x:v>
      </x:c>
      <x:c r="AC367" s="87" t="n">
        <x:f>O367+Y367</x:f>
        <x:v>124943020800</x:v>
      </x:c>
      <x:c r="AD367" s="87" t="n">
        <x:f>AB367-AC367</x:f>
        <x:v>-24830208960.000015</x:v>
      </x:c>
      <x:c r="AE367" s="87" t="n">
        <x:f>AD367/D367</x:f>
        <x:v>-2069184080.0000012</x:v>
      </x:c>
      <x:c r="AF367" s="87" t="n">
        <x:f>AD367/P367</x:f>
        <x:v>-689728026.6666671</x:v>
      </x:c>
      <x:c r="AG367" s="87" t="n">
        <x:f>IF(T367=0,0,AC367/T367/(1-'01 Base Costs'!$B$11))</x:f>
        <x:v>939635982.9615192</x:v>
      </x:c>
      <x:c r="AH367" s="88" t="str">
        <x:f>IF(AD367&gt;0,"PROFIT","LOSS")</x:f>
        <x:v>LOSS</x:v>
      </x:c>
      <x:c r="AI367" s="89" t="str">
        <x:v>Base 12M Omega. MCT sale 20% off. Extractor 3-for-2 sale.</x:v>
      </x:c>
    </x:row>
    <x:row r="368">
      <x:c r="A368" s="86" t="n">
        <x:v>366</x:v>
      </x:c>
      <x:c r="B368" s="88" t="str">
        <x:v>Base</x:v>
      </x:c>
      <x:c r="C368" s="88" t="str">
        <x:v>12M Omega</x:v>
      </x:c>
      <x:c r="D368" s="88" t="n">
        <x:v>12</x:v>
      </x:c>
      <x:c r="E368" s="88" t="n">
        <x:v>3</x:v>
      </x:c>
      <x:c r="F368" s="88" t="str">
        <x:v>NES MCT 20% sale</x:v>
      </x:c>
      <x:c r="G368" s="88" t="str">
        <x:v>NES 2-for-1 extractor sale</x:v>
      </x:c>
      <x:c r="H368" s="87" t="n">
        <x:f>'01 Base Costs'!$B$24</x:f>
        <x:v>3600</x:v>
      </x:c>
      <x:c r="I368" s="87" t="n">
        <x:f>'01 Base Costs'!$B$16*0.8</x:f>
        <x:v>388</x:v>
      </x:c>
      <x:c r="J368" s="87" t="n">
        <x:f>0</x:f>
        <x:v>0</x:v>
      </x:c>
      <x:c r="K368" s="87" t="n">
        <x:f>D368*(E368-1)*I368</x:f>
        <x:v>9312</x:v>
      </x:c>
      <x:c r="L368" s="87" t="n">
        <x:f>D368*(E368-1)*J368</x:f>
        <x:v>0</x:v>
      </x:c>
      <x:c r="M368" s="87" t="n">
        <x:f>0</x:f>
        <x:v>0</x:v>
      </x:c>
      <x:c r="N368" s="87" t="n">
        <x:f>H368+K368+M368</x:f>
        <x:v>12912</x:v>
      </x:c>
      <x:c r="O368" s="87" t="n">
        <x:f>N368*'01 Base Costs'!$B$7+L368</x:f>
        <x:v>62106720000</x:v>
      </x:c>
      <x:c r="P368" s="87" t="n">
        <x:f>D368*E368</x:f>
        <x:v>36</x:v>
      </x:c>
      <x:c r="Q368" s="87" t="n">
        <x:f>P368*'01 Base Costs'!$B$12</x:f>
        <x:v>69984000</x:v>
      </x:c>
      <x:c r="R368" s="87" t="n">
        <x:f>0</x:f>
        <x:v>0</x:v>
      </x:c>
      <x:c r="S368" s="87" t="n">
        <x:f>Q368+R368</x:f>
        <x:v>69984000</x:v>
      </x:c>
      <x:c r="T368" s="141" t="n">
        <x:f>S368/'01 Base Costs'!$B$14</x:f>
        <x:v>139.968</x:v>
      </x:c>
      <x:c r="U368" s="87" t="n">
        <x:f>INT(T368)</x:f>
        <x:v>139</x:v>
      </x:c>
      <x:c r="V368" s="87" t="n">
        <x:f>S368-U368*'01 Base Costs'!$B$14</x:f>
        <x:v>484000</x:v>
      </x:c>
      <x:c r="W368" s="120" t="n">
        <x:f>'01 Base Costs'!$B$17/2</x:f>
        <x:v>70</x:v>
      </x:c>
      <x:c r="X368" s="120" t="n">
        <x:f>0</x:f>
        <x:v>0</x:v>
      </x:c>
      <x:c r="Y368" s="87" t="n">
        <x:f>T368*(W368*'01 Base Costs'!$B$7+X368)</x:f>
        <x:v>47127225600</x:v>
      </x:c>
      <x:c r="Z368" s="87" t="n">
        <x:f>T368*'01 Base Costs'!$B$8</x:f>
        <x:v>105381907199.99998</x:v>
      </x:c>
      <x:c r="AA368" s="87" t="n">
        <x:f>Z368*'01 Base Costs'!$B$11</x:f>
        <x:v>5269095360</x:v>
      </x:c>
      <x:c r="AB368" s="87" t="n">
        <x:f>Z368-AA368</x:f>
        <x:v>100112811839.99998</x:v>
      </x:c>
      <x:c r="AC368" s="87" t="n">
        <x:f>O368+Y368</x:f>
        <x:v>109233945600</x:v>
      </x:c>
      <x:c r="AD368" s="87" t="n">
        <x:f>AB368-AC368</x:f>
        <x:v>-9121133760.000015</x:v>
      </x:c>
      <x:c r="AE368" s="87" t="n">
        <x:f>AD368/D368</x:f>
        <x:v>-760094480.0000013</x:v>
      </x:c>
      <x:c r="AF368" s="87" t="n">
        <x:f>AD368/P368</x:f>
        <x:v>-253364826.6666671</x:v>
      </x:c>
      <x:c r="AG368" s="87" t="n">
        <x:f>IF(T368=0,0,AC368/T368/(1-'01 Base Costs'!$B$11))</x:f>
        <x:v>821495632.0843261</x:v>
      </x:c>
      <x:c r="AH368" s="88" t="str">
        <x:f>IF(AD368&gt;0,"PROFIT","LOSS")</x:f>
        <x:v>LOSS</x:v>
      </x:c>
      <x:c r="AI368" s="89" t="str">
        <x:v>Base 12M Omega. MCT sale 20% off. Extractor 2-for-1 sale.</x:v>
      </x:c>
    </x:row>
    <x:row r="369">
      <x:c r="A369" s="86" t="n">
        <x:v>367</x:v>
      </x:c>
      <x:c r="B369" s="88" t="str">
        <x:v>Base</x:v>
      </x:c>
      <x:c r="C369" s="88" t="str">
        <x:v>12M Omega</x:v>
      </x:c>
      <x:c r="D369" s="88" t="n">
        <x:v>12</x:v>
      </x:c>
      <x:c r="E369" s="88" t="n">
        <x:v>3</x:v>
      </x:c>
      <x:c r="F369" s="88" t="str">
        <x:v>NES MCT 20% sale</x:v>
      </x:c>
      <x:c r="G369" s="88" t="str">
        <x:v>NES 10-pack extractor 20% sale</x:v>
      </x:c>
      <x:c r="H369" s="87" t="n">
        <x:f>'01 Base Costs'!$B$24</x:f>
        <x:v>3600</x:v>
      </x:c>
      <x:c r="I369" s="87" t="n">
        <x:f>'01 Base Costs'!$B$16*0.8</x:f>
        <x:v>388</x:v>
      </x:c>
      <x:c r="J369" s="87" t="n">
        <x:f>0</x:f>
        <x:v>0</x:v>
      </x:c>
      <x:c r="K369" s="87" t="n">
        <x:f>D369*(E369-1)*I369</x:f>
        <x:v>9312</x:v>
      </x:c>
      <x:c r="L369" s="87" t="n">
        <x:f>D369*(E369-1)*J369</x:f>
        <x:v>0</x:v>
      </x:c>
      <x:c r="M369" s="87" t="n">
        <x:f>0</x:f>
        <x:v>0</x:v>
      </x:c>
      <x:c r="N369" s="87" t="n">
        <x:f>H369+K369+M369</x:f>
        <x:v>12912</x:v>
      </x:c>
      <x:c r="O369" s="87" t="n">
        <x:f>N369*'01 Base Costs'!$B$7+L369</x:f>
        <x:v>62106720000</x:v>
      </x:c>
      <x:c r="P369" s="87" t="n">
        <x:f>D369*E369</x:f>
        <x:v>36</x:v>
      </x:c>
      <x:c r="Q369" s="87" t="n">
        <x:f>P369*'01 Base Costs'!$B$12</x:f>
        <x:v>69984000</x:v>
      </x:c>
      <x:c r="R369" s="87" t="n">
        <x:f>0</x:f>
        <x:v>0</x:v>
      </x:c>
      <x:c r="S369" s="87" t="n">
        <x:f>Q369+R369</x:f>
        <x:v>69984000</x:v>
      </x:c>
      <x:c r="T369" s="141" t="n">
        <x:f>S369/'01 Base Costs'!$B$14</x:f>
        <x:v>139.968</x:v>
      </x:c>
      <x:c r="U369" s="87" t="n">
        <x:f>INT(T369)</x:f>
        <x:v>139</x:v>
      </x:c>
      <x:c r="V369" s="87" t="n">
        <x:f>S369-U369*'01 Base Costs'!$B$14</x:f>
        <x:v>484000</x:v>
      </x:c>
      <x:c r="W369" s="120" t="n">
        <x:f>'01 Base Costs'!$B$19*0.8/10</x:f>
        <x:v>95.2</x:v>
      </x:c>
      <x:c r="X369" s="120" t="n">
        <x:f>0</x:f>
        <x:v>0</x:v>
      </x:c>
      <x:c r="Y369" s="87" t="n">
        <x:f>T369*(W369*'01 Base Costs'!$B$7+X369)</x:f>
        <x:v>64093026815.99999</x:v>
      </x:c>
      <x:c r="Z369" s="87" t="n">
        <x:f>T369*'01 Base Costs'!$B$8</x:f>
        <x:v>105381907199.99998</x:v>
      </x:c>
      <x:c r="AA369" s="87" t="n">
        <x:f>Z369*'01 Base Costs'!$B$11</x:f>
        <x:v>5269095360</x:v>
      </x:c>
      <x:c r="AB369" s="87" t="n">
        <x:f>Z369-AA369</x:f>
        <x:v>100112811839.99998</x:v>
      </x:c>
      <x:c r="AC369" s="87" t="n">
        <x:f>O369+Y369</x:f>
        <x:v>126199746816</x:v>
      </x:c>
      <x:c r="AD369" s="87" t="n">
        <x:f>AB369-AC369</x:f>
        <x:v>-26086934976.000015</x:v>
      </x:c>
      <x:c r="AE369" s="87" t="n">
        <x:f>AD369/D369</x:f>
        <x:v>-2173911248.0000014</x:v>
      </x:c>
      <x:c r="AF369" s="87" t="n">
        <x:f>AD369/P369</x:f>
        <x:v>-724637082.6666671</x:v>
      </x:c>
      <x:c r="AG369" s="87" t="n">
        <x:f>IF(T369=0,0,AC369/T369/(1-'01 Base Costs'!$B$11))</x:f>
        <x:v>949087211.0316945</x:v>
      </x:c>
      <x:c r="AH369" s="88" t="str">
        <x:f>IF(AD369&gt;0,"PROFIT","LOSS")</x:f>
        <x:v>LOSS</x:v>
      </x:c>
      <x:c r="AI369" s="89" t="str">
        <x:v>Base 12M Omega. MCT sale 20% off. 10-pack at 20% off.</x:v>
      </x:c>
    </x:row>
    <x:row r="370">
      <x:c r="A370" s="86" t="n">
        <x:v>368</x:v>
      </x:c>
      <x:c r="B370" s="88" t="str">
        <x:v>Base</x:v>
      </x:c>
      <x:c r="C370" s="88" t="str">
        <x:v>12M Omega</x:v>
      </x:c>
      <x:c r="D370" s="88" t="n">
        <x:v>12</x:v>
      </x:c>
      <x:c r="E370" s="88" t="n">
        <x:v>3</x:v>
      </x:c>
      <x:c r="F370" s="88" t="str">
        <x:v>NES MCT 20% sale</x:v>
      </x:c>
      <x:c r="G370" s="88" t="str">
        <x:v>NES 50-pack extractor 20% sale</x:v>
      </x:c>
      <x:c r="H370" s="87" t="n">
        <x:f>'01 Base Costs'!$B$24</x:f>
        <x:v>3600</x:v>
      </x:c>
      <x:c r="I370" s="87" t="n">
        <x:f>'01 Base Costs'!$B$16*0.8</x:f>
        <x:v>388</x:v>
      </x:c>
      <x:c r="J370" s="87" t="n">
        <x:f>0</x:f>
        <x:v>0</x:v>
      </x:c>
      <x:c r="K370" s="87" t="n">
        <x:f>D370*(E370-1)*I370</x:f>
        <x:v>9312</x:v>
      </x:c>
      <x:c r="L370" s="87" t="n">
        <x:f>D370*(E370-1)*J370</x:f>
        <x:v>0</x:v>
      </x:c>
      <x:c r="M370" s="87" t="n">
        <x:f>0</x:f>
        <x:v>0</x:v>
      </x:c>
      <x:c r="N370" s="87" t="n">
        <x:f>H370+K370+M370</x:f>
        <x:v>12912</x:v>
      </x:c>
      <x:c r="O370" s="87" t="n">
        <x:f>N370*'01 Base Costs'!$B$7+L370</x:f>
        <x:v>62106720000</x:v>
      </x:c>
      <x:c r="P370" s="87" t="n">
        <x:f>D370*E370</x:f>
        <x:v>36</x:v>
      </x:c>
      <x:c r="Q370" s="87" t="n">
        <x:f>P370*'01 Base Costs'!$B$12</x:f>
        <x:v>69984000</x:v>
      </x:c>
      <x:c r="R370" s="87" t="n">
        <x:f>0</x:f>
        <x:v>0</x:v>
      </x:c>
      <x:c r="S370" s="87" t="n">
        <x:f>Q370+R370</x:f>
        <x:v>69984000</x:v>
      </x:c>
      <x:c r="T370" s="141" t="n">
        <x:f>S370/'01 Base Costs'!$B$14</x:f>
        <x:v>139.968</x:v>
      </x:c>
      <x:c r="U370" s="87" t="n">
        <x:f>INT(T370)</x:f>
        <x:v>139</x:v>
      </x:c>
      <x:c r="V370" s="87" t="n">
        <x:f>S370-U370*'01 Base Costs'!$B$14</x:f>
        <x:v>484000</x:v>
      </x:c>
      <x:c r="W370" s="120" t="n">
        <x:f>'01 Base Costs'!$B$20*0.8/50</x:f>
        <x:v>89.6</x:v>
      </x:c>
      <x:c r="X370" s="120" t="n">
        <x:f>0</x:f>
        <x:v>0</x:v>
      </x:c>
      <x:c r="Y370" s="87" t="n">
        <x:f>T370*(W370*'01 Base Costs'!$B$7+X370)</x:f>
        <x:v>60322848767.99999</x:v>
      </x:c>
      <x:c r="Z370" s="87" t="n">
        <x:f>T370*'01 Base Costs'!$B$8</x:f>
        <x:v>105381907199.99998</x:v>
      </x:c>
      <x:c r="AA370" s="87" t="n">
        <x:f>Z370*'01 Base Costs'!$B$11</x:f>
        <x:v>5269095360</x:v>
      </x:c>
      <x:c r="AB370" s="87" t="n">
        <x:f>Z370-AA370</x:f>
        <x:v>100112811839.99998</x:v>
      </x:c>
      <x:c r="AC370" s="87" t="n">
        <x:f>O370+Y370</x:f>
        <x:v>122429568768</x:v>
      </x:c>
      <x:c r="AD370" s="87" t="n">
        <x:f>AB370-AC370</x:f>
        <x:v>-22316756928.000015</x:v>
      </x:c>
      <x:c r="AE370" s="87" t="n">
        <x:f>AD370/D370</x:f>
        <x:v>-1859729744.0000012</x:v>
      </x:c>
      <x:c r="AF370" s="87" t="n">
        <x:f>AD370/P370</x:f>
        <x:v>-619909914.6666671</x:v>
      </x:c>
      <x:c r="AG370" s="87" t="n">
        <x:f>IF(T370=0,0,AC370/T370/(1-'01 Base Costs'!$B$11))</x:f>
        <x:v>920733526.8211683</x:v>
      </x:c>
      <x:c r="AH370" s="88" t="str">
        <x:f>IF(AD370&gt;0,"PROFIT","LOSS")</x:f>
        <x:v>LOSS</x:v>
      </x:c>
      <x:c r="AI370" s="89" t="str">
        <x:v>Base 12M Omega. MCT sale 20% off. 50-pack at 20% off.</x:v>
      </x:c>
    </x:row>
    <x:row r="371">
      <x:c r="A371" s="86" t="n">
        <x:v>369</x:v>
      </x:c>
      <x:c r="B371" s="88" t="str">
        <x:v>Base</x:v>
      </x:c>
      <x:c r="C371" s="88" t="str">
        <x:v>12M Omega</x:v>
      </x:c>
      <x:c r="D371" s="88" t="n">
        <x:v>12</x:v>
      </x:c>
      <x:c r="E371" s="88" t="n">
        <x:v>3</x:v>
      </x:c>
      <x:c r="F371" s="88" t="str">
        <x:v>NES MCT 20% sale</x:v>
      </x:c>
      <x:c r="G371" s="88" t="str">
        <x:v>Market Skill Extractor</x:v>
      </x:c>
      <x:c r="H371" s="87" t="n">
        <x:f>'01 Base Costs'!$B$24</x:f>
        <x:v>3600</x:v>
      </x:c>
      <x:c r="I371" s="87" t="n">
        <x:f>'01 Base Costs'!$B$16*0.8</x:f>
        <x:v>388</x:v>
      </x:c>
      <x:c r="J371" s="87" t="n">
        <x:f>0</x:f>
        <x:v>0</x:v>
      </x:c>
      <x:c r="K371" s="87" t="n">
        <x:f>D371*(E371-1)*I371</x:f>
        <x:v>9312</x:v>
      </x:c>
      <x:c r="L371" s="87" t="n">
        <x:f>D371*(E371-1)*J371</x:f>
        <x:v>0</x:v>
      </x:c>
      <x:c r="M371" s="87" t="n">
        <x:f>0</x:f>
        <x:v>0</x:v>
      </x:c>
      <x:c r="N371" s="87" t="n">
        <x:f>H371+K371+M371</x:f>
        <x:v>12912</x:v>
      </x:c>
      <x:c r="O371" s="87" t="n">
        <x:f>N371*'01 Base Costs'!$B$7+L371</x:f>
        <x:v>62106720000</x:v>
      </x:c>
      <x:c r="P371" s="87" t="n">
        <x:f>D371*E371</x:f>
        <x:v>36</x:v>
      </x:c>
      <x:c r="Q371" s="87" t="n">
        <x:f>P371*'01 Base Costs'!$B$12</x:f>
        <x:v>69984000</x:v>
      </x:c>
      <x:c r="R371" s="87" t="n">
        <x:f>0</x:f>
        <x:v>0</x:v>
      </x:c>
      <x:c r="S371" s="87" t="n">
        <x:f>Q371+R371</x:f>
        <x:v>69984000</x:v>
      </x:c>
      <x:c r="T371" s="141" t="n">
        <x:f>S371/'01 Base Costs'!$B$14</x:f>
        <x:v>139.968</x:v>
      </x:c>
      <x:c r="U371" s="87" t="n">
        <x:f>INT(T371)</x:f>
        <x:v>139</x:v>
      </x:c>
      <x:c r="V371" s="87" t="n">
        <x:f>S371-U371*'01 Base Costs'!$B$14</x:f>
        <x:v>484000</x:v>
      </x:c>
      <x:c r="W371" s="120" t="n">
        <x:f>0</x:f>
        <x:v>0</x:v>
      </x:c>
      <x:c r="X371" s="120" t="n">
        <x:f>'01 Base Costs'!$B$9</x:f>
        <x:v>463500000</x:v>
      </x:c>
      <x:c r="Y371" s="87" t="n">
        <x:f>T371*(W371*'01 Base Costs'!$B$7+X371)</x:f>
        <x:v>64875167999.99999</x:v>
      </x:c>
      <x:c r="Z371" s="87" t="n">
        <x:f>T371*'01 Base Costs'!$B$8</x:f>
        <x:v>105381907199.99998</x:v>
      </x:c>
      <x:c r="AA371" s="87" t="n">
        <x:f>Z371*'01 Base Costs'!$B$11</x:f>
        <x:v>5269095360</x:v>
      </x:c>
      <x:c r="AB371" s="87" t="n">
        <x:f>Z371-AA371</x:f>
        <x:v>100112811839.99998</x:v>
      </x:c>
      <x:c r="AC371" s="87" t="n">
        <x:f>O371+Y371</x:f>
        <x:v>126981888000</x:v>
      </x:c>
      <x:c r="AD371" s="87" t="n">
        <x:f>AB371-AC371</x:f>
        <x:v>-26869076160.000015</x:v>
      </x:c>
      <x:c r="AE371" s="87" t="n">
        <x:f>AD371/D371</x:f>
        <x:v>-2239089680.0000014</x:v>
      </x:c>
      <x:c r="AF371" s="87" t="n">
        <x:f>AD371/P371</x:f>
        <x:v>-746363226.6666671</x:v>
      </x:c>
      <x:c r="AG371" s="87" t="n">
        <x:f>IF(T371=0,0,AC371/T371/(1-'01 Base Costs'!$B$11))</x:f>
        <x:v>954969316.2948525</x:v>
      </x:c>
      <x:c r="AH371" s="88" t="str">
        <x:f>IF(AD371&gt;0,"PROFIT","LOSS")</x:f>
        <x:v>LOSS</x:v>
      </x:c>
      <x:c r="AI371" s="89" t="str">
        <x:v>Base 12M Omega. MCT sale 20% off. Extractor bought on market with ISK.</x:v>
      </x:c>
    </x:row>
    <x:row r="372">
      <x:c r="A372" s="86" t="n">
        <x:v>370</x:v>
      </x:c>
      <x:c r="B372" s="88" t="str">
        <x:v>Base</x:v>
      </x:c>
      <x:c r="C372" s="88" t="str">
        <x:v>12M Omega</x:v>
      </x:c>
      <x:c r="D372" s="88" t="n">
        <x:v>12</x:v>
      </x:c>
      <x:c r="E372" s="88" t="n">
        <x:v>3</x:v>
      </x:c>
      <x:c r="F372" s="88" t="str">
        <x:v>NES MCT 30% sale</x:v>
      </x:c>
      <x:c r="G372" s="88" t="str">
        <x:v>NES single extractor</x:v>
      </x:c>
      <x:c r="H372" s="87" t="n">
        <x:f>'01 Base Costs'!$B$24</x:f>
        <x:v>3600</x:v>
      </x:c>
      <x:c r="I372" s="87" t="n">
        <x:f>'01 Base Costs'!$B$16*0.7</x:f>
        <x:v>339.5</x:v>
      </x:c>
      <x:c r="J372" s="87" t="n">
        <x:f>0</x:f>
        <x:v>0</x:v>
      </x:c>
      <x:c r="K372" s="87" t="n">
        <x:f>D372*(E372-1)*I372</x:f>
        <x:v>8148</x:v>
      </x:c>
      <x:c r="L372" s="87" t="n">
        <x:f>D372*(E372-1)*J372</x:f>
        <x:v>0</x:v>
      </x:c>
      <x:c r="M372" s="87" t="n">
        <x:f>0</x:f>
        <x:v>0</x:v>
      </x:c>
      <x:c r="N372" s="87" t="n">
        <x:f>H372+K372+M372</x:f>
        <x:v>11748</x:v>
      </x:c>
      <x:c r="O372" s="87" t="n">
        <x:f>N372*'01 Base Costs'!$B$7+L372</x:f>
        <x:v>56507880000</x:v>
      </x:c>
      <x:c r="P372" s="87" t="n">
        <x:f>D372*E372</x:f>
        <x:v>36</x:v>
      </x:c>
      <x:c r="Q372" s="87" t="n">
        <x:f>P372*'01 Base Costs'!$B$12</x:f>
        <x:v>69984000</x:v>
      </x:c>
      <x:c r="R372" s="87" t="n">
        <x:f>0</x:f>
        <x:v>0</x:v>
      </x:c>
      <x:c r="S372" s="87" t="n">
        <x:f>Q372+R372</x:f>
        <x:v>69984000</x:v>
      </x:c>
      <x:c r="T372" s="141" t="n">
        <x:f>S372/'01 Base Costs'!$B$14</x:f>
        <x:v>139.968</x:v>
      </x:c>
      <x:c r="U372" s="87" t="n">
        <x:f>INT(T372)</x:f>
        <x:v>139</x:v>
      </x:c>
      <x:c r="V372" s="87" t="n">
        <x:f>S372-U372*'01 Base Costs'!$B$14</x:f>
        <x:v>484000</x:v>
      </x:c>
      <x:c r="W372" s="120" t="n">
        <x:f>'01 Base Costs'!$B$17</x:f>
        <x:v>140</x:v>
      </x:c>
      <x:c r="X372" s="120" t="n">
        <x:f>0</x:f>
        <x:v>0</x:v>
      </x:c>
      <x:c r="Y372" s="87" t="n">
        <x:f>T372*(W372*'01 Base Costs'!$B$7+X372)</x:f>
        <x:v>94254451200</x:v>
      </x:c>
      <x:c r="Z372" s="87" t="n">
        <x:f>T372*'01 Base Costs'!$B$8</x:f>
        <x:v>105381907199.99998</x:v>
      </x:c>
      <x:c r="AA372" s="87" t="n">
        <x:f>Z372*'01 Base Costs'!$B$11</x:f>
        <x:v>5269095360</x:v>
      </x:c>
      <x:c r="AB372" s="87" t="n">
        <x:f>Z372-AA372</x:f>
        <x:v>100112811839.99998</x:v>
      </x:c>
      <x:c r="AC372" s="87" t="n">
        <x:f>O372+Y372</x:f>
        <x:v>150762331200</x:v>
      </x:c>
      <x:c r="AD372" s="87" t="n">
        <x:f>AB372-AC372</x:f>
        <x:v>-50649519360.000015</x:v>
      </x:c>
      <x:c r="AE372" s="87" t="n">
        <x:f>AD372/D372</x:f>
        <x:v>-4220793280.0000014</x:v>
      </x:c>
      <x:c r="AF372" s="87" t="n">
        <x:f>AD372/P372</x:f>
        <x:v>-1406931093.3333337</x:v>
      </x:c>
      <x:c r="AG372" s="87" t="n">
        <x:f>IF(T372=0,0,AC372/T372/(1-'01 Base Costs'!$B$11))</x:f>
        <x:v>1133810519.0960941</x:v>
      </x:c>
      <x:c r="AH372" s="88" t="str">
        <x:f>IF(AD372&gt;0,"PROFIT","LOSS")</x:f>
        <x:v>LOSS</x:v>
      </x:c>
      <x:c r="AI372" s="89" t="str">
        <x:v>Base 12M Omega. MCT sale 30% off. Base single extractor.</x:v>
      </x:c>
    </x:row>
    <x:row r="373">
      <x:c r="A373" s="86" t="n">
        <x:v>371</x:v>
      </x:c>
      <x:c r="B373" s="88" t="str">
        <x:v>Base</x:v>
      </x:c>
      <x:c r="C373" s="88" t="str">
        <x:v>12M Omega</x:v>
      </x:c>
      <x:c r="D373" s="88" t="n">
        <x:v>12</x:v>
      </x:c>
      <x:c r="E373" s="88" t="n">
        <x:v>3</x:v>
      </x:c>
      <x:c r="F373" s="88" t="str">
        <x:v>NES MCT 30% sale</x:v>
      </x:c>
      <x:c r="G373" s="88" t="str">
        <x:v>NES 5-pack extractor</x:v>
      </x:c>
      <x:c r="H373" s="87" t="n">
        <x:f>'01 Base Costs'!$B$24</x:f>
        <x:v>3600</x:v>
      </x:c>
      <x:c r="I373" s="87" t="n">
        <x:f>'01 Base Costs'!$B$16*0.7</x:f>
        <x:v>339.5</x:v>
      </x:c>
      <x:c r="J373" s="87" t="n">
        <x:f>0</x:f>
        <x:v>0</x:v>
      </x:c>
      <x:c r="K373" s="87" t="n">
        <x:f>D373*(E373-1)*I373</x:f>
        <x:v>8148</x:v>
      </x:c>
      <x:c r="L373" s="87" t="n">
        <x:f>D373*(E373-1)*J373</x:f>
        <x:v>0</x:v>
      </x:c>
      <x:c r="M373" s="87" t="n">
        <x:f>0</x:f>
        <x:v>0</x:v>
      </x:c>
      <x:c r="N373" s="87" t="n">
        <x:f>H373+K373+M373</x:f>
        <x:v>11748</x:v>
      </x:c>
      <x:c r="O373" s="87" t="n">
        <x:f>N373*'01 Base Costs'!$B$7+L373</x:f>
        <x:v>56507880000</x:v>
      </x:c>
      <x:c r="P373" s="87" t="n">
        <x:f>D373*E373</x:f>
        <x:v>36</x:v>
      </x:c>
      <x:c r="Q373" s="87" t="n">
        <x:f>P373*'01 Base Costs'!$B$12</x:f>
        <x:v>69984000</x:v>
      </x:c>
      <x:c r="R373" s="87" t="n">
        <x:f>0</x:f>
        <x:v>0</x:v>
      </x:c>
      <x:c r="S373" s="87" t="n">
        <x:f>Q373+R373</x:f>
        <x:v>69984000</x:v>
      </x:c>
      <x:c r="T373" s="141" t="n">
        <x:f>S373/'01 Base Costs'!$B$14</x:f>
        <x:v>139.968</x:v>
      </x:c>
      <x:c r="U373" s="87" t="n">
        <x:f>INT(T373)</x:f>
        <x:v>139</x:v>
      </x:c>
      <x:c r="V373" s="87" t="n">
        <x:f>S373-U373*'01 Base Costs'!$B$14</x:f>
        <x:v>484000</x:v>
      </x:c>
      <x:c r="W373" s="120" t="n">
        <x:f>'01 Base Costs'!$B$18/5</x:f>
        <x:v>126</x:v>
      </x:c>
      <x:c r="X373" s="120" t="n">
        <x:f>0</x:f>
        <x:v>0</x:v>
      </x:c>
      <x:c r="Y373" s="87" t="n">
        <x:f>T373*(W373*'01 Base Costs'!$B$7+X373)</x:f>
        <x:v>84829006080</x:v>
      </x:c>
      <x:c r="Z373" s="87" t="n">
        <x:f>T373*'01 Base Costs'!$B$8</x:f>
        <x:v>105381907199.99998</x:v>
      </x:c>
      <x:c r="AA373" s="87" t="n">
        <x:f>Z373*'01 Base Costs'!$B$11</x:f>
        <x:v>5269095360</x:v>
      </x:c>
      <x:c r="AB373" s="87" t="n">
        <x:f>Z373-AA373</x:f>
        <x:v>100112811839.99998</x:v>
      </x:c>
      <x:c r="AC373" s="87" t="n">
        <x:f>O373+Y373</x:f>
        <x:v>141336886080</x:v>
      </x:c>
      <x:c r="AD373" s="87" t="n">
        <x:f>AB373-AC373</x:f>
        <x:v>-41224074240.000015</x:v>
      </x:c>
      <x:c r="AE373" s="87" t="n">
        <x:f>AD373/D373</x:f>
        <x:v>-3435339520.0000014</x:v>
      </x:c>
      <x:c r="AF373" s="87" t="n">
        <x:f>AD373/P373</x:f>
        <x:v>-1145113173.3333337</x:v>
      </x:c>
      <x:c r="AG373" s="87" t="n">
        <x:f>IF(T373=0,0,AC373/T373/(1-'01 Base Costs'!$B$11))</x:f>
        <x:v>1062926308.5697784</x:v>
      </x:c>
      <x:c r="AH373" s="88" t="str">
        <x:f>IF(AD373&gt;0,"PROFIT","LOSS")</x:f>
        <x:v>LOSS</x:v>
      </x:c>
      <x:c r="AI373" s="89" t="str">
        <x:v>Base 12M Omega. MCT sale 30% off. Base 5-pack average.</x:v>
      </x:c>
    </x:row>
    <x:row r="374">
      <x:c r="A374" s="86" t="n">
        <x:v>372</x:v>
      </x:c>
      <x:c r="B374" s="88" t="str">
        <x:v>Base</x:v>
      </x:c>
      <x:c r="C374" s="88" t="str">
        <x:v>12M Omega</x:v>
      </x:c>
      <x:c r="D374" s="88" t="n">
        <x:v>12</x:v>
      </x:c>
      <x:c r="E374" s="88" t="n">
        <x:v>3</x:v>
      </x:c>
      <x:c r="F374" s="88" t="str">
        <x:v>NES MCT 30% sale</x:v>
      </x:c>
      <x:c r="G374" s="88" t="str">
        <x:v>NES 10-pack extractor</x:v>
      </x:c>
      <x:c r="H374" s="87" t="n">
        <x:f>'01 Base Costs'!$B$24</x:f>
        <x:v>3600</x:v>
      </x:c>
      <x:c r="I374" s="87" t="n">
        <x:f>'01 Base Costs'!$B$16*0.7</x:f>
        <x:v>339.5</x:v>
      </x:c>
      <x:c r="J374" s="87" t="n">
        <x:f>0</x:f>
        <x:v>0</x:v>
      </x:c>
      <x:c r="K374" s="87" t="n">
        <x:f>D374*(E374-1)*I374</x:f>
        <x:v>8148</x:v>
      </x:c>
      <x:c r="L374" s="87" t="n">
        <x:f>D374*(E374-1)*J374</x:f>
        <x:v>0</x:v>
      </x:c>
      <x:c r="M374" s="87" t="n">
        <x:f>0</x:f>
        <x:v>0</x:v>
      </x:c>
      <x:c r="N374" s="87" t="n">
        <x:f>H374+K374+M374</x:f>
        <x:v>11748</x:v>
      </x:c>
      <x:c r="O374" s="87" t="n">
        <x:f>N374*'01 Base Costs'!$B$7+L374</x:f>
        <x:v>56507880000</x:v>
      </x:c>
      <x:c r="P374" s="87" t="n">
        <x:f>D374*E374</x:f>
        <x:v>36</x:v>
      </x:c>
      <x:c r="Q374" s="87" t="n">
        <x:f>P374*'01 Base Costs'!$B$12</x:f>
        <x:v>69984000</x:v>
      </x:c>
      <x:c r="R374" s="87" t="n">
        <x:f>0</x:f>
        <x:v>0</x:v>
      </x:c>
      <x:c r="S374" s="87" t="n">
        <x:f>Q374+R374</x:f>
        <x:v>69984000</x:v>
      </x:c>
      <x:c r="T374" s="141" t="n">
        <x:f>S374/'01 Base Costs'!$B$14</x:f>
        <x:v>139.968</x:v>
      </x:c>
      <x:c r="U374" s="87" t="n">
        <x:f>INT(T374)</x:f>
        <x:v>139</x:v>
      </x:c>
      <x:c r="V374" s="87" t="n">
        <x:f>S374-U374*'01 Base Costs'!$B$14</x:f>
        <x:v>484000</x:v>
      </x:c>
      <x:c r="W374" s="120" t="n">
        <x:f>'01 Base Costs'!$B$19/10</x:f>
        <x:v>119</x:v>
      </x:c>
      <x:c r="X374" s="120" t="n">
        <x:f>0</x:f>
        <x:v>0</x:v>
      </x:c>
      <x:c r="Y374" s="87" t="n">
        <x:f>T374*(W374*'01 Base Costs'!$B$7+X374)</x:f>
        <x:v>80116283520</x:v>
      </x:c>
      <x:c r="Z374" s="87" t="n">
        <x:f>T374*'01 Base Costs'!$B$8</x:f>
        <x:v>105381907199.99998</x:v>
      </x:c>
      <x:c r="AA374" s="87" t="n">
        <x:f>Z374*'01 Base Costs'!$B$11</x:f>
        <x:v>5269095360</x:v>
      </x:c>
      <x:c r="AB374" s="87" t="n">
        <x:f>Z374-AA374</x:f>
        <x:v>100112811839.99998</x:v>
      </x:c>
      <x:c r="AC374" s="87" t="n">
        <x:f>O374+Y374</x:f>
        <x:v>136624163520</x:v>
      </x:c>
      <x:c r="AD374" s="87" t="n">
        <x:f>AB374-AC374</x:f>
        <x:v>-36511351680.000015</x:v>
      </x:c>
      <x:c r="AE374" s="87" t="n">
        <x:f>AD374/D374</x:f>
        <x:v>-3042612640.0000014</x:v>
      </x:c>
      <x:c r="AF374" s="87" t="n">
        <x:f>AD374/P374</x:f>
        <x:v>-1014204213.3333337</x:v>
      </x:c>
      <x:c r="AG374" s="87" t="n">
        <x:f>IF(T374=0,0,AC374/T374/(1-'01 Base Costs'!$B$11))</x:f>
        <x:v>1027484203.3066206</x:v>
      </x:c>
      <x:c r="AH374" s="88" t="str">
        <x:f>IF(AD374&gt;0,"PROFIT","LOSS")</x:f>
        <x:v>LOSS</x:v>
      </x:c>
      <x:c r="AI374" s="89" t="str">
        <x:v>Base 12M Omega. MCT sale 30% off. Base 10-pack average.</x:v>
      </x:c>
    </x:row>
    <x:row r="375">
      <x:c r="A375" s="86" t="n">
        <x:v>373</x:v>
      </x:c>
      <x:c r="B375" s="88" t="str">
        <x:v>Base</x:v>
      </x:c>
      <x:c r="C375" s="88" t="str">
        <x:v>12M Omega</x:v>
      </x:c>
      <x:c r="D375" s="88" t="n">
        <x:v>12</x:v>
      </x:c>
      <x:c r="E375" s="88" t="n">
        <x:v>3</x:v>
      </x:c>
      <x:c r="F375" s="88" t="str">
        <x:v>NES MCT 30% sale</x:v>
      </x:c>
      <x:c r="G375" s="88" t="str">
        <x:v>NES 50-pack extractor</x:v>
      </x:c>
      <x:c r="H375" s="87" t="n">
        <x:f>'01 Base Costs'!$B$24</x:f>
        <x:v>3600</x:v>
      </x:c>
      <x:c r="I375" s="87" t="n">
        <x:f>'01 Base Costs'!$B$16*0.7</x:f>
        <x:v>339.5</x:v>
      </x:c>
      <x:c r="J375" s="87" t="n">
        <x:f>0</x:f>
        <x:v>0</x:v>
      </x:c>
      <x:c r="K375" s="87" t="n">
        <x:f>D375*(E375-1)*I375</x:f>
        <x:v>8148</x:v>
      </x:c>
      <x:c r="L375" s="87" t="n">
        <x:f>D375*(E375-1)*J375</x:f>
        <x:v>0</x:v>
      </x:c>
      <x:c r="M375" s="87" t="n">
        <x:f>0</x:f>
        <x:v>0</x:v>
      </x:c>
      <x:c r="N375" s="87" t="n">
        <x:f>H375+K375+M375</x:f>
        <x:v>11748</x:v>
      </x:c>
      <x:c r="O375" s="87" t="n">
        <x:f>N375*'01 Base Costs'!$B$7+L375</x:f>
        <x:v>56507880000</x:v>
      </x:c>
      <x:c r="P375" s="87" t="n">
        <x:f>D375*E375</x:f>
        <x:v>36</x:v>
      </x:c>
      <x:c r="Q375" s="87" t="n">
        <x:f>P375*'01 Base Costs'!$B$12</x:f>
        <x:v>69984000</x:v>
      </x:c>
      <x:c r="R375" s="87" t="n">
        <x:f>0</x:f>
        <x:v>0</x:v>
      </x:c>
      <x:c r="S375" s="87" t="n">
        <x:f>Q375+R375</x:f>
        <x:v>69984000</x:v>
      </x:c>
      <x:c r="T375" s="141" t="n">
        <x:f>S375/'01 Base Costs'!$B$14</x:f>
        <x:v>139.968</x:v>
      </x:c>
      <x:c r="U375" s="87" t="n">
        <x:f>INT(T375)</x:f>
        <x:v>139</x:v>
      </x:c>
      <x:c r="V375" s="87" t="n">
        <x:f>S375-U375*'01 Base Costs'!$B$14</x:f>
        <x:v>484000</x:v>
      </x:c>
      <x:c r="W375" s="120" t="n">
        <x:f>'01 Base Costs'!$B$20/50</x:f>
        <x:v>112</x:v>
      </x:c>
      <x:c r="X375" s="120" t="n">
        <x:f>0</x:f>
        <x:v>0</x:v>
      </x:c>
      <x:c r="Y375" s="87" t="n">
        <x:f>T375*(W375*'01 Base Costs'!$B$7+X375)</x:f>
        <x:v>75403560960</x:v>
      </x:c>
      <x:c r="Z375" s="87" t="n">
        <x:f>T375*'01 Base Costs'!$B$8</x:f>
        <x:v>105381907199.99998</x:v>
      </x:c>
      <x:c r="AA375" s="87" t="n">
        <x:f>Z375*'01 Base Costs'!$B$11</x:f>
        <x:v>5269095360</x:v>
      </x:c>
      <x:c r="AB375" s="87" t="n">
        <x:f>Z375-AA375</x:f>
        <x:v>100112811839.99998</x:v>
      </x:c>
      <x:c r="AC375" s="87" t="n">
        <x:f>O375+Y375</x:f>
        <x:v>131911440960</x:v>
      </x:c>
      <x:c r="AD375" s="87" t="n">
        <x:f>AB375-AC375</x:f>
        <x:v>-31798629120.000015</x:v>
      </x:c>
      <x:c r="AE375" s="87" t="n">
        <x:f>AD375/D375</x:f>
        <x:v>-2649885760.0000014</x:v>
      </x:c>
      <x:c r="AF375" s="87" t="n">
        <x:f>AD375/P375</x:f>
        <x:v>-883295253.3333337</x:v>
      </x:c>
      <x:c r="AG375" s="87" t="n">
        <x:f>IF(T375=0,0,AC375/T375/(1-'01 Base Costs'!$B$11))</x:f>
        <x:v>992042098.0434626</x:v>
      </x:c>
      <x:c r="AH375" s="88" t="str">
        <x:f>IF(AD375&gt;0,"PROFIT","LOSS")</x:f>
        <x:v>LOSS</x:v>
      </x:c>
      <x:c r="AI375" s="89" t="str">
        <x:v>Base 12M Omega. MCT sale 30% off. Base 50-pack average.</x:v>
      </x:c>
    </x:row>
    <x:row r="376">
      <x:c r="A376" s="86" t="n">
        <x:v>374</x:v>
      </x:c>
      <x:c r="B376" s="88" t="str">
        <x:v>Base</x:v>
      </x:c>
      <x:c r="C376" s="88" t="str">
        <x:v>12M Omega</x:v>
      </x:c>
      <x:c r="D376" s="88" t="n">
        <x:v>12</x:v>
      </x:c>
      <x:c r="E376" s="88" t="n">
        <x:v>3</x:v>
      </x:c>
      <x:c r="F376" s="88" t="str">
        <x:v>NES MCT 30% sale</x:v>
      </x:c>
      <x:c r="G376" s="88" t="str">
        <x:v>NES 3-for-2 extractor sale</x:v>
      </x:c>
      <x:c r="H376" s="87" t="n">
        <x:f>'01 Base Costs'!$B$24</x:f>
        <x:v>3600</x:v>
      </x:c>
      <x:c r="I376" s="87" t="n">
        <x:f>'01 Base Costs'!$B$16*0.7</x:f>
        <x:v>339.5</x:v>
      </x:c>
      <x:c r="J376" s="87" t="n">
        <x:f>0</x:f>
        <x:v>0</x:v>
      </x:c>
      <x:c r="K376" s="87" t="n">
        <x:f>D376*(E376-1)*I376</x:f>
        <x:v>8148</x:v>
      </x:c>
      <x:c r="L376" s="87" t="n">
        <x:f>D376*(E376-1)*J376</x:f>
        <x:v>0</x:v>
      </x:c>
      <x:c r="M376" s="87" t="n">
        <x:f>0</x:f>
        <x:v>0</x:v>
      </x:c>
      <x:c r="N376" s="87" t="n">
        <x:f>H376+K376+M376</x:f>
        <x:v>11748</x:v>
      </x:c>
      <x:c r="O376" s="87" t="n">
        <x:f>N376*'01 Base Costs'!$B$7+L376</x:f>
        <x:v>56507880000</x:v>
      </x:c>
      <x:c r="P376" s="87" t="n">
        <x:f>D376*E376</x:f>
        <x:v>36</x:v>
      </x:c>
      <x:c r="Q376" s="87" t="n">
        <x:f>P376*'01 Base Costs'!$B$12</x:f>
        <x:v>69984000</x:v>
      </x:c>
      <x:c r="R376" s="87" t="n">
        <x:f>0</x:f>
        <x:v>0</x:v>
      </x:c>
      <x:c r="S376" s="87" t="n">
        <x:f>Q376+R376</x:f>
        <x:v>69984000</x:v>
      </x:c>
      <x:c r="T376" s="141" t="n">
        <x:f>S376/'01 Base Costs'!$B$14</x:f>
        <x:v>139.968</x:v>
      </x:c>
      <x:c r="U376" s="87" t="n">
        <x:f>INT(T376)</x:f>
        <x:v>139</x:v>
      </x:c>
      <x:c r="V376" s="87" t="n">
        <x:f>S376-U376*'01 Base Costs'!$B$14</x:f>
        <x:v>484000</x:v>
      </x:c>
      <x:c r="W376" s="120" t="n">
        <x:f>'01 Base Costs'!$B$17*2/3</x:f>
        <x:v>93.33333333333333</x:v>
      </x:c>
      <x:c r="X376" s="120" t="n">
        <x:f>0</x:f>
        <x:v>0</x:v>
      </x:c>
      <x:c r="Y376" s="87" t="n">
        <x:f>T376*(W376*'01 Base Costs'!$B$7+X376)</x:f>
        <x:v>62836300799.99999</x:v>
      </x:c>
      <x:c r="Z376" s="87" t="n">
        <x:f>T376*'01 Base Costs'!$B$8</x:f>
        <x:v>105381907199.99998</x:v>
      </x:c>
      <x:c r="AA376" s="87" t="n">
        <x:f>Z376*'01 Base Costs'!$B$11</x:f>
        <x:v>5269095360</x:v>
      </x:c>
      <x:c r="AB376" s="87" t="n">
        <x:f>Z376-AA376</x:f>
        <x:v>100112811839.99998</x:v>
      </x:c>
      <x:c r="AC376" s="87" t="n">
        <x:f>O376+Y376</x:f>
        <x:v>119344180800</x:v>
      </x:c>
      <x:c r="AD376" s="87" t="n">
        <x:f>AB376-AC376</x:f>
        <x:v>-19231368960.000015</x:v>
      </x:c>
      <x:c r="AE376" s="87" t="n">
        <x:f>AD376/D376</x:f>
        <x:v>-1602614080.0000012</x:v>
      </x:c>
      <x:c r="AF376" s="87" t="n">
        <x:f>AD376/P376</x:f>
        <x:v>-534204693.33333373</x:v>
      </x:c>
      <x:c r="AG376" s="87" t="n">
        <x:f>IF(T376=0,0,AC376/T376/(1-'01 Base Costs'!$B$11))</x:f>
        <x:v>897529817.3417083</x:v>
      </x:c>
      <x:c r="AH376" s="88" t="str">
        <x:f>IF(AD376&gt;0,"PROFIT","LOSS")</x:f>
        <x:v>LOSS</x:v>
      </x:c>
      <x:c r="AI376" s="89" t="str">
        <x:v>Base 12M Omega. MCT sale 30% off. Extractor 3-for-2 sale.</x:v>
      </x:c>
    </x:row>
    <x:row r="377">
      <x:c r="A377" s="86" t="n">
        <x:v>375</x:v>
      </x:c>
      <x:c r="B377" s="88" t="str">
        <x:v>Base</x:v>
      </x:c>
      <x:c r="C377" s="88" t="str">
        <x:v>12M Omega</x:v>
      </x:c>
      <x:c r="D377" s="88" t="n">
        <x:v>12</x:v>
      </x:c>
      <x:c r="E377" s="88" t="n">
        <x:v>3</x:v>
      </x:c>
      <x:c r="F377" s="88" t="str">
        <x:v>NES MCT 30% sale</x:v>
      </x:c>
      <x:c r="G377" s="88" t="str">
        <x:v>NES 2-for-1 extractor sale</x:v>
      </x:c>
      <x:c r="H377" s="87" t="n">
        <x:f>'01 Base Costs'!$B$24</x:f>
        <x:v>3600</x:v>
      </x:c>
      <x:c r="I377" s="87" t="n">
        <x:f>'01 Base Costs'!$B$16*0.7</x:f>
        <x:v>339.5</x:v>
      </x:c>
      <x:c r="J377" s="87" t="n">
        <x:f>0</x:f>
        <x:v>0</x:v>
      </x:c>
      <x:c r="K377" s="87" t="n">
        <x:f>D377*(E377-1)*I377</x:f>
        <x:v>8148</x:v>
      </x:c>
      <x:c r="L377" s="87" t="n">
        <x:f>D377*(E377-1)*J377</x:f>
        <x:v>0</x:v>
      </x:c>
      <x:c r="M377" s="87" t="n">
        <x:f>0</x:f>
        <x:v>0</x:v>
      </x:c>
      <x:c r="N377" s="87" t="n">
        <x:f>H377+K377+M377</x:f>
        <x:v>11748</x:v>
      </x:c>
      <x:c r="O377" s="87" t="n">
        <x:f>N377*'01 Base Costs'!$B$7+L377</x:f>
        <x:v>56507880000</x:v>
      </x:c>
      <x:c r="P377" s="87" t="n">
        <x:f>D377*E377</x:f>
        <x:v>36</x:v>
      </x:c>
      <x:c r="Q377" s="87" t="n">
        <x:f>P377*'01 Base Costs'!$B$12</x:f>
        <x:v>69984000</x:v>
      </x:c>
      <x:c r="R377" s="87" t="n">
        <x:f>0</x:f>
        <x:v>0</x:v>
      </x:c>
      <x:c r="S377" s="87" t="n">
        <x:f>Q377+R377</x:f>
        <x:v>69984000</x:v>
      </x:c>
      <x:c r="T377" s="141" t="n">
        <x:f>S377/'01 Base Costs'!$B$14</x:f>
        <x:v>139.968</x:v>
      </x:c>
      <x:c r="U377" s="87" t="n">
        <x:f>INT(T377)</x:f>
        <x:v>139</x:v>
      </x:c>
      <x:c r="V377" s="87" t="n">
        <x:f>S377-U377*'01 Base Costs'!$B$14</x:f>
        <x:v>484000</x:v>
      </x:c>
      <x:c r="W377" s="120" t="n">
        <x:f>'01 Base Costs'!$B$17/2</x:f>
        <x:v>70</x:v>
      </x:c>
      <x:c r="X377" s="120" t="n">
        <x:f>0</x:f>
        <x:v>0</x:v>
      </x:c>
      <x:c r="Y377" s="87" t="n">
        <x:f>T377*(W377*'01 Base Costs'!$B$7+X377)</x:f>
        <x:v>47127225600</x:v>
      </x:c>
      <x:c r="Z377" s="87" t="n">
        <x:f>T377*'01 Base Costs'!$B$8</x:f>
        <x:v>105381907199.99998</x:v>
      </x:c>
      <x:c r="AA377" s="87" t="n">
        <x:f>Z377*'01 Base Costs'!$B$11</x:f>
        <x:v>5269095360</x:v>
      </x:c>
      <x:c r="AB377" s="87" t="n">
        <x:f>Z377-AA377</x:f>
        <x:v>100112811839.99998</x:v>
      </x:c>
      <x:c r="AC377" s="87" t="n">
        <x:f>O377+Y377</x:f>
        <x:v>103635105600</x:v>
      </x:c>
      <x:c r="AD377" s="87" t="n">
        <x:f>AB377-AC377</x:f>
        <x:v>-3522293760.0000153</x:v>
      </x:c>
      <x:c r="AE377" s="87" t="n">
        <x:f>AD377/D377</x:f>
        <x:v>-293524480.00000125</x:v>
      </x:c>
      <x:c r="AF377" s="87" t="n">
        <x:f>AD377/P377</x:f>
        <x:v>-97841493.33333376</x:v>
      </x:c>
      <x:c r="AG377" s="87" t="n">
        <x:f>IF(T377=0,0,AC377/T377/(1-'01 Base Costs'!$B$11))</x:f>
        <x:v>779389466.4645153</x:v>
      </x:c>
      <x:c r="AH377" s="88" t="str">
        <x:f>IF(AD377&gt;0,"PROFIT","LOSS")</x:f>
        <x:v>LOSS</x:v>
      </x:c>
      <x:c r="AI377" s="89" t="str">
        <x:v>Base 12M Omega. MCT sale 30% off. Extractor 2-for-1 sale.</x:v>
      </x:c>
    </x:row>
    <x:row r="378">
      <x:c r="A378" s="86" t="n">
        <x:v>376</x:v>
      </x:c>
      <x:c r="B378" s="88" t="str">
        <x:v>Base</x:v>
      </x:c>
      <x:c r="C378" s="88" t="str">
        <x:v>12M Omega</x:v>
      </x:c>
      <x:c r="D378" s="88" t="n">
        <x:v>12</x:v>
      </x:c>
      <x:c r="E378" s="88" t="n">
        <x:v>3</x:v>
      </x:c>
      <x:c r="F378" s="88" t="str">
        <x:v>NES MCT 30% sale</x:v>
      </x:c>
      <x:c r="G378" s="88" t="str">
        <x:v>NES 10-pack extractor 20% sale</x:v>
      </x:c>
      <x:c r="H378" s="87" t="n">
        <x:f>'01 Base Costs'!$B$24</x:f>
        <x:v>3600</x:v>
      </x:c>
      <x:c r="I378" s="87" t="n">
        <x:f>'01 Base Costs'!$B$16*0.7</x:f>
        <x:v>339.5</x:v>
      </x:c>
      <x:c r="J378" s="87" t="n">
        <x:f>0</x:f>
        <x:v>0</x:v>
      </x:c>
      <x:c r="K378" s="87" t="n">
        <x:f>D378*(E378-1)*I378</x:f>
        <x:v>8148</x:v>
      </x:c>
      <x:c r="L378" s="87" t="n">
        <x:f>D378*(E378-1)*J378</x:f>
        <x:v>0</x:v>
      </x:c>
      <x:c r="M378" s="87" t="n">
        <x:f>0</x:f>
        <x:v>0</x:v>
      </x:c>
      <x:c r="N378" s="87" t="n">
        <x:f>H378+K378+M378</x:f>
        <x:v>11748</x:v>
      </x:c>
      <x:c r="O378" s="87" t="n">
        <x:f>N378*'01 Base Costs'!$B$7+L378</x:f>
        <x:v>56507880000</x:v>
      </x:c>
      <x:c r="P378" s="87" t="n">
        <x:f>D378*E378</x:f>
        <x:v>36</x:v>
      </x:c>
      <x:c r="Q378" s="87" t="n">
        <x:f>P378*'01 Base Costs'!$B$12</x:f>
        <x:v>69984000</x:v>
      </x:c>
      <x:c r="R378" s="87" t="n">
        <x:f>0</x:f>
        <x:v>0</x:v>
      </x:c>
      <x:c r="S378" s="87" t="n">
        <x:f>Q378+R378</x:f>
        <x:v>69984000</x:v>
      </x:c>
      <x:c r="T378" s="141" t="n">
        <x:f>S378/'01 Base Costs'!$B$14</x:f>
        <x:v>139.968</x:v>
      </x:c>
      <x:c r="U378" s="87" t="n">
        <x:f>INT(T378)</x:f>
        <x:v>139</x:v>
      </x:c>
      <x:c r="V378" s="87" t="n">
        <x:f>S378-U378*'01 Base Costs'!$B$14</x:f>
        <x:v>484000</x:v>
      </x:c>
      <x:c r="W378" s="120" t="n">
        <x:f>'01 Base Costs'!$B$19*0.8/10</x:f>
        <x:v>95.2</x:v>
      </x:c>
      <x:c r="X378" s="120" t="n">
        <x:f>0</x:f>
        <x:v>0</x:v>
      </x:c>
      <x:c r="Y378" s="87" t="n">
        <x:f>T378*(W378*'01 Base Costs'!$B$7+X378)</x:f>
        <x:v>64093026815.99999</x:v>
      </x:c>
      <x:c r="Z378" s="87" t="n">
        <x:f>T378*'01 Base Costs'!$B$8</x:f>
        <x:v>105381907199.99998</x:v>
      </x:c>
      <x:c r="AA378" s="87" t="n">
        <x:f>Z378*'01 Base Costs'!$B$11</x:f>
        <x:v>5269095360</x:v>
      </x:c>
      <x:c r="AB378" s="87" t="n">
        <x:f>Z378-AA378</x:f>
        <x:v>100112811839.99998</x:v>
      </x:c>
      <x:c r="AC378" s="87" t="n">
        <x:f>O378+Y378</x:f>
        <x:v>120600906816</x:v>
      </x:c>
      <x:c r="AD378" s="87" t="n">
        <x:f>AB378-AC378</x:f>
        <x:v>-20488094976.000015</x:v>
      </x:c>
      <x:c r="AE378" s="87" t="n">
        <x:f>AD378/D378</x:f>
        <x:v>-1707341248.0000012</x:v>
      </x:c>
      <x:c r="AF378" s="87" t="n">
        <x:f>AD378/P378</x:f>
        <x:v>-569113749.3333337</x:v>
      </x:c>
      <x:c r="AG378" s="87" t="n">
        <x:f>IF(T378=0,0,AC378/T378/(1-'01 Base Costs'!$B$11))</x:f>
        <x:v>906981045.4118837</x:v>
      </x:c>
      <x:c r="AH378" s="88" t="str">
        <x:f>IF(AD378&gt;0,"PROFIT","LOSS")</x:f>
        <x:v>LOSS</x:v>
      </x:c>
      <x:c r="AI378" s="89" t="str">
        <x:v>Base 12M Omega. MCT sale 30% off. 10-pack at 20% off.</x:v>
      </x:c>
    </x:row>
    <x:row r="379">
      <x:c r="A379" s="86" t="n">
        <x:v>377</x:v>
      </x:c>
      <x:c r="B379" s="88" t="str">
        <x:v>Base</x:v>
      </x:c>
      <x:c r="C379" s="88" t="str">
        <x:v>12M Omega</x:v>
      </x:c>
      <x:c r="D379" s="88" t="n">
        <x:v>12</x:v>
      </x:c>
      <x:c r="E379" s="88" t="n">
        <x:v>3</x:v>
      </x:c>
      <x:c r="F379" s="88" t="str">
        <x:v>NES MCT 30% sale</x:v>
      </x:c>
      <x:c r="G379" s="88" t="str">
        <x:v>NES 50-pack extractor 20% sale</x:v>
      </x:c>
      <x:c r="H379" s="87" t="n">
        <x:f>'01 Base Costs'!$B$24</x:f>
        <x:v>3600</x:v>
      </x:c>
      <x:c r="I379" s="87" t="n">
        <x:f>'01 Base Costs'!$B$16*0.7</x:f>
        <x:v>339.5</x:v>
      </x:c>
      <x:c r="J379" s="87" t="n">
        <x:f>0</x:f>
        <x:v>0</x:v>
      </x:c>
      <x:c r="K379" s="87" t="n">
        <x:f>D379*(E379-1)*I379</x:f>
        <x:v>8148</x:v>
      </x:c>
      <x:c r="L379" s="87" t="n">
        <x:f>D379*(E379-1)*J379</x:f>
        <x:v>0</x:v>
      </x:c>
      <x:c r="M379" s="87" t="n">
        <x:f>0</x:f>
        <x:v>0</x:v>
      </x:c>
      <x:c r="N379" s="87" t="n">
        <x:f>H379+K379+M379</x:f>
        <x:v>11748</x:v>
      </x:c>
      <x:c r="O379" s="87" t="n">
        <x:f>N379*'01 Base Costs'!$B$7+L379</x:f>
        <x:v>56507880000</x:v>
      </x:c>
      <x:c r="P379" s="87" t="n">
        <x:f>D379*E379</x:f>
        <x:v>36</x:v>
      </x:c>
      <x:c r="Q379" s="87" t="n">
        <x:f>P379*'01 Base Costs'!$B$12</x:f>
        <x:v>69984000</x:v>
      </x:c>
      <x:c r="R379" s="87" t="n">
        <x:f>0</x:f>
        <x:v>0</x:v>
      </x:c>
      <x:c r="S379" s="87" t="n">
        <x:f>Q379+R379</x:f>
        <x:v>69984000</x:v>
      </x:c>
      <x:c r="T379" s="141" t="n">
        <x:f>S379/'01 Base Costs'!$B$14</x:f>
        <x:v>139.968</x:v>
      </x:c>
      <x:c r="U379" s="87" t="n">
        <x:f>INT(T379)</x:f>
        <x:v>139</x:v>
      </x:c>
      <x:c r="V379" s="87" t="n">
        <x:f>S379-U379*'01 Base Costs'!$B$14</x:f>
        <x:v>484000</x:v>
      </x:c>
      <x:c r="W379" s="120" t="n">
        <x:f>'01 Base Costs'!$B$20*0.8/50</x:f>
        <x:v>89.6</x:v>
      </x:c>
      <x:c r="X379" s="120" t="n">
        <x:f>0</x:f>
        <x:v>0</x:v>
      </x:c>
      <x:c r="Y379" s="87" t="n">
        <x:f>T379*(W379*'01 Base Costs'!$B$7+X379)</x:f>
        <x:v>60322848767.99999</x:v>
      </x:c>
      <x:c r="Z379" s="87" t="n">
        <x:f>T379*'01 Base Costs'!$B$8</x:f>
        <x:v>105381907199.99998</x:v>
      </x:c>
      <x:c r="AA379" s="87" t="n">
        <x:f>Z379*'01 Base Costs'!$B$11</x:f>
        <x:v>5269095360</x:v>
      </x:c>
      <x:c r="AB379" s="87" t="n">
        <x:f>Z379-AA379</x:f>
        <x:v>100112811839.99998</x:v>
      </x:c>
      <x:c r="AC379" s="87" t="n">
        <x:f>O379+Y379</x:f>
        <x:v>116830728768</x:v>
      </x:c>
      <x:c r="AD379" s="87" t="n">
        <x:f>AB379-AC379</x:f>
        <x:v>-16717916928.000015</x:v>
      </x:c>
      <x:c r="AE379" s="87" t="n">
        <x:f>AD379/D379</x:f>
        <x:v>-1393159744.0000012</x:v>
      </x:c>
      <x:c r="AF379" s="87" t="n">
        <x:f>AD379/P379</x:f>
        <x:v>-464386581.33333373</x:v>
      </x:c>
      <x:c r="AG379" s="87" t="n">
        <x:f>IF(T379=0,0,AC379/T379/(1-'01 Base Costs'!$B$11))</x:f>
        <x:v>878627361.2013574</x:v>
      </x:c>
      <x:c r="AH379" s="88" t="str">
        <x:f>IF(AD379&gt;0,"PROFIT","LOSS")</x:f>
        <x:v>LOSS</x:v>
      </x:c>
      <x:c r="AI379" s="89" t="str">
        <x:v>Base 12M Omega. MCT sale 30% off. 50-pack at 20% off.</x:v>
      </x:c>
    </x:row>
    <x:row r="380">
      <x:c r="A380" s="86" t="n">
        <x:v>378</x:v>
      </x:c>
      <x:c r="B380" s="88" t="str">
        <x:v>Base</x:v>
      </x:c>
      <x:c r="C380" s="88" t="str">
        <x:v>12M Omega</x:v>
      </x:c>
      <x:c r="D380" s="88" t="n">
        <x:v>12</x:v>
      </x:c>
      <x:c r="E380" s="88" t="n">
        <x:v>3</x:v>
      </x:c>
      <x:c r="F380" s="88" t="str">
        <x:v>NES MCT 30% sale</x:v>
      </x:c>
      <x:c r="G380" s="88" t="str">
        <x:v>Market Skill Extractor</x:v>
      </x:c>
      <x:c r="H380" s="87" t="n">
        <x:f>'01 Base Costs'!$B$24</x:f>
        <x:v>3600</x:v>
      </x:c>
      <x:c r="I380" s="87" t="n">
        <x:f>'01 Base Costs'!$B$16*0.7</x:f>
        <x:v>339.5</x:v>
      </x:c>
      <x:c r="J380" s="87" t="n">
        <x:f>0</x:f>
        <x:v>0</x:v>
      </x:c>
      <x:c r="K380" s="87" t="n">
        <x:f>D380*(E380-1)*I380</x:f>
        <x:v>8148</x:v>
      </x:c>
      <x:c r="L380" s="87" t="n">
        <x:f>D380*(E380-1)*J380</x:f>
        <x:v>0</x:v>
      </x:c>
      <x:c r="M380" s="87" t="n">
        <x:f>0</x:f>
        <x:v>0</x:v>
      </x:c>
      <x:c r="N380" s="87" t="n">
        <x:f>H380+K380+M380</x:f>
        <x:v>11748</x:v>
      </x:c>
      <x:c r="O380" s="87" t="n">
        <x:f>N380*'01 Base Costs'!$B$7+L380</x:f>
        <x:v>56507880000</x:v>
      </x:c>
      <x:c r="P380" s="87" t="n">
        <x:f>D380*E380</x:f>
        <x:v>36</x:v>
      </x:c>
      <x:c r="Q380" s="87" t="n">
        <x:f>P380*'01 Base Costs'!$B$12</x:f>
        <x:v>69984000</x:v>
      </x:c>
      <x:c r="R380" s="87" t="n">
        <x:f>0</x:f>
        <x:v>0</x:v>
      </x:c>
      <x:c r="S380" s="87" t="n">
        <x:f>Q380+R380</x:f>
        <x:v>69984000</x:v>
      </x:c>
      <x:c r="T380" s="141" t="n">
        <x:f>S380/'01 Base Costs'!$B$14</x:f>
        <x:v>139.968</x:v>
      </x:c>
      <x:c r="U380" s="87" t="n">
        <x:f>INT(T380)</x:f>
        <x:v>139</x:v>
      </x:c>
      <x:c r="V380" s="87" t="n">
        <x:f>S380-U380*'01 Base Costs'!$B$14</x:f>
        <x:v>484000</x:v>
      </x:c>
      <x:c r="W380" s="120" t="n">
        <x:f>0</x:f>
        <x:v>0</x:v>
      </x:c>
      <x:c r="X380" s="120" t="n">
        <x:f>'01 Base Costs'!$B$9</x:f>
        <x:v>463500000</x:v>
      </x:c>
      <x:c r="Y380" s="87" t="n">
        <x:f>T380*(W380*'01 Base Costs'!$B$7+X380)</x:f>
        <x:v>64875167999.99999</x:v>
      </x:c>
      <x:c r="Z380" s="87" t="n">
        <x:f>T380*'01 Base Costs'!$B$8</x:f>
        <x:v>105381907199.99998</x:v>
      </x:c>
      <x:c r="AA380" s="87" t="n">
        <x:f>Z380*'01 Base Costs'!$B$11</x:f>
        <x:v>5269095360</x:v>
      </x:c>
      <x:c r="AB380" s="87" t="n">
        <x:f>Z380-AA380</x:f>
        <x:v>100112811839.99998</x:v>
      </x:c>
      <x:c r="AC380" s="87" t="n">
        <x:f>O380+Y380</x:f>
        <x:v>121383048000</x:v>
      </x:c>
      <x:c r="AD380" s="87" t="n">
        <x:f>AB380-AC380</x:f>
        <x:v>-21270236160.000015</x:v>
      </x:c>
      <x:c r="AE380" s="87" t="n">
        <x:f>AD380/D380</x:f>
        <x:v>-1772519680.0000012</x:v>
      </x:c>
      <x:c r="AF380" s="87" t="n">
        <x:f>AD380/P380</x:f>
        <x:v>-590839893.3333337</x:v>
      </x:c>
      <x:c r="AG380" s="87" t="n">
        <x:f>IF(T380=0,0,AC380/T380/(1-'01 Base Costs'!$B$11))</x:f>
        <x:v>912863150.6750416</x:v>
      </x:c>
      <x:c r="AH380" s="88" t="str">
        <x:f>IF(AD380&gt;0,"PROFIT","LOSS")</x:f>
        <x:v>LOSS</x:v>
      </x:c>
      <x:c r="AI380" s="89" t="str">
        <x:v>Base 12M Omega. MCT sale 30% off. Extractor bought on market with ISK.</x:v>
      </x:c>
    </x:row>
    <x:row r="381">
      <x:c r="A381" s="86" t="n">
        <x:v>379</x:v>
      </x:c>
      <x:c r="B381" s="88" t="str">
        <x:v>Base</x:v>
      </x:c>
      <x:c r="C381" s="88" t="str">
        <x:v>12M Omega</x:v>
      </x:c>
      <x:c r="D381" s="88" t="n">
        <x:v>12</x:v>
      </x:c>
      <x:c r="E381" s="88" t="n">
        <x:v>3</x:v>
      </x:c>
      <x:c r="F381" s="88" t="str">
        <x:v>NES MCT 40% sale</x:v>
      </x:c>
      <x:c r="G381" s="88" t="str">
        <x:v>NES single extractor</x:v>
      </x:c>
      <x:c r="H381" s="87" t="n">
        <x:f>'01 Base Costs'!$B$24</x:f>
        <x:v>3600</x:v>
      </x:c>
      <x:c r="I381" s="87" t="n">
        <x:f>'01 Base Costs'!$B$16*0.6</x:f>
        <x:v>291</x:v>
      </x:c>
      <x:c r="J381" s="87" t="n">
        <x:f>0</x:f>
        <x:v>0</x:v>
      </x:c>
      <x:c r="K381" s="87" t="n">
        <x:f>D381*(E381-1)*I381</x:f>
        <x:v>6984</x:v>
      </x:c>
      <x:c r="L381" s="87" t="n">
        <x:f>D381*(E381-1)*J381</x:f>
        <x:v>0</x:v>
      </x:c>
      <x:c r="M381" s="87" t="n">
        <x:f>0</x:f>
        <x:v>0</x:v>
      </x:c>
      <x:c r="N381" s="87" t="n">
        <x:f>H381+K381+M381</x:f>
        <x:v>10584</x:v>
      </x:c>
      <x:c r="O381" s="87" t="n">
        <x:f>N381*'01 Base Costs'!$B$7+L381</x:f>
        <x:v>50909040000</x:v>
      </x:c>
      <x:c r="P381" s="87" t="n">
        <x:f>D381*E381</x:f>
        <x:v>36</x:v>
      </x:c>
      <x:c r="Q381" s="87" t="n">
        <x:f>P381*'01 Base Costs'!$B$12</x:f>
        <x:v>69984000</x:v>
      </x:c>
      <x:c r="R381" s="87" t="n">
        <x:f>0</x:f>
        <x:v>0</x:v>
      </x:c>
      <x:c r="S381" s="87" t="n">
        <x:f>Q381+R381</x:f>
        <x:v>69984000</x:v>
      </x:c>
      <x:c r="T381" s="141" t="n">
        <x:f>S381/'01 Base Costs'!$B$14</x:f>
        <x:v>139.968</x:v>
      </x:c>
      <x:c r="U381" s="87" t="n">
        <x:f>INT(T381)</x:f>
        <x:v>139</x:v>
      </x:c>
      <x:c r="V381" s="87" t="n">
        <x:f>S381-U381*'01 Base Costs'!$B$14</x:f>
        <x:v>484000</x:v>
      </x:c>
      <x:c r="W381" s="120" t="n">
        <x:f>'01 Base Costs'!$B$17</x:f>
        <x:v>140</x:v>
      </x:c>
      <x:c r="X381" s="120" t="n">
        <x:f>0</x:f>
        <x:v>0</x:v>
      </x:c>
      <x:c r="Y381" s="87" t="n">
        <x:f>T381*(W381*'01 Base Costs'!$B$7+X381)</x:f>
        <x:v>94254451200</x:v>
      </x:c>
      <x:c r="Z381" s="87" t="n">
        <x:f>T381*'01 Base Costs'!$B$8</x:f>
        <x:v>105381907199.99998</x:v>
      </x:c>
      <x:c r="AA381" s="87" t="n">
        <x:f>Z381*'01 Base Costs'!$B$11</x:f>
        <x:v>5269095360</x:v>
      </x:c>
      <x:c r="AB381" s="87" t="n">
        <x:f>Z381-AA381</x:f>
        <x:v>100112811839.99998</x:v>
      </x:c>
      <x:c r="AC381" s="87" t="n">
        <x:f>O381+Y381</x:f>
        <x:v>145163491200</x:v>
      </x:c>
      <x:c r="AD381" s="87" t="n">
        <x:f>AB381-AC381</x:f>
        <x:v>-45050679360.000015</x:v>
      </x:c>
      <x:c r="AE381" s="87" t="n">
        <x:f>AD381/D381</x:f>
        <x:v>-3754223280.0000014</x:v>
      </x:c>
      <x:c r="AF381" s="87" t="n">
        <x:f>AD381/P381</x:f>
        <x:v>-1251407760.0000005</x:v>
      </x:c>
      <x:c r="AG381" s="87" t="n">
        <x:f>IF(T381=0,0,AC381/T381/(1-'01 Base Costs'!$B$11))</x:f>
        <x:v>1091704353.4762836</x:v>
      </x:c>
      <x:c r="AH381" s="88" t="str">
        <x:f>IF(AD381&gt;0,"PROFIT","LOSS")</x:f>
        <x:v>LOSS</x:v>
      </x:c>
      <x:c r="AI381" s="89" t="str">
        <x:v>Base 12M Omega. MCT sale 40% off. Base single extractor.</x:v>
      </x:c>
    </x:row>
    <x:row r="382">
      <x:c r="A382" s="86" t="n">
        <x:v>380</x:v>
      </x:c>
      <x:c r="B382" s="88" t="str">
        <x:v>Base</x:v>
      </x:c>
      <x:c r="C382" s="88" t="str">
        <x:v>12M Omega</x:v>
      </x:c>
      <x:c r="D382" s="88" t="n">
        <x:v>12</x:v>
      </x:c>
      <x:c r="E382" s="88" t="n">
        <x:v>3</x:v>
      </x:c>
      <x:c r="F382" s="88" t="str">
        <x:v>NES MCT 40% sale</x:v>
      </x:c>
      <x:c r="G382" s="88" t="str">
        <x:v>NES 5-pack extractor</x:v>
      </x:c>
      <x:c r="H382" s="87" t="n">
        <x:f>'01 Base Costs'!$B$24</x:f>
        <x:v>3600</x:v>
      </x:c>
      <x:c r="I382" s="87" t="n">
        <x:f>'01 Base Costs'!$B$16*0.6</x:f>
        <x:v>291</x:v>
      </x:c>
      <x:c r="J382" s="87" t="n">
        <x:f>0</x:f>
        <x:v>0</x:v>
      </x:c>
      <x:c r="K382" s="87" t="n">
        <x:f>D382*(E382-1)*I382</x:f>
        <x:v>6984</x:v>
      </x:c>
      <x:c r="L382" s="87" t="n">
        <x:f>D382*(E382-1)*J382</x:f>
        <x:v>0</x:v>
      </x:c>
      <x:c r="M382" s="87" t="n">
        <x:f>0</x:f>
        <x:v>0</x:v>
      </x:c>
      <x:c r="N382" s="87" t="n">
        <x:f>H382+K382+M382</x:f>
        <x:v>10584</x:v>
      </x:c>
      <x:c r="O382" s="87" t="n">
        <x:f>N382*'01 Base Costs'!$B$7+L382</x:f>
        <x:v>50909040000</x:v>
      </x:c>
      <x:c r="P382" s="87" t="n">
        <x:f>D382*E382</x:f>
        <x:v>36</x:v>
      </x:c>
      <x:c r="Q382" s="87" t="n">
        <x:f>P382*'01 Base Costs'!$B$12</x:f>
        <x:v>69984000</x:v>
      </x:c>
      <x:c r="R382" s="87" t="n">
        <x:f>0</x:f>
        <x:v>0</x:v>
      </x:c>
      <x:c r="S382" s="87" t="n">
        <x:f>Q382+R382</x:f>
        <x:v>69984000</x:v>
      </x:c>
      <x:c r="T382" s="141" t="n">
        <x:f>S382/'01 Base Costs'!$B$14</x:f>
        <x:v>139.968</x:v>
      </x:c>
      <x:c r="U382" s="87" t="n">
        <x:f>INT(T382)</x:f>
        <x:v>139</x:v>
      </x:c>
      <x:c r="V382" s="87" t="n">
        <x:f>S382-U382*'01 Base Costs'!$B$14</x:f>
        <x:v>484000</x:v>
      </x:c>
      <x:c r="W382" s="120" t="n">
        <x:f>'01 Base Costs'!$B$18/5</x:f>
        <x:v>126</x:v>
      </x:c>
      <x:c r="X382" s="120" t="n">
        <x:f>0</x:f>
        <x:v>0</x:v>
      </x:c>
      <x:c r="Y382" s="87" t="n">
        <x:f>T382*(W382*'01 Base Costs'!$B$7+X382)</x:f>
        <x:v>84829006080</x:v>
      </x:c>
      <x:c r="Z382" s="87" t="n">
        <x:f>T382*'01 Base Costs'!$B$8</x:f>
        <x:v>105381907199.99998</x:v>
      </x:c>
      <x:c r="AA382" s="87" t="n">
        <x:f>Z382*'01 Base Costs'!$B$11</x:f>
        <x:v>5269095360</x:v>
      </x:c>
      <x:c r="AB382" s="87" t="n">
        <x:f>Z382-AA382</x:f>
        <x:v>100112811839.99998</x:v>
      </x:c>
      <x:c r="AC382" s="87" t="n">
        <x:f>O382+Y382</x:f>
        <x:v>135738046080</x:v>
      </x:c>
      <x:c r="AD382" s="87" t="n">
        <x:f>AB382-AC382</x:f>
        <x:v>-35625234240.000015</x:v>
      </x:c>
      <x:c r="AE382" s="87" t="n">
        <x:f>AD382/D382</x:f>
        <x:v>-2968769520.0000014</x:v>
      </x:c>
      <x:c r="AF382" s="87" t="n">
        <x:f>AD382/P382</x:f>
        <x:v>-989589840.0000005</x:v>
      </x:c>
      <x:c r="AG382" s="87" t="n">
        <x:f>IF(T382=0,0,AC382/T382/(1-'01 Base Costs'!$B$11))</x:f>
        <x:v>1020820142.9499677</x:v>
      </x:c>
      <x:c r="AH382" s="88" t="str">
        <x:f>IF(AD382&gt;0,"PROFIT","LOSS")</x:f>
        <x:v>LOSS</x:v>
      </x:c>
      <x:c r="AI382" s="89" t="str">
        <x:v>Base 12M Omega. MCT sale 40% off. Base 5-pack average.</x:v>
      </x:c>
    </x:row>
    <x:row r="383">
      <x:c r="A383" s="86" t="n">
        <x:v>381</x:v>
      </x:c>
      <x:c r="B383" s="88" t="str">
        <x:v>Base</x:v>
      </x:c>
      <x:c r="C383" s="88" t="str">
        <x:v>12M Omega</x:v>
      </x:c>
      <x:c r="D383" s="88" t="n">
        <x:v>12</x:v>
      </x:c>
      <x:c r="E383" s="88" t="n">
        <x:v>3</x:v>
      </x:c>
      <x:c r="F383" s="88" t="str">
        <x:v>NES MCT 40% sale</x:v>
      </x:c>
      <x:c r="G383" s="88" t="str">
        <x:v>NES 10-pack extractor</x:v>
      </x:c>
      <x:c r="H383" s="87" t="n">
        <x:f>'01 Base Costs'!$B$24</x:f>
        <x:v>3600</x:v>
      </x:c>
      <x:c r="I383" s="87" t="n">
        <x:f>'01 Base Costs'!$B$16*0.6</x:f>
        <x:v>291</x:v>
      </x:c>
      <x:c r="J383" s="87" t="n">
        <x:f>0</x:f>
        <x:v>0</x:v>
      </x:c>
      <x:c r="K383" s="87" t="n">
        <x:f>D383*(E383-1)*I383</x:f>
        <x:v>6984</x:v>
      </x:c>
      <x:c r="L383" s="87" t="n">
        <x:f>D383*(E383-1)*J383</x:f>
        <x:v>0</x:v>
      </x:c>
      <x:c r="M383" s="87" t="n">
        <x:f>0</x:f>
        <x:v>0</x:v>
      </x:c>
      <x:c r="N383" s="87" t="n">
        <x:f>H383+K383+M383</x:f>
        <x:v>10584</x:v>
      </x:c>
      <x:c r="O383" s="87" t="n">
        <x:f>N383*'01 Base Costs'!$B$7+L383</x:f>
        <x:v>50909040000</x:v>
      </x:c>
      <x:c r="P383" s="87" t="n">
        <x:f>D383*E383</x:f>
        <x:v>36</x:v>
      </x:c>
      <x:c r="Q383" s="87" t="n">
        <x:f>P383*'01 Base Costs'!$B$12</x:f>
        <x:v>69984000</x:v>
      </x:c>
      <x:c r="R383" s="87" t="n">
        <x:f>0</x:f>
        <x:v>0</x:v>
      </x:c>
      <x:c r="S383" s="87" t="n">
        <x:f>Q383+R383</x:f>
        <x:v>69984000</x:v>
      </x:c>
      <x:c r="T383" s="141" t="n">
        <x:f>S383/'01 Base Costs'!$B$14</x:f>
        <x:v>139.968</x:v>
      </x:c>
      <x:c r="U383" s="87" t="n">
        <x:f>INT(T383)</x:f>
        <x:v>139</x:v>
      </x:c>
      <x:c r="V383" s="87" t="n">
        <x:f>S383-U383*'01 Base Costs'!$B$14</x:f>
        <x:v>484000</x:v>
      </x:c>
      <x:c r="W383" s="120" t="n">
        <x:f>'01 Base Costs'!$B$19/10</x:f>
        <x:v>119</x:v>
      </x:c>
      <x:c r="X383" s="120" t="n">
        <x:f>0</x:f>
        <x:v>0</x:v>
      </x:c>
      <x:c r="Y383" s="87" t="n">
        <x:f>T383*(W383*'01 Base Costs'!$B$7+X383)</x:f>
        <x:v>80116283520</x:v>
      </x:c>
      <x:c r="Z383" s="87" t="n">
        <x:f>T383*'01 Base Costs'!$B$8</x:f>
        <x:v>105381907199.99998</x:v>
      </x:c>
      <x:c r="AA383" s="87" t="n">
        <x:f>Z383*'01 Base Costs'!$B$11</x:f>
        <x:v>5269095360</x:v>
      </x:c>
      <x:c r="AB383" s="87" t="n">
        <x:f>Z383-AA383</x:f>
        <x:v>100112811839.99998</x:v>
      </x:c>
      <x:c r="AC383" s="87" t="n">
        <x:f>O383+Y383</x:f>
        <x:v>131025323520</x:v>
      </x:c>
      <x:c r="AD383" s="87" t="n">
        <x:f>AB383-AC383</x:f>
        <x:v>-30912511680.000015</x:v>
      </x:c>
      <x:c r="AE383" s="87" t="n">
        <x:f>AD383/D383</x:f>
        <x:v>-2576042640.0000014</x:v>
      </x:c>
      <x:c r="AF383" s="87" t="n">
        <x:f>AD383/P383</x:f>
        <x:v>-858680880.0000005</x:v>
      </x:c>
      <x:c r="AG383" s="87" t="n">
        <x:f>IF(T383=0,0,AC383/T383/(1-'01 Base Costs'!$B$11))</x:f>
        <x:v>985378037.6868098</x:v>
      </x:c>
      <x:c r="AH383" s="88" t="str">
        <x:f>IF(AD383&gt;0,"PROFIT","LOSS")</x:f>
        <x:v>LOSS</x:v>
      </x:c>
      <x:c r="AI383" s="89" t="str">
        <x:v>Base 12M Omega. MCT sale 40% off. Base 10-pack average.</x:v>
      </x:c>
    </x:row>
    <x:row r="384">
      <x:c r="A384" s="86" t="n">
        <x:v>382</x:v>
      </x:c>
      <x:c r="B384" s="88" t="str">
        <x:v>Base</x:v>
      </x:c>
      <x:c r="C384" s="88" t="str">
        <x:v>12M Omega</x:v>
      </x:c>
      <x:c r="D384" s="88" t="n">
        <x:v>12</x:v>
      </x:c>
      <x:c r="E384" s="88" t="n">
        <x:v>3</x:v>
      </x:c>
      <x:c r="F384" s="88" t="str">
        <x:v>NES MCT 40% sale</x:v>
      </x:c>
      <x:c r="G384" s="88" t="str">
        <x:v>NES 50-pack extractor</x:v>
      </x:c>
      <x:c r="H384" s="87" t="n">
        <x:f>'01 Base Costs'!$B$24</x:f>
        <x:v>3600</x:v>
      </x:c>
      <x:c r="I384" s="87" t="n">
        <x:f>'01 Base Costs'!$B$16*0.6</x:f>
        <x:v>291</x:v>
      </x:c>
      <x:c r="J384" s="87" t="n">
        <x:f>0</x:f>
        <x:v>0</x:v>
      </x:c>
      <x:c r="K384" s="87" t="n">
        <x:f>D384*(E384-1)*I384</x:f>
        <x:v>6984</x:v>
      </x:c>
      <x:c r="L384" s="87" t="n">
        <x:f>D384*(E384-1)*J384</x:f>
        <x:v>0</x:v>
      </x:c>
      <x:c r="M384" s="87" t="n">
        <x:f>0</x:f>
        <x:v>0</x:v>
      </x:c>
      <x:c r="N384" s="87" t="n">
        <x:f>H384+K384+M384</x:f>
        <x:v>10584</x:v>
      </x:c>
      <x:c r="O384" s="87" t="n">
        <x:f>N384*'01 Base Costs'!$B$7+L384</x:f>
        <x:v>50909040000</x:v>
      </x:c>
      <x:c r="P384" s="87" t="n">
        <x:f>D384*E384</x:f>
        <x:v>36</x:v>
      </x:c>
      <x:c r="Q384" s="87" t="n">
        <x:f>P384*'01 Base Costs'!$B$12</x:f>
        <x:v>69984000</x:v>
      </x:c>
      <x:c r="R384" s="87" t="n">
        <x:f>0</x:f>
        <x:v>0</x:v>
      </x:c>
      <x:c r="S384" s="87" t="n">
        <x:f>Q384+R384</x:f>
        <x:v>69984000</x:v>
      </x:c>
      <x:c r="T384" s="141" t="n">
        <x:f>S384/'01 Base Costs'!$B$14</x:f>
        <x:v>139.968</x:v>
      </x:c>
      <x:c r="U384" s="87" t="n">
        <x:f>INT(T384)</x:f>
        <x:v>139</x:v>
      </x:c>
      <x:c r="V384" s="87" t="n">
        <x:f>S384-U384*'01 Base Costs'!$B$14</x:f>
        <x:v>484000</x:v>
      </x:c>
      <x:c r="W384" s="120" t="n">
        <x:f>'01 Base Costs'!$B$20/50</x:f>
        <x:v>112</x:v>
      </x:c>
      <x:c r="X384" s="120" t="n">
        <x:f>0</x:f>
        <x:v>0</x:v>
      </x:c>
      <x:c r="Y384" s="87" t="n">
        <x:f>T384*(W384*'01 Base Costs'!$B$7+X384)</x:f>
        <x:v>75403560960</x:v>
      </x:c>
      <x:c r="Z384" s="87" t="n">
        <x:f>T384*'01 Base Costs'!$B$8</x:f>
        <x:v>105381907199.99998</x:v>
      </x:c>
      <x:c r="AA384" s="87" t="n">
        <x:f>Z384*'01 Base Costs'!$B$11</x:f>
        <x:v>5269095360</x:v>
      </x:c>
      <x:c r="AB384" s="87" t="n">
        <x:f>Z384-AA384</x:f>
        <x:v>100112811839.99998</x:v>
      </x:c>
      <x:c r="AC384" s="87" t="n">
        <x:f>O384+Y384</x:f>
        <x:v>126312600960</x:v>
      </x:c>
      <x:c r="AD384" s="87" t="n">
        <x:f>AB384-AC384</x:f>
        <x:v>-26199789120.000015</x:v>
      </x:c>
      <x:c r="AE384" s="87" t="n">
        <x:f>AD384/D384</x:f>
        <x:v>-2183315760.0000014</x:v>
      </x:c>
      <x:c r="AF384" s="87" t="n">
        <x:f>AD384/P384</x:f>
        <x:v>-727771920.0000005</x:v>
      </x:c>
      <x:c r="AG384" s="87" t="n">
        <x:f>IF(T384=0,0,AC384/T384/(1-'01 Base Costs'!$B$11))</x:f>
        <x:v>949935932.4236519</x:v>
      </x:c>
      <x:c r="AH384" s="88" t="str">
        <x:f>IF(AD384&gt;0,"PROFIT","LOSS")</x:f>
        <x:v>LOSS</x:v>
      </x:c>
      <x:c r="AI384" s="89" t="str">
        <x:v>Base 12M Omega. MCT sale 40% off. Base 50-pack average.</x:v>
      </x:c>
    </x:row>
    <x:row r="385">
      <x:c r="A385" s="86" t="n">
        <x:v>383</x:v>
      </x:c>
      <x:c r="B385" s="88" t="str">
        <x:v>Base</x:v>
      </x:c>
      <x:c r="C385" s="88" t="str">
        <x:v>12M Omega</x:v>
      </x:c>
      <x:c r="D385" s="88" t="n">
        <x:v>12</x:v>
      </x:c>
      <x:c r="E385" s="88" t="n">
        <x:v>3</x:v>
      </x:c>
      <x:c r="F385" s="88" t="str">
        <x:v>NES MCT 40% sale</x:v>
      </x:c>
      <x:c r="G385" s="88" t="str">
        <x:v>NES 3-for-2 extractor sale</x:v>
      </x:c>
      <x:c r="H385" s="87" t="n">
        <x:f>'01 Base Costs'!$B$24</x:f>
        <x:v>3600</x:v>
      </x:c>
      <x:c r="I385" s="87" t="n">
        <x:f>'01 Base Costs'!$B$16*0.6</x:f>
        <x:v>291</x:v>
      </x:c>
      <x:c r="J385" s="87" t="n">
        <x:f>0</x:f>
        <x:v>0</x:v>
      </x:c>
      <x:c r="K385" s="87" t="n">
        <x:f>D385*(E385-1)*I385</x:f>
        <x:v>6984</x:v>
      </x:c>
      <x:c r="L385" s="87" t="n">
        <x:f>D385*(E385-1)*J385</x:f>
        <x:v>0</x:v>
      </x:c>
      <x:c r="M385" s="87" t="n">
        <x:f>0</x:f>
        <x:v>0</x:v>
      </x:c>
      <x:c r="N385" s="87" t="n">
        <x:f>H385+K385+M385</x:f>
        <x:v>10584</x:v>
      </x:c>
      <x:c r="O385" s="87" t="n">
        <x:f>N385*'01 Base Costs'!$B$7+L385</x:f>
        <x:v>50909040000</x:v>
      </x:c>
      <x:c r="P385" s="87" t="n">
        <x:f>D385*E385</x:f>
        <x:v>36</x:v>
      </x:c>
      <x:c r="Q385" s="87" t="n">
        <x:f>P385*'01 Base Costs'!$B$12</x:f>
        <x:v>69984000</x:v>
      </x:c>
      <x:c r="R385" s="87" t="n">
        <x:f>0</x:f>
        <x:v>0</x:v>
      </x:c>
      <x:c r="S385" s="87" t="n">
        <x:f>Q385+R385</x:f>
        <x:v>69984000</x:v>
      </x:c>
      <x:c r="T385" s="141" t="n">
        <x:f>S385/'01 Base Costs'!$B$14</x:f>
        <x:v>139.968</x:v>
      </x:c>
      <x:c r="U385" s="87" t="n">
        <x:f>INT(T385)</x:f>
        <x:v>139</x:v>
      </x:c>
      <x:c r="V385" s="87" t="n">
        <x:f>S385-U385*'01 Base Costs'!$B$14</x:f>
        <x:v>484000</x:v>
      </x:c>
      <x:c r="W385" s="120" t="n">
        <x:f>'01 Base Costs'!$B$17*2/3</x:f>
        <x:v>93.33333333333333</x:v>
      </x:c>
      <x:c r="X385" s="120" t="n">
        <x:f>0</x:f>
        <x:v>0</x:v>
      </x:c>
      <x:c r="Y385" s="87" t="n">
        <x:f>T385*(W385*'01 Base Costs'!$B$7+X385)</x:f>
        <x:v>62836300799.99999</x:v>
      </x:c>
      <x:c r="Z385" s="87" t="n">
        <x:f>T385*'01 Base Costs'!$B$8</x:f>
        <x:v>105381907199.99998</x:v>
      </x:c>
      <x:c r="AA385" s="87" t="n">
        <x:f>Z385*'01 Base Costs'!$B$11</x:f>
        <x:v>5269095360</x:v>
      </x:c>
      <x:c r="AB385" s="87" t="n">
        <x:f>Z385-AA385</x:f>
        <x:v>100112811839.99998</x:v>
      </x:c>
      <x:c r="AC385" s="87" t="n">
        <x:f>O385+Y385</x:f>
        <x:v>113745340800</x:v>
      </x:c>
      <x:c r="AD385" s="87" t="n">
        <x:f>AB385-AC385</x:f>
        <x:v>-13632528960.000015</x:v>
      </x:c>
      <x:c r="AE385" s="87" t="n">
        <x:f>AD385/D385</x:f>
        <x:v>-1136044080.0000012</x:v>
      </x:c>
      <x:c r="AF385" s="87" t="n">
        <x:f>AD385/P385</x:f>
        <x:v>-378681360.0000004</x:v>
      </x:c>
      <x:c r="AG385" s="87" t="n">
        <x:f>IF(T385=0,0,AC385/T385/(1-'01 Base Costs'!$B$11))</x:f>
        <x:v>855423651.7218974</x:v>
      </x:c>
      <x:c r="AH385" s="88" t="str">
        <x:f>IF(AD385&gt;0,"PROFIT","LOSS")</x:f>
        <x:v>LOSS</x:v>
      </x:c>
      <x:c r="AI385" s="89" t="str">
        <x:v>Base 12M Omega. MCT sale 40% off. Extractor 3-for-2 sale.</x:v>
      </x:c>
    </x:row>
    <x:row r="386">
      <x:c r="A386" s="86" t="n">
        <x:v>384</x:v>
      </x:c>
      <x:c r="B386" s="88" t="str">
        <x:v>Base</x:v>
      </x:c>
      <x:c r="C386" s="88" t="str">
        <x:v>12M Omega</x:v>
      </x:c>
      <x:c r="D386" s="88" t="n">
        <x:v>12</x:v>
      </x:c>
      <x:c r="E386" s="88" t="n">
        <x:v>3</x:v>
      </x:c>
      <x:c r="F386" s="88" t="str">
        <x:v>NES MCT 40% sale</x:v>
      </x:c>
      <x:c r="G386" s="88" t="str">
        <x:v>NES 2-for-1 extractor sale</x:v>
      </x:c>
      <x:c r="H386" s="87" t="n">
        <x:f>'01 Base Costs'!$B$24</x:f>
        <x:v>3600</x:v>
      </x:c>
      <x:c r="I386" s="87" t="n">
        <x:f>'01 Base Costs'!$B$16*0.6</x:f>
        <x:v>291</x:v>
      </x:c>
      <x:c r="J386" s="87" t="n">
        <x:f>0</x:f>
        <x:v>0</x:v>
      </x:c>
      <x:c r="K386" s="87" t="n">
        <x:f>D386*(E386-1)*I386</x:f>
        <x:v>6984</x:v>
      </x:c>
      <x:c r="L386" s="87" t="n">
        <x:f>D386*(E386-1)*J386</x:f>
        <x:v>0</x:v>
      </x:c>
      <x:c r="M386" s="87" t="n">
        <x:f>0</x:f>
        <x:v>0</x:v>
      </x:c>
      <x:c r="N386" s="87" t="n">
        <x:f>H386+K386+M386</x:f>
        <x:v>10584</x:v>
      </x:c>
      <x:c r="O386" s="87" t="n">
        <x:f>N386*'01 Base Costs'!$B$7+L386</x:f>
        <x:v>50909040000</x:v>
      </x:c>
      <x:c r="P386" s="87" t="n">
        <x:f>D386*E386</x:f>
        <x:v>36</x:v>
      </x:c>
      <x:c r="Q386" s="87" t="n">
        <x:f>P386*'01 Base Costs'!$B$12</x:f>
        <x:v>69984000</x:v>
      </x:c>
      <x:c r="R386" s="87" t="n">
        <x:f>0</x:f>
        <x:v>0</x:v>
      </x:c>
      <x:c r="S386" s="87" t="n">
        <x:f>Q386+R386</x:f>
        <x:v>69984000</x:v>
      </x:c>
      <x:c r="T386" s="141" t="n">
        <x:f>S386/'01 Base Costs'!$B$14</x:f>
        <x:v>139.968</x:v>
      </x:c>
      <x:c r="U386" s="87" t="n">
        <x:f>INT(T386)</x:f>
        <x:v>139</x:v>
      </x:c>
      <x:c r="V386" s="87" t="n">
        <x:f>S386-U386*'01 Base Costs'!$B$14</x:f>
        <x:v>484000</x:v>
      </x:c>
      <x:c r="W386" s="120" t="n">
        <x:f>'01 Base Costs'!$B$17/2</x:f>
        <x:v>70</x:v>
      </x:c>
      <x:c r="X386" s="120" t="n">
        <x:f>0</x:f>
        <x:v>0</x:v>
      </x:c>
      <x:c r="Y386" s="87" t="n">
        <x:f>T386*(W386*'01 Base Costs'!$B$7+X386)</x:f>
        <x:v>47127225600</x:v>
      </x:c>
      <x:c r="Z386" s="87" t="n">
        <x:f>T386*'01 Base Costs'!$B$8</x:f>
        <x:v>105381907199.99998</x:v>
      </x:c>
      <x:c r="AA386" s="87" t="n">
        <x:f>Z386*'01 Base Costs'!$B$11</x:f>
        <x:v>5269095360</x:v>
      </x:c>
      <x:c r="AB386" s="87" t="n">
        <x:f>Z386-AA386</x:f>
        <x:v>100112811839.99998</x:v>
      </x:c>
      <x:c r="AC386" s="87" t="n">
        <x:f>O386+Y386</x:f>
        <x:v>98036265600</x:v>
      </x:c>
      <x:c r="AD386" s="87" t="n">
        <x:f>AB386-AC386</x:f>
        <x:v>2076546239.9999847</x:v>
      </x:c>
      <x:c r="AE386" s="87" t="n">
        <x:f>AD386/D386</x:f>
        <x:v>173045519.99999872</x:v>
      </x:c>
      <x:c r="AF386" s="87" t="n">
        <x:f>AD386/P386</x:f>
        <x:v>57681839.999999575</x:v>
      </x:c>
      <x:c r="AG386" s="87" t="n">
        <x:f>IF(T386=0,0,AC386/T386/(1-'01 Base Costs'!$B$11))</x:f>
        <x:v>737283300.8447044</x:v>
      </x:c>
      <x:c r="AH386" s="88" t="str">
        <x:f>IF(AD386&gt;0,"PROFIT","LOSS")</x:f>
        <x:v>PROFIT</x:v>
      </x:c>
      <x:c r="AI386" s="89" t="str">
        <x:v>Base 12M Omega. MCT sale 40% off. Extractor 2-for-1 sale.</x:v>
      </x:c>
    </x:row>
    <x:row r="387">
      <x:c r="A387" s="86" t="n">
        <x:v>385</x:v>
      </x:c>
      <x:c r="B387" s="88" t="str">
        <x:v>Base</x:v>
      </x:c>
      <x:c r="C387" s="88" t="str">
        <x:v>12M Omega</x:v>
      </x:c>
      <x:c r="D387" s="88" t="n">
        <x:v>12</x:v>
      </x:c>
      <x:c r="E387" s="88" t="n">
        <x:v>3</x:v>
      </x:c>
      <x:c r="F387" s="88" t="str">
        <x:v>NES MCT 40% sale</x:v>
      </x:c>
      <x:c r="G387" s="88" t="str">
        <x:v>NES 10-pack extractor 20% sale</x:v>
      </x:c>
      <x:c r="H387" s="87" t="n">
        <x:f>'01 Base Costs'!$B$24</x:f>
        <x:v>3600</x:v>
      </x:c>
      <x:c r="I387" s="87" t="n">
        <x:f>'01 Base Costs'!$B$16*0.6</x:f>
        <x:v>291</x:v>
      </x:c>
      <x:c r="J387" s="87" t="n">
        <x:f>0</x:f>
        <x:v>0</x:v>
      </x:c>
      <x:c r="K387" s="87" t="n">
        <x:f>D387*(E387-1)*I387</x:f>
        <x:v>6984</x:v>
      </x:c>
      <x:c r="L387" s="87" t="n">
        <x:f>D387*(E387-1)*J387</x:f>
        <x:v>0</x:v>
      </x:c>
      <x:c r="M387" s="87" t="n">
        <x:f>0</x:f>
        <x:v>0</x:v>
      </x:c>
      <x:c r="N387" s="87" t="n">
        <x:f>H387+K387+M387</x:f>
        <x:v>10584</x:v>
      </x:c>
      <x:c r="O387" s="87" t="n">
        <x:f>N387*'01 Base Costs'!$B$7+L387</x:f>
        <x:v>50909040000</x:v>
      </x:c>
      <x:c r="P387" s="87" t="n">
        <x:f>D387*E387</x:f>
        <x:v>36</x:v>
      </x:c>
      <x:c r="Q387" s="87" t="n">
        <x:f>P387*'01 Base Costs'!$B$12</x:f>
        <x:v>69984000</x:v>
      </x:c>
      <x:c r="R387" s="87" t="n">
        <x:f>0</x:f>
        <x:v>0</x:v>
      </x:c>
      <x:c r="S387" s="87" t="n">
        <x:f>Q387+R387</x:f>
        <x:v>69984000</x:v>
      </x:c>
      <x:c r="T387" s="141" t="n">
        <x:f>S387/'01 Base Costs'!$B$14</x:f>
        <x:v>139.968</x:v>
      </x:c>
      <x:c r="U387" s="87" t="n">
        <x:f>INT(T387)</x:f>
        <x:v>139</x:v>
      </x:c>
      <x:c r="V387" s="87" t="n">
        <x:f>S387-U387*'01 Base Costs'!$B$14</x:f>
        <x:v>484000</x:v>
      </x:c>
      <x:c r="W387" s="120" t="n">
        <x:f>'01 Base Costs'!$B$19*0.8/10</x:f>
        <x:v>95.2</x:v>
      </x:c>
      <x:c r="X387" s="120" t="n">
        <x:f>0</x:f>
        <x:v>0</x:v>
      </x:c>
      <x:c r="Y387" s="87" t="n">
        <x:f>T387*(W387*'01 Base Costs'!$B$7+X387)</x:f>
        <x:v>64093026815.99999</x:v>
      </x:c>
      <x:c r="Z387" s="87" t="n">
        <x:f>T387*'01 Base Costs'!$B$8</x:f>
        <x:v>105381907199.99998</x:v>
      </x:c>
      <x:c r="AA387" s="87" t="n">
        <x:f>Z387*'01 Base Costs'!$B$11</x:f>
        <x:v>5269095360</x:v>
      </x:c>
      <x:c r="AB387" s="87" t="n">
        <x:f>Z387-AA387</x:f>
        <x:v>100112811839.99998</x:v>
      </x:c>
      <x:c r="AC387" s="87" t="n">
        <x:f>O387+Y387</x:f>
        <x:v>115002066816</x:v>
      </x:c>
      <x:c r="AD387" s="87" t="n">
        <x:f>AB387-AC387</x:f>
        <x:v>-14889254976.000015</x:v>
      </x:c>
      <x:c r="AE387" s="87" t="n">
        <x:f>AD387/D387</x:f>
        <x:v>-1240771248.0000012</x:v>
      </x:c>
      <x:c r="AF387" s="87" t="n">
        <x:f>AD387/P387</x:f>
        <x:v>-413590416.0000004</x:v>
      </x:c>
      <x:c r="AG387" s="87" t="n">
        <x:f>IF(T387=0,0,AC387/T387/(1-'01 Base Costs'!$B$11))</x:f>
        <x:v>864874879.7920729</x:v>
      </x:c>
      <x:c r="AH387" s="88" t="str">
        <x:f>IF(AD387&gt;0,"PROFIT","LOSS")</x:f>
        <x:v>LOSS</x:v>
      </x:c>
      <x:c r="AI387" s="89" t="str">
        <x:v>Base 12M Omega. MCT sale 40% off. 10-pack at 20% off.</x:v>
      </x:c>
    </x:row>
    <x:row r="388">
      <x:c r="A388" s="86" t="n">
        <x:v>386</x:v>
      </x:c>
      <x:c r="B388" s="88" t="str">
        <x:v>Base</x:v>
      </x:c>
      <x:c r="C388" s="88" t="str">
        <x:v>12M Omega</x:v>
      </x:c>
      <x:c r="D388" s="88" t="n">
        <x:v>12</x:v>
      </x:c>
      <x:c r="E388" s="88" t="n">
        <x:v>3</x:v>
      </x:c>
      <x:c r="F388" s="88" t="str">
        <x:v>NES MCT 40% sale</x:v>
      </x:c>
      <x:c r="G388" s="88" t="str">
        <x:v>NES 50-pack extractor 20% sale</x:v>
      </x:c>
      <x:c r="H388" s="87" t="n">
        <x:f>'01 Base Costs'!$B$24</x:f>
        <x:v>3600</x:v>
      </x:c>
      <x:c r="I388" s="87" t="n">
        <x:f>'01 Base Costs'!$B$16*0.6</x:f>
        <x:v>291</x:v>
      </x:c>
      <x:c r="J388" s="87" t="n">
        <x:f>0</x:f>
        <x:v>0</x:v>
      </x:c>
      <x:c r="K388" s="87" t="n">
        <x:f>D388*(E388-1)*I388</x:f>
        <x:v>6984</x:v>
      </x:c>
      <x:c r="L388" s="87" t="n">
        <x:f>D388*(E388-1)*J388</x:f>
        <x:v>0</x:v>
      </x:c>
      <x:c r="M388" s="87" t="n">
        <x:f>0</x:f>
        <x:v>0</x:v>
      </x:c>
      <x:c r="N388" s="87" t="n">
        <x:f>H388+K388+M388</x:f>
        <x:v>10584</x:v>
      </x:c>
      <x:c r="O388" s="87" t="n">
        <x:f>N388*'01 Base Costs'!$B$7+L388</x:f>
        <x:v>50909040000</x:v>
      </x:c>
      <x:c r="P388" s="87" t="n">
        <x:f>D388*E388</x:f>
        <x:v>36</x:v>
      </x:c>
      <x:c r="Q388" s="87" t="n">
        <x:f>P388*'01 Base Costs'!$B$12</x:f>
        <x:v>69984000</x:v>
      </x:c>
      <x:c r="R388" s="87" t="n">
        <x:f>0</x:f>
        <x:v>0</x:v>
      </x:c>
      <x:c r="S388" s="87" t="n">
        <x:f>Q388+R388</x:f>
        <x:v>69984000</x:v>
      </x:c>
      <x:c r="T388" s="141" t="n">
        <x:f>S388/'01 Base Costs'!$B$14</x:f>
        <x:v>139.968</x:v>
      </x:c>
      <x:c r="U388" s="87" t="n">
        <x:f>INT(T388)</x:f>
        <x:v>139</x:v>
      </x:c>
      <x:c r="V388" s="87" t="n">
        <x:f>S388-U388*'01 Base Costs'!$B$14</x:f>
        <x:v>484000</x:v>
      </x:c>
      <x:c r="W388" s="120" t="n">
        <x:f>'01 Base Costs'!$B$20*0.8/50</x:f>
        <x:v>89.6</x:v>
      </x:c>
      <x:c r="X388" s="120" t="n">
        <x:f>0</x:f>
        <x:v>0</x:v>
      </x:c>
      <x:c r="Y388" s="87" t="n">
        <x:f>T388*(W388*'01 Base Costs'!$B$7+X388)</x:f>
        <x:v>60322848767.99999</x:v>
      </x:c>
      <x:c r="Z388" s="87" t="n">
        <x:f>T388*'01 Base Costs'!$B$8</x:f>
        <x:v>105381907199.99998</x:v>
      </x:c>
      <x:c r="AA388" s="87" t="n">
        <x:f>Z388*'01 Base Costs'!$B$11</x:f>
        <x:v>5269095360</x:v>
      </x:c>
      <x:c r="AB388" s="87" t="n">
        <x:f>Z388-AA388</x:f>
        <x:v>100112811839.99998</x:v>
      </x:c>
      <x:c r="AC388" s="87" t="n">
        <x:f>O388+Y388</x:f>
        <x:v>111231888768</x:v>
      </x:c>
      <x:c r="AD388" s="87" t="n">
        <x:f>AB388-AC388</x:f>
        <x:v>-11119076928.000015</x:v>
      </x:c>
      <x:c r="AE388" s="87" t="n">
        <x:f>AD388/D388</x:f>
        <x:v>-926589744.0000013</x:v>
      </x:c>
      <x:c r="AF388" s="87" t="n">
        <x:f>AD388/P388</x:f>
        <x:v>-308863248.0000004</x:v>
      </x:c>
      <x:c r="AG388" s="87" t="n">
        <x:f>IF(T388=0,0,AC388/T388/(1-'01 Base Costs'!$B$11))</x:f>
        <x:v>836521195.5815467</x:v>
      </x:c>
      <x:c r="AH388" s="88" t="str">
        <x:f>IF(AD388&gt;0,"PROFIT","LOSS")</x:f>
        <x:v>LOSS</x:v>
      </x:c>
      <x:c r="AI388" s="89" t="str">
        <x:v>Base 12M Omega. MCT sale 40% off. 50-pack at 20% off.</x:v>
      </x:c>
    </x:row>
    <x:row r="389">
      <x:c r="A389" s="86" t="n">
        <x:v>387</x:v>
      </x:c>
      <x:c r="B389" s="88" t="str">
        <x:v>Base</x:v>
      </x:c>
      <x:c r="C389" s="88" t="str">
        <x:v>12M Omega</x:v>
      </x:c>
      <x:c r="D389" s="88" t="n">
        <x:v>12</x:v>
      </x:c>
      <x:c r="E389" s="88" t="n">
        <x:v>3</x:v>
      </x:c>
      <x:c r="F389" s="88" t="str">
        <x:v>NES MCT 40% sale</x:v>
      </x:c>
      <x:c r="G389" s="88" t="str">
        <x:v>Market Skill Extractor</x:v>
      </x:c>
      <x:c r="H389" s="87" t="n">
        <x:f>'01 Base Costs'!$B$24</x:f>
        <x:v>3600</x:v>
      </x:c>
      <x:c r="I389" s="87" t="n">
        <x:f>'01 Base Costs'!$B$16*0.6</x:f>
        <x:v>291</x:v>
      </x:c>
      <x:c r="J389" s="87" t="n">
        <x:f>0</x:f>
        <x:v>0</x:v>
      </x:c>
      <x:c r="K389" s="87" t="n">
        <x:f>D389*(E389-1)*I389</x:f>
        <x:v>6984</x:v>
      </x:c>
      <x:c r="L389" s="87" t="n">
        <x:f>D389*(E389-1)*J389</x:f>
        <x:v>0</x:v>
      </x:c>
      <x:c r="M389" s="87" t="n">
        <x:f>0</x:f>
        <x:v>0</x:v>
      </x:c>
      <x:c r="N389" s="87" t="n">
        <x:f>H389+K389+M389</x:f>
        <x:v>10584</x:v>
      </x:c>
      <x:c r="O389" s="87" t="n">
        <x:f>N389*'01 Base Costs'!$B$7+L389</x:f>
        <x:v>50909040000</x:v>
      </x:c>
      <x:c r="P389" s="87" t="n">
        <x:f>D389*E389</x:f>
        <x:v>36</x:v>
      </x:c>
      <x:c r="Q389" s="87" t="n">
        <x:f>P389*'01 Base Costs'!$B$12</x:f>
        <x:v>69984000</x:v>
      </x:c>
      <x:c r="R389" s="87" t="n">
        <x:f>0</x:f>
        <x:v>0</x:v>
      </x:c>
      <x:c r="S389" s="87" t="n">
        <x:f>Q389+R389</x:f>
        <x:v>69984000</x:v>
      </x:c>
      <x:c r="T389" s="141" t="n">
        <x:f>S389/'01 Base Costs'!$B$14</x:f>
        <x:v>139.968</x:v>
      </x:c>
      <x:c r="U389" s="87" t="n">
        <x:f>INT(T389)</x:f>
        <x:v>139</x:v>
      </x:c>
      <x:c r="V389" s="87" t="n">
        <x:f>S389-U389*'01 Base Costs'!$B$14</x:f>
        <x:v>484000</x:v>
      </x:c>
      <x:c r="W389" s="120" t="n">
        <x:f>0</x:f>
        <x:v>0</x:v>
      </x:c>
      <x:c r="X389" s="120" t="n">
        <x:f>'01 Base Costs'!$B$9</x:f>
        <x:v>463500000</x:v>
      </x:c>
      <x:c r="Y389" s="87" t="n">
        <x:f>T389*(W389*'01 Base Costs'!$B$7+X389)</x:f>
        <x:v>64875167999.99999</x:v>
      </x:c>
      <x:c r="Z389" s="87" t="n">
        <x:f>T389*'01 Base Costs'!$B$8</x:f>
        <x:v>105381907199.99998</x:v>
      </x:c>
      <x:c r="AA389" s="87" t="n">
        <x:f>Z389*'01 Base Costs'!$B$11</x:f>
        <x:v>5269095360</x:v>
      </x:c>
      <x:c r="AB389" s="87" t="n">
        <x:f>Z389-AA389</x:f>
        <x:v>100112811839.99998</x:v>
      </x:c>
      <x:c r="AC389" s="87" t="n">
        <x:f>O389+Y389</x:f>
        <x:v>115784208000</x:v>
      </x:c>
      <x:c r="AD389" s="87" t="n">
        <x:f>AB389-AC389</x:f>
        <x:v>-15671396160.000015</x:v>
      </x:c>
      <x:c r="AE389" s="87" t="n">
        <x:f>AD389/D389</x:f>
        <x:v>-1305949680.0000012</x:v>
      </x:c>
      <x:c r="AF389" s="87" t="n">
        <x:f>AD389/P389</x:f>
        <x:v>-435316560.0000004</x:v>
      </x:c>
      <x:c r="AG389" s="87" t="n">
        <x:f>IF(T389=0,0,AC389/T389/(1-'01 Base Costs'!$B$11))</x:f>
        <x:v>870756985.0552309</x:v>
      </x:c>
      <x:c r="AH389" s="88" t="str">
        <x:f>IF(AD389&gt;0,"PROFIT","LOSS")</x:f>
        <x:v>LOSS</x:v>
      </x:c>
      <x:c r="AI389" s="89" t="str">
        <x:v>Base 12M Omega. MCT sale 40% off. Extractor bought on market with ISK.</x:v>
      </x:c>
    </x:row>
    <x:row r="390">
      <x:c r="A390" s="86" t="n">
        <x:v>388</x:v>
      </x:c>
      <x:c r="B390" s="88" t="str">
        <x:v>Base</x:v>
      </x:c>
      <x:c r="C390" s="88" t="str">
        <x:v>12M Omega</x:v>
      </x:c>
      <x:c r="D390" s="88" t="n">
        <x:v>12</x:v>
      </x:c>
      <x:c r="E390" s="88" t="n">
        <x:v>3</x:v>
      </x:c>
      <x:c r="F390" s="88" t="str">
        <x:v>Market MCT certificate</x:v>
      </x:c>
      <x:c r="G390" s="88" t="str">
        <x:v>NES single extractor</x:v>
      </x:c>
      <x:c r="H390" s="87" t="n">
        <x:f>'01 Base Costs'!$B$24</x:f>
        <x:v>3600</x:v>
      </x:c>
      <x:c r="I390" s="87" t="n">
        <x:f>0</x:f>
        <x:v>0</x:v>
      </x:c>
      <x:c r="J390" s="87" t="n">
        <x:f>'01 Base Costs'!$B$10</x:f>
        <x:v>2332850000</x:v>
      </x:c>
      <x:c r="K390" s="87" t="n">
        <x:f>D390*(E390-1)*I390</x:f>
        <x:v>0</x:v>
      </x:c>
      <x:c r="L390" s="87" t="n">
        <x:f>D390*(E390-1)*J390</x:f>
        <x:v>55988400000</x:v>
      </x:c>
      <x:c r="M390" s="87" t="n">
        <x:f>0</x:f>
        <x:v>0</x:v>
      </x:c>
      <x:c r="N390" s="87" t="n">
        <x:f>H390+K390+M390</x:f>
        <x:v>3600</x:v>
      </x:c>
      <x:c r="O390" s="87" t="n">
        <x:f>N390*'01 Base Costs'!$B$7+L390</x:f>
        <x:v>73304400000</x:v>
      </x:c>
      <x:c r="P390" s="87" t="n">
        <x:f>D390*E390</x:f>
        <x:v>36</x:v>
      </x:c>
      <x:c r="Q390" s="87" t="n">
        <x:f>P390*'01 Base Costs'!$B$12</x:f>
        <x:v>69984000</x:v>
      </x:c>
      <x:c r="R390" s="87" t="n">
        <x:f>0</x:f>
        <x:v>0</x:v>
      </x:c>
      <x:c r="S390" s="87" t="n">
        <x:f>Q390+R390</x:f>
        <x:v>69984000</x:v>
      </x:c>
      <x:c r="T390" s="141" t="n">
        <x:f>S390/'01 Base Costs'!$B$14</x:f>
        <x:v>139.968</x:v>
      </x:c>
      <x:c r="U390" s="87" t="n">
        <x:f>INT(T390)</x:f>
        <x:v>139</x:v>
      </x:c>
      <x:c r="V390" s="87" t="n">
        <x:f>S390-U390*'01 Base Costs'!$B$14</x:f>
        <x:v>484000</x:v>
      </x:c>
      <x:c r="W390" s="120" t="n">
        <x:f>'01 Base Costs'!$B$17</x:f>
        <x:v>140</x:v>
      </x:c>
      <x:c r="X390" s="120" t="n">
        <x:f>0</x:f>
        <x:v>0</x:v>
      </x:c>
      <x:c r="Y390" s="87" t="n">
        <x:f>T390*(W390*'01 Base Costs'!$B$7+X390)</x:f>
        <x:v>94254451200</x:v>
      </x:c>
      <x:c r="Z390" s="87" t="n">
        <x:f>T390*'01 Base Costs'!$B$8</x:f>
        <x:v>105381907199.99998</x:v>
      </x:c>
      <x:c r="AA390" s="87" t="n">
        <x:f>Z390*'01 Base Costs'!$B$11</x:f>
        <x:v>5269095360</x:v>
      </x:c>
      <x:c r="AB390" s="87" t="n">
        <x:f>Z390-AA390</x:f>
        <x:v>100112811839.99998</x:v>
      </x:c>
      <x:c r="AC390" s="87" t="n">
        <x:f>O390+Y390</x:f>
        <x:v>167558851200</x:v>
      </x:c>
      <x:c r="AD390" s="87" t="n">
        <x:f>AB390-AC390</x:f>
        <x:v>-67446039360.000015</x:v>
      </x:c>
      <x:c r="AE390" s="87" t="n">
        <x:f>AD390/D390</x:f>
        <x:v>-5620503280.000001</x:v>
      </x:c>
      <x:c r="AF390" s="87" t="n">
        <x:f>AD390/P390</x:f>
        <x:v>-1873501093.3333337</x:v>
      </x:c>
      <x:c r="AG390" s="87" t="n">
        <x:f>IF(T390=0,0,AC390/T390/(1-'01 Base Costs'!$B$11))</x:f>
        <x:v>1260129015.9555268</x:v>
      </x:c>
      <x:c r="AH390" s="88" t="str">
        <x:f>IF(AD390&gt;0,"PROFIT","LOSS")</x:f>
        <x:v>LOSS</x:v>
      </x:c>
      <x:c r="AI390" s="89" t="str">
        <x:v>Base 12M Omega. MCT certificate bought with ISK market price. Base single extractor.</x:v>
      </x:c>
    </x:row>
    <x:row r="391">
      <x:c r="A391" s="86" t="n">
        <x:v>389</x:v>
      </x:c>
      <x:c r="B391" s="88" t="str">
        <x:v>Base</x:v>
      </x:c>
      <x:c r="C391" s="88" t="str">
        <x:v>12M Omega</x:v>
      </x:c>
      <x:c r="D391" s="88" t="n">
        <x:v>12</x:v>
      </x:c>
      <x:c r="E391" s="88" t="n">
        <x:v>3</x:v>
      </x:c>
      <x:c r="F391" s="88" t="str">
        <x:v>Market MCT certificate</x:v>
      </x:c>
      <x:c r="G391" s="88" t="str">
        <x:v>NES 5-pack extractor</x:v>
      </x:c>
      <x:c r="H391" s="87" t="n">
        <x:f>'01 Base Costs'!$B$24</x:f>
        <x:v>3600</x:v>
      </x:c>
      <x:c r="I391" s="87" t="n">
        <x:f>0</x:f>
        <x:v>0</x:v>
      </x:c>
      <x:c r="J391" s="87" t="n">
        <x:f>'01 Base Costs'!$B$10</x:f>
        <x:v>2332850000</x:v>
      </x:c>
      <x:c r="K391" s="87" t="n">
        <x:f>D391*(E391-1)*I391</x:f>
        <x:v>0</x:v>
      </x:c>
      <x:c r="L391" s="87" t="n">
        <x:f>D391*(E391-1)*J391</x:f>
        <x:v>55988400000</x:v>
      </x:c>
      <x:c r="M391" s="87" t="n">
        <x:f>0</x:f>
        <x:v>0</x:v>
      </x:c>
      <x:c r="N391" s="87" t="n">
        <x:f>H391+K391+M391</x:f>
        <x:v>3600</x:v>
      </x:c>
      <x:c r="O391" s="87" t="n">
        <x:f>N391*'01 Base Costs'!$B$7+L391</x:f>
        <x:v>73304400000</x:v>
      </x:c>
      <x:c r="P391" s="87" t="n">
        <x:f>D391*E391</x:f>
        <x:v>36</x:v>
      </x:c>
      <x:c r="Q391" s="87" t="n">
        <x:f>P391*'01 Base Costs'!$B$12</x:f>
        <x:v>69984000</x:v>
      </x:c>
      <x:c r="R391" s="87" t="n">
        <x:f>0</x:f>
        <x:v>0</x:v>
      </x:c>
      <x:c r="S391" s="87" t="n">
        <x:f>Q391+R391</x:f>
        <x:v>69984000</x:v>
      </x:c>
      <x:c r="T391" s="141" t="n">
        <x:f>S391/'01 Base Costs'!$B$14</x:f>
        <x:v>139.968</x:v>
      </x:c>
      <x:c r="U391" s="87" t="n">
        <x:f>INT(T391)</x:f>
        <x:v>139</x:v>
      </x:c>
      <x:c r="V391" s="87" t="n">
        <x:f>S391-U391*'01 Base Costs'!$B$14</x:f>
        <x:v>484000</x:v>
      </x:c>
      <x:c r="W391" s="120" t="n">
        <x:f>'01 Base Costs'!$B$18/5</x:f>
        <x:v>126</x:v>
      </x:c>
      <x:c r="X391" s="120" t="n">
        <x:f>0</x:f>
        <x:v>0</x:v>
      </x:c>
      <x:c r="Y391" s="87" t="n">
        <x:f>T391*(W391*'01 Base Costs'!$B$7+X391)</x:f>
        <x:v>84829006080</x:v>
      </x:c>
      <x:c r="Z391" s="87" t="n">
        <x:f>T391*'01 Base Costs'!$B$8</x:f>
        <x:v>105381907199.99998</x:v>
      </x:c>
      <x:c r="AA391" s="87" t="n">
        <x:f>Z391*'01 Base Costs'!$B$11</x:f>
        <x:v>5269095360</x:v>
      </x:c>
      <x:c r="AB391" s="87" t="n">
        <x:f>Z391-AA391</x:f>
        <x:v>100112811839.99998</x:v>
      </x:c>
      <x:c r="AC391" s="87" t="n">
        <x:f>O391+Y391</x:f>
        <x:v>158133406080</x:v>
      </x:c>
      <x:c r="AD391" s="87" t="n">
        <x:f>AB391-AC391</x:f>
        <x:v>-58020594240.000015</x:v>
      </x:c>
      <x:c r="AE391" s="87" t="n">
        <x:f>AD391/D391</x:f>
        <x:v>-4835049520.000001</x:v>
      </x:c>
      <x:c r="AF391" s="87" t="n">
        <x:f>AD391/P391</x:f>
        <x:v>-1611683173.3333337</x:v>
      </x:c>
      <x:c r="AG391" s="87" t="n">
        <x:f>IF(T391=0,0,AC391/T391/(1-'01 Base Costs'!$B$11))</x:f>
        <x:v>1189244805.429211</x:v>
      </x:c>
      <x:c r="AH391" s="88" t="str">
        <x:f>IF(AD391&gt;0,"PROFIT","LOSS")</x:f>
        <x:v>LOSS</x:v>
      </x:c>
      <x:c r="AI391" s="89" t="str">
        <x:v>Base 12M Omega. MCT certificate bought with ISK market price. Base 5-pack average.</x:v>
      </x:c>
    </x:row>
    <x:row r="392">
      <x:c r="A392" s="86" t="n">
        <x:v>390</x:v>
      </x:c>
      <x:c r="B392" s="88" t="str">
        <x:v>Base</x:v>
      </x:c>
      <x:c r="C392" s="88" t="str">
        <x:v>12M Omega</x:v>
      </x:c>
      <x:c r="D392" s="88" t="n">
        <x:v>12</x:v>
      </x:c>
      <x:c r="E392" s="88" t="n">
        <x:v>3</x:v>
      </x:c>
      <x:c r="F392" s="88" t="str">
        <x:v>Market MCT certificate</x:v>
      </x:c>
      <x:c r="G392" s="88" t="str">
        <x:v>NES 10-pack extractor</x:v>
      </x:c>
      <x:c r="H392" s="87" t="n">
        <x:f>'01 Base Costs'!$B$24</x:f>
        <x:v>3600</x:v>
      </x:c>
      <x:c r="I392" s="87" t="n">
        <x:f>0</x:f>
        <x:v>0</x:v>
      </x:c>
      <x:c r="J392" s="87" t="n">
        <x:f>'01 Base Costs'!$B$10</x:f>
        <x:v>2332850000</x:v>
      </x:c>
      <x:c r="K392" s="87" t="n">
        <x:f>D392*(E392-1)*I392</x:f>
        <x:v>0</x:v>
      </x:c>
      <x:c r="L392" s="87" t="n">
        <x:f>D392*(E392-1)*J392</x:f>
        <x:v>55988400000</x:v>
      </x:c>
      <x:c r="M392" s="87" t="n">
        <x:f>0</x:f>
        <x:v>0</x:v>
      </x:c>
      <x:c r="N392" s="87" t="n">
        <x:f>H392+K392+M392</x:f>
        <x:v>3600</x:v>
      </x:c>
      <x:c r="O392" s="87" t="n">
        <x:f>N392*'01 Base Costs'!$B$7+L392</x:f>
        <x:v>73304400000</x:v>
      </x:c>
      <x:c r="P392" s="87" t="n">
        <x:f>D392*E392</x:f>
        <x:v>36</x:v>
      </x:c>
      <x:c r="Q392" s="87" t="n">
        <x:f>P392*'01 Base Costs'!$B$12</x:f>
        <x:v>69984000</x:v>
      </x:c>
      <x:c r="R392" s="87" t="n">
        <x:f>0</x:f>
        <x:v>0</x:v>
      </x:c>
      <x:c r="S392" s="87" t="n">
        <x:f>Q392+R392</x:f>
        <x:v>69984000</x:v>
      </x:c>
      <x:c r="T392" s="141" t="n">
        <x:f>S392/'01 Base Costs'!$B$14</x:f>
        <x:v>139.968</x:v>
      </x:c>
      <x:c r="U392" s="87" t="n">
        <x:f>INT(T392)</x:f>
        <x:v>139</x:v>
      </x:c>
      <x:c r="V392" s="87" t="n">
        <x:f>S392-U392*'01 Base Costs'!$B$14</x:f>
        <x:v>484000</x:v>
      </x:c>
      <x:c r="W392" s="120" t="n">
        <x:f>'01 Base Costs'!$B$19/10</x:f>
        <x:v>119</x:v>
      </x:c>
      <x:c r="X392" s="120" t="n">
        <x:f>0</x:f>
        <x:v>0</x:v>
      </x:c>
      <x:c r="Y392" s="87" t="n">
        <x:f>T392*(W392*'01 Base Costs'!$B$7+X392)</x:f>
        <x:v>80116283520</x:v>
      </x:c>
      <x:c r="Z392" s="87" t="n">
        <x:f>T392*'01 Base Costs'!$B$8</x:f>
        <x:v>105381907199.99998</x:v>
      </x:c>
      <x:c r="AA392" s="87" t="n">
        <x:f>Z392*'01 Base Costs'!$B$11</x:f>
        <x:v>5269095360</x:v>
      </x:c>
      <x:c r="AB392" s="87" t="n">
        <x:f>Z392-AA392</x:f>
        <x:v>100112811839.99998</x:v>
      </x:c>
      <x:c r="AC392" s="87" t="n">
        <x:f>O392+Y392</x:f>
        <x:v>153420683520</x:v>
      </x:c>
      <x:c r="AD392" s="87" t="n">
        <x:f>AB392-AC392</x:f>
        <x:v>-53307871680.000015</x:v>
      </x:c>
      <x:c r="AE392" s="87" t="n">
        <x:f>AD392/D392</x:f>
        <x:v>-4442322640.000001</x:v>
      </x:c>
      <x:c r="AF392" s="87" t="n">
        <x:f>AD392/P392</x:f>
        <x:v>-1480774213.3333337</x:v>
      </x:c>
      <x:c r="AG392" s="87" t="n">
        <x:f>IF(T392=0,0,AC392/T392/(1-'01 Base Costs'!$B$11))</x:f>
        <x:v>1153802700.166053</x:v>
      </x:c>
      <x:c r="AH392" s="88" t="str">
        <x:f>IF(AD392&gt;0,"PROFIT","LOSS")</x:f>
        <x:v>LOSS</x:v>
      </x:c>
      <x:c r="AI392" s="89" t="str">
        <x:v>Base 12M Omega. MCT certificate bought with ISK market price. Base 10-pack average.</x:v>
      </x:c>
    </x:row>
    <x:row r="393">
      <x:c r="A393" s="86" t="n">
        <x:v>391</x:v>
      </x:c>
      <x:c r="B393" s="88" t="str">
        <x:v>Base</x:v>
      </x:c>
      <x:c r="C393" s="88" t="str">
        <x:v>12M Omega</x:v>
      </x:c>
      <x:c r="D393" s="88" t="n">
        <x:v>12</x:v>
      </x:c>
      <x:c r="E393" s="88" t="n">
        <x:v>3</x:v>
      </x:c>
      <x:c r="F393" s="88" t="str">
        <x:v>Market MCT certificate</x:v>
      </x:c>
      <x:c r="G393" s="88" t="str">
        <x:v>NES 50-pack extractor</x:v>
      </x:c>
      <x:c r="H393" s="87" t="n">
        <x:f>'01 Base Costs'!$B$24</x:f>
        <x:v>3600</x:v>
      </x:c>
      <x:c r="I393" s="87" t="n">
        <x:f>0</x:f>
        <x:v>0</x:v>
      </x:c>
      <x:c r="J393" s="87" t="n">
        <x:f>'01 Base Costs'!$B$10</x:f>
        <x:v>2332850000</x:v>
      </x:c>
      <x:c r="K393" s="87" t="n">
        <x:f>D393*(E393-1)*I393</x:f>
        <x:v>0</x:v>
      </x:c>
      <x:c r="L393" s="87" t="n">
        <x:f>D393*(E393-1)*J393</x:f>
        <x:v>55988400000</x:v>
      </x:c>
      <x:c r="M393" s="87" t="n">
        <x:f>0</x:f>
        <x:v>0</x:v>
      </x:c>
      <x:c r="N393" s="87" t="n">
        <x:f>H393+K393+M393</x:f>
        <x:v>3600</x:v>
      </x:c>
      <x:c r="O393" s="87" t="n">
        <x:f>N393*'01 Base Costs'!$B$7+L393</x:f>
        <x:v>73304400000</x:v>
      </x:c>
      <x:c r="P393" s="87" t="n">
        <x:f>D393*E393</x:f>
        <x:v>36</x:v>
      </x:c>
      <x:c r="Q393" s="87" t="n">
        <x:f>P393*'01 Base Costs'!$B$12</x:f>
        <x:v>69984000</x:v>
      </x:c>
      <x:c r="R393" s="87" t="n">
        <x:f>0</x:f>
        <x:v>0</x:v>
      </x:c>
      <x:c r="S393" s="87" t="n">
        <x:f>Q393+R393</x:f>
        <x:v>69984000</x:v>
      </x:c>
      <x:c r="T393" s="141" t="n">
        <x:f>S393/'01 Base Costs'!$B$14</x:f>
        <x:v>139.968</x:v>
      </x:c>
      <x:c r="U393" s="87" t="n">
        <x:f>INT(T393)</x:f>
        <x:v>139</x:v>
      </x:c>
      <x:c r="V393" s="87" t="n">
        <x:f>S393-U393*'01 Base Costs'!$B$14</x:f>
        <x:v>484000</x:v>
      </x:c>
      <x:c r="W393" s="120" t="n">
        <x:f>'01 Base Costs'!$B$20/50</x:f>
        <x:v>112</x:v>
      </x:c>
      <x:c r="X393" s="120" t="n">
        <x:f>0</x:f>
        <x:v>0</x:v>
      </x:c>
      <x:c r="Y393" s="87" t="n">
        <x:f>T393*(W393*'01 Base Costs'!$B$7+X393)</x:f>
        <x:v>75403560960</x:v>
      </x:c>
      <x:c r="Z393" s="87" t="n">
        <x:f>T393*'01 Base Costs'!$B$8</x:f>
        <x:v>105381907199.99998</x:v>
      </x:c>
      <x:c r="AA393" s="87" t="n">
        <x:f>Z393*'01 Base Costs'!$B$11</x:f>
        <x:v>5269095360</x:v>
      </x:c>
      <x:c r="AB393" s="87" t="n">
        <x:f>Z393-AA393</x:f>
        <x:v>100112811839.99998</x:v>
      </x:c>
      <x:c r="AC393" s="87" t="n">
        <x:f>O393+Y393</x:f>
        <x:v>148707960960</x:v>
      </x:c>
      <x:c r="AD393" s="87" t="n">
        <x:f>AB393-AC393</x:f>
        <x:v>-48595149120.000015</x:v>
      </x:c>
      <x:c r="AE393" s="87" t="n">
        <x:f>AD393/D393</x:f>
        <x:v>-4049595760.0000014</x:v>
      </x:c>
      <x:c r="AF393" s="87" t="n">
        <x:f>AD393/P393</x:f>
        <x:v>-1349865253.3333337</x:v>
      </x:c>
      <x:c r="AG393" s="87" t="n">
        <x:f>IF(T393=0,0,AC393/T393/(1-'01 Base Costs'!$B$11))</x:f>
        <x:v>1118360594.9028952</x:v>
      </x:c>
      <x:c r="AH393" s="88" t="str">
        <x:f>IF(AD393&gt;0,"PROFIT","LOSS")</x:f>
        <x:v>LOSS</x:v>
      </x:c>
      <x:c r="AI393" s="89" t="str">
        <x:v>Base 12M Omega. MCT certificate bought with ISK market price. Base 50-pack average.</x:v>
      </x:c>
    </x:row>
    <x:row r="394">
      <x:c r="A394" s="86" t="n">
        <x:v>392</x:v>
      </x:c>
      <x:c r="B394" s="88" t="str">
        <x:v>Base</x:v>
      </x:c>
      <x:c r="C394" s="88" t="str">
        <x:v>12M Omega</x:v>
      </x:c>
      <x:c r="D394" s="88" t="n">
        <x:v>12</x:v>
      </x:c>
      <x:c r="E394" s="88" t="n">
        <x:v>3</x:v>
      </x:c>
      <x:c r="F394" s="88" t="str">
        <x:v>Market MCT certificate</x:v>
      </x:c>
      <x:c r="G394" s="88" t="str">
        <x:v>NES 3-for-2 extractor sale</x:v>
      </x:c>
      <x:c r="H394" s="87" t="n">
        <x:f>'01 Base Costs'!$B$24</x:f>
        <x:v>3600</x:v>
      </x:c>
      <x:c r="I394" s="87" t="n">
        <x:f>0</x:f>
        <x:v>0</x:v>
      </x:c>
      <x:c r="J394" s="87" t="n">
        <x:f>'01 Base Costs'!$B$10</x:f>
        <x:v>2332850000</x:v>
      </x:c>
      <x:c r="K394" s="87" t="n">
        <x:f>D394*(E394-1)*I394</x:f>
        <x:v>0</x:v>
      </x:c>
      <x:c r="L394" s="87" t="n">
        <x:f>D394*(E394-1)*J394</x:f>
        <x:v>55988400000</x:v>
      </x:c>
      <x:c r="M394" s="87" t="n">
        <x:f>0</x:f>
        <x:v>0</x:v>
      </x:c>
      <x:c r="N394" s="87" t="n">
        <x:f>H394+K394+M394</x:f>
        <x:v>3600</x:v>
      </x:c>
      <x:c r="O394" s="87" t="n">
        <x:f>N394*'01 Base Costs'!$B$7+L394</x:f>
        <x:v>73304400000</x:v>
      </x:c>
      <x:c r="P394" s="87" t="n">
        <x:f>D394*E394</x:f>
        <x:v>36</x:v>
      </x:c>
      <x:c r="Q394" s="87" t="n">
        <x:f>P394*'01 Base Costs'!$B$12</x:f>
        <x:v>69984000</x:v>
      </x:c>
      <x:c r="R394" s="87" t="n">
        <x:f>0</x:f>
        <x:v>0</x:v>
      </x:c>
      <x:c r="S394" s="87" t="n">
        <x:f>Q394+R394</x:f>
        <x:v>69984000</x:v>
      </x:c>
      <x:c r="T394" s="141" t="n">
        <x:f>S394/'01 Base Costs'!$B$14</x:f>
        <x:v>139.968</x:v>
      </x:c>
      <x:c r="U394" s="87" t="n">
        <x:f>INT(T394)</x:f>
        <x:v>139</x:v>
      </x:c>
      <x:c r="V394" s="87" t="n">
        <x:f>S394-U394*'01 Base Costs'!$B$14</x:f>
        <x:v>484000</x:v>
      </x:c>
      <x:c r="W394" s="120" t="n">
        <x:f>'01 Base Costs'!$B$17*2/3</x:f>
        <x:v>93.33333333333333</x:v>
      </x:c>
      <x:c r="X394" s="120" t="n">
        <x:f>0</x:f>
        <x:v>0</x:v>
      </x:c>
      <x:c r="Y394" s="87" t="n">
        <x:f>T394*(W394*'01 Base Costs'!$B$7+X394)</x:f>
        <x:v>62836300799.99999</x:v>
      </x:c>
      <x:c r="Z394" s="87" t="n">
        <x:f>T394*'01 Base Costs'!$B$8</x:f>
        <x:v>105381907199.99998</x:v>
      </x:c>
      <x:c r="AA394" s="87" t="n">
        <x:f>Z394*'01 Base Costs'!$B$11</x:f>
        <x:v>5269095360</x:v>
      </x:c>
      <x:c r="AB394" s="87" t="n">
        <x:f>Z394-AA394</x:f>
        <x:v>100112811839.99998</x:v>
      </x:c>
      <x:c r="AC394" s="87" t="n">
        <x:f>O394+Y394</x:f>
        <x:v>136140700800</x:v>
      </x:c>
      <x:c r="AD394" s="87" t="n">
        <x:f>AB394-AC394</x:f>
        <x:v>-36027888960.000015</x:v>
      </x:c>
      <x:c r="AE394" s="87" t="n">
        <x:f>AD394/D394</x:f>
        <x:v>-3002324080.0000014</x:v>
      </x:c>
      <x:c r="AF394" s="87" t="n">
        <x:f>AD394/P394</x:f>
        <x:v>-1000774693.3333337</x:v>
      </x:c>
      <x:c r="AG394" s="87" t="n">
        <x:f>IF(T394=0,0,AC394/T394/(1-'01 Base Costs'!$B$11))</x:f>
        <x:v>1023848314.2011409</x:v>
      </x:c>
      <x:c r="AH394" s="88" t="str">
        <x:f>IF(AD394&gt;0,"PROFIT","LOSS")</x:f>
        <x:v>LOSS</x:v>
      </x:c>
      <x:c r="AI394" s="89" t="str">
        <x:v>Base 12M Omega. MCT certificate bought with ISK market price. Extractor 3-for-2 sale.</x:v>
      </x:c>
    </x:row>
    <x:row r="395">
      <x:c r="A395" s="86" t="n">
        <x:v>393</x:v>
      </x:c>
      <x:c r="B395" s="88" t="str">
        <x:v>Base</x:v>
      </x:c>
      <x:c r="C395" s="88" t="str">
        <x:v>12M Omega</x:v>
      </x:c>
      <x:c r="D395" s="88" t="n">
        <x:v>12</x:v>
      </x:c>
      <x:c r="E395" s="88" t="n">
        <x:v>3</x:v>
      </x:c>
      <x:c r="F395" s="88" t="str">
        <x:v>Market MCT certificate</x:v>
      </x:c>
      <x:c r="G395" s="88" t="str">
        <x:v>NES 2-for-1 extractor sale</x:v>
      </x:c>
      <x:c r="H395" s="87" t="n">
        <x:f>'01 Base Costs'!$B$24</x:f>
        <x:v>3600</x:v>
      </x:c>
      <x:c r="I395" s="87" t="n">
        <x:f>0</x:f>
        <x:v>0</x:v>
      </x:c>
      <x:c r="J395" s="87" t="n">
        <x:f>'01 Base Costs'!$B$10</x:f>
        <x:v>2332850000</x:v>
      </x:c>
      <x:c r="K395" s="87" t="n">
        <x:f>D395*(E395-1)*I395</x:f>
        <x:v>0</x:v>
      </x:c>
      <x:c r="L395" s="87" t="n">
        <x:f>D395*(E395-1)*J395</x:f>
        <x:v>55988400000</x:v>
      </x:c>
      <x:c r="M395" s="87" t="n">
        <x:f>0</x:f>
        <x:v>0</x:v>
      </x:c>
      <x:c r="N395" s="87" t="n">
        <x:f>H395+K395+M395</x:f>
        <x:v>3600</x:v>
      </x:c>
      <x:c r="O395" s="87" t="n">
        <x:f>N395*'01 Base Costs'!$B$7+L395</x:f>
        <x:v>73304400000</x:v>
      </x:c>
      <x:c r="P395" s="87" t="n">
        <x:f>D395*E395</x:f>
        <x:v>36</x:v>
      </x:c>
      <x:c r="Q395" s="87" t="n">
        <x:f>P395*'01 Base Costs'!$B$12</x:f>
        <x:v>69984000</x:v>
      </x:c>
      <x:c r="R395" s="87" t="n">
        <x:f>0</x:f>
        <x:v>0</x:v>
      </x:c>
      <x:c r="S395" s="87" t="n">
        <x:f>Q395+R395</x:f>
        <x:v>69984000</x:v>
      </x:c>
      <x:c r="T395" s="141" t="n">
        <x:f>S395/'01 Base Costs'!$B$14</x:f>
        <x:v>139.968</x:v>
      </x:c>
      <x:c r="U395" s="87" t="n">
        <x:f>INT(T395)</x:f>
        <x:v>139</x:v>
      </x:c>
      <x:c r="V395" s="87" t="n">
        <x:f>S395-U395*'01 Base Costs'!$B$14</x:f>
        <x:v>484000</x:v>
      </x:c>
      <x:c r="W395" s="120" t="n">
        <x:f>'01 Base Costs'!$B$17/2</x:f>
        <x:v>70</x:v>
      </x:c>
      <x:c r="X395" s="120" t="n">
        <x:f>0</x:f>
        <x:v>0</x:v>
      </x:c>
      <x:c r="Y395" s="87" t="n">
        <x:f>T395*(W395*'01 Base Costs'!$B$7+X395)</x:f>
        <x:v>47127225600</x:v>
      </x:c>
      <x:c r="Z395" s="87" t="n">
        <x:f>T395*'01 Base Costs'!$B$8</x:f>
        <x:v>105381907199.99998</x:v>
      </x:c>
      <x:c r="AA395" s="87" t="n">
        <x:f>Z395*'01 Base Costs'!$B$11</x:f>
        <x:v>5269095360</x:v>
      </x:c>
      <x:c r="AB395" s="87" t="n">
        <x:f>Z395-AA395</x:f>
        <x:v>100112811839.99998</x:v>
      </x:c>
      <x:c r="AC395" s="87" t="n">
        <x:f>O395+Y395</x:f>
        <x:v>120431625600</x:v>
      </x:c>
      <x:c r="AD395" s="87" t="n">
        <x:f>AB395-AC395</x:f>
        <x:v>-20318813760.000015</x:v>
      </x:c>
      <x:c r="AE395" s="87" t="n">
        <x:f>AD395/D395</x:f>
        <x:v>-1693234480.0000012</x:v>
      </x:c>
      <x:c r="AF395" s="87" t="n">
        <x:f>AD395/P395</x:f>
        <x:v>-564411493.3333337</x:v>
      </x:c>
      <x:c r="AG395" s="87" t="n">
        <x:f>IF(T395=0,0,AC395/T395/(1-'01 Base Costs'!$B$11))</x:f>
        <x:v>905707963.3239478</x:v>
      </x:c>
      <x:c r="AH395" s="88" t="str">
        <x:f>IF(AD395&gt;0,"PROFIT","LOSS")</x:f>
        <x:v>LOSS</x:v>
      </x:c>
      <x:c r="AI395" s="89" t="str">
        <x:v>Base 12M Omega. MCT certificate bought with ISK market price. Extractor 2-for-1 sale.</x:v>
      </x:c>
    </x:row>
    <x:row r="396">
      <x:c r="A396" s="86" t="n">
        <x:v>394</x:v>
      </x:c>
      <x:c r="B396" s="88" t="str">
        <x:v>Base</x:v>
      </x:c>
      <x:c r="C396" s="88" t="str">
        <x:v>12M Omega</x:v>
      </x:c>
      <x:c r="D396" s="88" t="n">
        <x:v>12</x:v>
      </x:c>
      <x:c r="E396" s="88" t="n">
        <x:v>3</x:v>
      </x:c>
      <x:c r="F396" s="88" t="str">
        <x:v>Market MCT certificate</x:v>
      </x:c>
      <x:c r="G396" s="88" t="str">
        <x:v>NES 10-pack extractor 20% sale</x:v>
      </x:c>
      <x:c r="H396" s="87" t="n">
        <x:f>'01 Base Costs'!$B$24</x:f>
        <x:v>3600</x:v>
      </x:c>
      <x:c r="I396" s="87" t="n">
        <x:f>0</x:f>
        <x:v>0</x:v>
      </x:c>
      <x:c r="J396" s="87" t="n">
        <x:f>'01 Base Costs'!$B$10</x:f>
        <x:v>2332850000</x:v>
      </x:c>
      <x:c r="K396" s="87" t="n">
        <x:f>D396*(E396-1)*I396</x:f>
        <x:v>0</x:v>
      </x:c>
      <x:c r="L396" s="87" t="n">
        <x:f>D396*(E396-1)*J396</x:f>
        <x:v>55988400000</x:v>
      </x:c>
      <x:c r="M396" s="87" t="n">
        <x:f>0</x:f>
        <x:v>0</x:v>
      </x:c>
      <x:c r="N396" s="87" t="n">
        <x:f>H396+K396+M396</x:f>
        <x:v>3600</x:v>
      </x:c>
      <x:c r="O396" s="87" t="n">
        <x:f>N396*'01 Base Costs'!$B$7+L396</x:f>
        <x:v>73304400000</x:v>
      </x:c>
      <x:c r="P396" s="87" t="n">
        <x:f>D396*E396</x:f>
        <x:v>36</x:v>
      </x:c>
      <x:c r="Q396" s="87" t="n">
        <x:f>P396*'01 Base Costs'!$B$12</x:f>
        <x:v>69984000</x:v>
      </x:c>
      <x:c r="R396" s="87" t="n">
        <x:f>0</x:f>
        <x:v>0</x:v>
      </x:c>
      <x:c r="S396" s="87" t="n">
        <x:f>Q396+R396</x:f>
        <x:v>69984000</x:v>
      </x:c>
      <x:c r="T396" s="141" t="n">
        <x:f>S396/'01 Base Costs'!$B$14</x:f>
        <x:v>139.968</x:v>
      </x:c>
      <x:c r="U396" s="87" t="n">
        <x:f>INT(T396)</x:f>
        <x:v>139</x:v>
      </x:c>
      <x:c r="V396" s="87" t="n">
        <x:f>S396-U396*'01 Base Costs'!$B$14</x:f>
        <x:v>484000</x:v>
      </x:c>
      <x:c r="W396" s="120" t="n">
        <x:f>'01 Base Costs'!$B$19*0.8/10</x:f>
        <x:v>95.2</x:v>
      </x:c>
      <x:c r="X396" s="120" t="n">
        <x:f>0</x:f>
        <x:v>0</x:v>
      </x:c>
      <x:c r="Y396" s="87" t="n">
        <x:f>T396*(W396*'01 Base Costs'!$B$7+X396)</x:f>
        <x:v>64093026815.99999</x:v>
      </x:c>
      <x:c r="Z396" s="87" t="n">
        <x:f>T396*'01 Base Costs'!$B$8</x:f>
        <x:v>105381907199.99998</x:v>
      </x:c>
      <x:c r="AA396" s="87" t="n">
        <x:f>Z396*'01 Base Costs'!$B$11</x:f>
        <x:v>5269095360</x:v>
      </x:c>
      <x:c r="AB396" s="87" t="n">
        <x:f>Z396-AA396</x:f>
        <x:v>100112811839.99998</x:v>
      </x:c>
      <x:c r="AC396" s="87" t="n">
        <x:f>O396+Y396</x:f>
        <x:v>137397426816</x:v>
      </x:c>
      <x:c r="AD396" s="87" t="n">
        <x:f>AB396-AC396</x:f>
        <x:v>-37284614976.000015</x:v>
      </x:c>
      <x:c r="AE396" s="87" t="n">
        <x:f>AD396/D396</x:f>
        <x:v>-3107051248.0000014</x:v>
      </x:c>
      <x:c r="AF396" s="87" t="n">
        <x:f>AD396/P396</x:f>
        <x:v>-1035683749.3333337</x:v>
      </x:c>
      <x:c r="AG396" s="87" t="n">
        <x:f>IF(T396=0,0,AC396/T396/(1-'01 Base Costs'!$B$11))</x:f>
        <x:v>1033299542.2713162</x:v>
      </x:c>
      <x:c r="AH396" s="88" t="str">
        <x:f>IF(AD396&gt;0,"PROFIT","LOSS")</x:f>
        <x:v>LOSS</x:v>
      </x:c>
      <x:c r="AI396" s="89" t="str">
        <x:v>Base 12M Omega. MCT certificate bought with ISK market price. 10-pack at 20% off.</x:v>
      </x:c>
    </x:row>
    <x:row r="397">
      <x:c r="A397" s="86" t="n">
        <x:v>395</x:v>
      </x:c>
      <x:c r="B397" s="88" t="str">
        <x:v>Base</x:v>
      </x:c>
      <x:c r="C397" s="88" t="str">
        <x:v>12M Omega</x:v>
      </x:c>
      <x:c r="D397" s="88" t="n">
        <x:v>12</x:v>
      </x:c>
      <x:c r="E397" s="88" t="n">
        <x:v>3</x:v>
      </x:c>
      <x:c r="F397" s="88" t="str">
        <x:v>Market MCT certificate</x:v>
      </x:c>
      <x:c r="G397" s="88" t="str">
        <x:v>NES 50-pack extractor 20% sale</x:v>
      </x:c>
      <x:c r="H397" s="87" t="n">
        <x:f>'01 Base Costs'!$B$24</x:f>
        <x:v>3600</x:v>
      </x:c>
      <x:c r="I397" s="87" t="n">
        <x:f>0</x:f>
        <x:v>0</x:v>
      </x:c>
      <x:c r="J397" s="87" t="n">
        <x:f>'01 Base Costs'!$B$10</x:f>
        <x:v>2332850000</x:v>
      </x:c>
      <x:c r="K397" s="87" t="n">
        <x:f>D397*(E397-1)*I397</x:f>
        <x:v>0</x:v>
      </x:c>
      <x:c r="L397" s="87" t="n">
        <x:f>D397*(E397-1)*J397</x:f>
        <x:v>55988400000</x:v>
      </x:c>
      <x:c r="M397" s="87" t="n">
        <x:f>0</x:f>
        <x:v>0</x:v>
      </x:c>
      <x:c r="N397" s="87" t="n">
        <x:f>H397+K397+M397</x:f>
        <x:v>3600</x:v>
      </x:c>
      <x:c r="O397" s="87" t="n">
        <x:f>N397*'01 Base Costs'!$B$7+L397</x:f>
        <x:v>73304400000</x:v>
      </x:c>
      <x:c r="P397" s="87" t="n">
        <x:f>D397*E397</x:f>
        <x:v>36</x:v>
      </x:c>
      <x:c r="Q397" s="87" t="n">
        <x:f>P397*'01 Base Costs'!$B$12</x:f>
        <x:v>69984000</x:v>
      </x:c>
      <x:c r="R397" s="87" t="n">
        <x:f>0</x:f>
        <x:v>0</x:v>
      </x:c>
      <x:c r="S397" s="87" t="n">
        <x:f>Q397+R397</x:f>
        <x:v>69984000</x:v>
      </x:c>
      <x:c r="T397" s="141" t="n">
        <x:f>S397/'01 Base Costs'!$B$14</x:f>
        <x:v>139.968</x:v>
      </x:c>
      <x:c r="U397" s="87" t="n">
        <x:f>INT(T397)</x:f>
        <x:v>139</x:v>
      </x:c>
      <x:c r="V397" s="87" t="n">
        <x:f>S397-U397*'01 Base Costs'!$B$14</x:f>
        <x:v>484000</x:v>
      </x:c>
      <x:c r="W397" s="120" t="n">
        <x:f>'01 Base Costs'!$B$20*0.8/50</x:f>
        <x:v>89.6</x:v>
      </x:c>
      <x:c r="X397" s="120" t="n">
        <x:f>0</x:f>
        <x:v>0</x:v>
      </x:c>
      <x:c r="Y397" s="87" t="n">
        <x:f>T397*(W397*'01 Base Costs'!$B$7+X397)</x:f>
        <x:v>60322848767.99999</x:v>
      </x:c>
      <x:c r="Z397" s="87" t="n">
        <x:f>T397*'01 Base Costs'!$B$8</x:f>
        <x:v>105381907199.99998</x:v>
      </x:c>
      <x:c r="AA397" s="87" t="n">
        <x:f>Z397*'01 Base Costs'!$B$11</x:f>
        <x:v>5269095360</x:v>
      </x:c>
      <x:c r="AB397" s="87" t="n">
        <x:f>Z397-AA397</x:f>
        <x:v>100112811839.99998</x:v>
      </x:c>
      <x:c r="AC397" s="87" t="n">
        <x:f>O397+Y397</x:f>
        <x:v>133627248768</x:v>
      </x:c>
      <x:c r="AD397" s="87" t="n">
        <x:f>AB397-AC397</x:f>
        <x:v>-33514436928.000015</x:v>
      </x:c>
      <x:c r="AE397" s="87" t="n">
        <x:f>AD397/D397</x:f>
        <x:v>-2792869744.0000014</x:v>
      </x:c>
      <x:c r="AF397" s="87" t="n">
        <x:f>AD397/P397</x:f>
        <x:v>-930956581.3333337</x:v>
      </x:c>
      <x:c r="AG397" s="87" t="n">
        <x:f>IF(T397=0,0,AC397/T397/(1-'01 Base Costs'!$B$11))</x:f>
        <x:v>1004945858.06079</x:v>
      </x:c>
      <x:c r="AH397" s="88" t="str">
        <x:f>IF(AD397&gt;0,"PROFIT","LOSS")</x:f>
        <x:v>LOSS</x:v>
      </x:c>
      <x:c r="AI397" s="89" t="str">
        <x:v>Base 12M Omega. MCT certificate bought with ISK market price. 50-pack at 20% off.</x:v>
      </x:c>
    </x:row>
    <x:row r="398">
      <x:c r="A398" s="86" t="n">
        <x:v>396</x:v>
      </x:c>
      <x:c r="B398" s="88" t="str">
        <x:v>Base</x:v>
      </x:c>
      <x:c r="C398" s="88" t="str">
        <x:v>12M Omega</x:v>
      </x:c>
      <x:c r="D398" s="88" t="n">
        <x:v>12</x:v>
      </x:c>
      <x:c r="E398" s="88" t="n">
        <x:v>3</x:v>
      </x:c>
      <x:c r="F398" s="88" t="str">
        <x:v>Market MCT certificate</x:v>
      </x:c>
      <x:c r="G398" s="88" t="str">
        <x:v>Market Skill Extractor</x:v>
      </x:c>
      <x:c r="H398" s="87" t="n">
        <x:f>'01 Base Costs'!$B$24</x:f>
        <x:v>3600</x:v>
      </x:c>
      <x:c r="I398" s="87" t="n">
        <x:f>0</x:f>
        <x:v>0</x:v>
      </x:c>
      <x:c r="J398" s="87" t="n">
        <x:f>'01 Base Costs'!$B$10</x:f>
        <x:v>2332850000</x:v>
      </x:c>
      <x:c r="K398" s="87" t="n">
        <x:f>D398*(E398-1)*I398</x:f>
        <x:v>0</x:v>
      </x:c>
      <x:c r="L398" s="87" t="n">
        <x:f>D398*(E398-1)*J398</x:f>
        <x:v>55988400000</x:v>
      </x:c>
      <x:c r="M398" s="87" t="n">
        <x:f>0</x:f>
        <x:v>0</x:v>
      </x:c>
      <x:c r="N398" s="87" t="n">
        <x:f>H398+K398+M398</x:f>
        <x:v>3600</x:v>
      </x:c>
      <x:c r="O398" s="87" t="n">
        <x:f>N398*'01 Base Costs'!$B$7+L398</x:f>
        <x:v>73304400000</x:v>
      </x:c>
      <x:c r="P398" s="87" t="n">
        <x:f>D398*E398</x:f>
        <x:v>36</x:v>
      </x:c>
      <x:c r="Q398" s="87" t="n">
        <x:f>P398*'01 Base Costs'!$B$12</x:f>
        <x:v>69984000</x:v>
      </x:c>
      <x:c r="R398" s="87" t="n">
        <x:f>0</x:f>
        <x:v>0</x:v>
      </x:c>
      <x:c r="S398" s="87" t="n">
        <x:f>Q398+R398</x:f>
        <x:v>69984000</x:v>
      </x:c>
      <x:c r="T398" s="141" t="n">
        <x:f>S398/'01 Base Costs'!$B$14</x:f>
        <x:v>139.968</x:v>
      </x:c>
      <x:c r="U398" s="87" t="n">
        <x:f>INT(T398)</x:f>
        <x:v>139</x:v>
      </x:c>
      <x:c r="V398" s="87" t="n">
        <x:f>S398-U398*'01 Base Costs'!$B$14</x:f>
        <x:v>484000</x:v>
      </x:c>
      <x:c r="W398" s="120" t="n">
        <x:f>0</x:f>
        <x:v>0</x:v>
      </x:c>
      <x:c r="X398" s="120" t="n">
        <x:f>'01 Base Costs'!$B$9</x:f>
        <x:v>463500000</x:v>
      </x:c>
      <x:c r="Y398" s="87" t="n">
        <x:f>T398*(W398*'01 Base Costs'!$B$7+X398)</x:f>
        <x:v>64875167999.99999</x:v>
      </x:c>
      <x:c r="Z398" s="87" t="n">
        <x:f>T398*'01 Base Costs'!$B$8</x:f>
        <x:v>105381907199.99998</x:v>
      </x:c>
      <x:c r="AA398" s="87" t="n">
        <x:f>Z398*'01 Base Costs'!$B$11</x:f>
        <x:v>5269095360</x:v>
      </x:c>
      <x:c r="AB398" s="87" t="n">
        <x:f>Z398-AA398</x:f>
        <x:v>100112811839.99998</x:v>
      </x:c>
      <x:c r="AC398" s="87" t="n">
        <x:f>O398+Y398</x:f>
        <x:v>138179568000</x:v>
      </x:c>
      <x:c r="AD398" s="87" t="n">
        <x:f>AB398-AC398</x:f>
        <x:v>-38066756160.000015</x:v>
      </x:c>
      <x:c r="AE398" s="87" t="n">
        <x:f>AD398/D398</x:f>
        <x:v>-3172229680.0000014</x:v>
      </x:c>
      <x:c r="AF398" s="87" t="n">
        <x:f>AD398/P398</x:f>
        <x:v>-1057409893.3333337</x:v>
      </x:c>
      <x:c r="AG398" s="87" t="n">
        <x:f>IF(T398=0,0,AC398/T398/(1-'01 Base Costs'!$B$11))</x:f>
        <x:v>1039181647.5344741</x:v>
      </x:c>
      <x:c r="AH398" s="88" t="str">
        <x:f>IF(AD398&gt;0,"PROFIT","LOSS")</x:f>
        <x:v>LOSS</x:v>
      </x:c>
      <x:c r="AI398" s="89" t="str">
        <x:v>Base 12M Omega. MCT certificate bought with ISK market price. Extractor bought on market with ISK.</x:v>
      </x:c>
    </x:row>
    <x:row r="399">
      <x:c r="A399" s="86" t="n">
        <x:v>397</x:v>
      </x:c>
      <x:c r="B399" s="88" t="str">
        <x:v>Base</x:v>
      </x:c>
      <x:c r="C399" s="88" t="str">
        <x:v>24M Omega</x:v>
      </x:c>
      <x:c r="D399" s="88" t="n">
        <x:v>24</x:v>
      </x:c>
      <x:c r="E399" s="88" t="n">
        <x:v>1</x:v>
      </x:c>
      <x:c r="F399" s="88" t="str">
        <x:v>No MCT</x:v>
      </x:c>
      <x:c r="G399" s="88" t="str">
        <x:v>NES single extractor</x:v>
      </x:c>
      <x:c r="H399" s="87" t="n">
        <x:f>'01 Base Costs'!$B$25</x:f>
        <x:v>6600</x:v>
      </x:c>
      <x:c r="I399" s="87" t="n">
        <x:f>0</x:f>
        <x:v>0</x:v>
      </x:c>
      <x:c r="J399" s="87" t="n">
        <x:f>0</x:f>
        <x:v>0</x:v>
      </x:c>
      <x:c r="K399" s="87" t="n">
        <x:f>D399*(E399-1)*I399</x:f>
        <x:v>0</x:v>
      </x:c>
      <x:c r="L399" s="87" t="n">
        <x:f>D399*(E399-1)*J399</x:f>
        <x:v>0</x:v>
      </x:c>
      <x:c r="M399" s="87" t="n">
        <x:f>0</x:f>
        <x:v>0</x:v>
      </x:c>
      <x:c r="N399" s="87" t="n">
        <x:f>H399+K399+M399</x:f>
        <x:v>6600</x:v>
      </x:c>
      <x:c r="O399" s="87" t="n">
        <x:f>N399*'01 Base Costs'!$B$7+L399</x:f>
        <x:v>31746000000</x:v>
      </x:c>
      <x:c r="P399" s="87" t="n">
        <x:f>D399*E399</x:f>
        <x:v>24</x:v>
      </x:c>
      <x:c r="Q399" s="87" t="n">
        <x:f>P399*'01 Base Costs'!$B$12</x:f>
        <x:v>46656000</x:v>
      </x:c>
      <x:c r="R399" s="87" t="n">
        <x:f>0</x:f>
        <x:v>0</x:v>
      </x:c>
      <x:c r="S399" s="87" t="n">
        <x:f>Q399+R399</x:f>
        <x:v>46656000</x:v>
      </x:c>
      <x:c r="T399" s="141" t="n">
        <x:f>S399/'01 Base Costs'!$B$14</x:f>
        <x:v>93.312</x:v>
      </x:c>
      <x:c r="U399" s="87" t="n">
        <x:f>INT(T399)</x:f>
        <x:v>93</x:v>
      </x:c>
      <x:c r="V399" s="87" t="n">
        <x:f>S399-U399*'01 Base Costs'!$B$14</x:f>
        <x:v>156000</x:v>
      </x:c>
      <x:c r="W399" s="120" t="n">
        <x:f>'01 Base Costs'!$B$17</x:f>
        <x:v>140</x:v>
      </x:c>
      <x:c r="X399" s="120" t="n">
        <x:f>0</x:f>
        <x:v>0</x:v>
      </x:c>
      <x:c r="Y399" s="87" t="n">
        <x:f>T399*(W399*'01 Base Costs'!$B$7+X399)</x:f>
        <x:v>62836300800</x:v>
      </x:c>
      <x:c r="Z399" s="87" t="n">
        <x:f>T399*'01 Base Costs'!$B$8</x:f>
        <x:v>70254604800</x:v>
      </x:c>
      <x:c r="AA399" s="87" t="n">
        <x:f>Z399*'01 Base Costs'!$B$11</x:f>
        <x:v>3512730240</x:v>
      </x:c>
      <x:c r="AB399" s="87" t="n">
        <x:f>Z399-AA399</x:f>
        <x:v>66741874560</x:v>
      </x:c>
      <x:c r="AC399" s="87" t="n">
        <x:f>O399+Y399</x:f>
        <x:v>94582300800</x:v>
      </x:c>
      <x:c r="AD399" s="87" t="n">
        <x:f>AB399-AC399</x:f>
        <x:v>-27840426240</x:v>
      </x:c>
      <x:c r="AE399" s="87" t="n">
        <x:f>AD399/D399</x:f>
        <x:v>-1160017760</x:v>
      </x:c>
      <x:c r="AF399" s="87" t="n">
        <x:f>AD399/P399</x:f>
        <x:v>-1160017760</x:v>
      </x:c>
      <x:c r="AG399" s="87" t="n">
        <x:f>IF(T399=0,0,AC399/T399/(1-'01 Base Costs'!$B$11))</x:f>
        <x:v>1066961555.1223739</x:v>
      </x:c>
      <x:c r="AH399" s="88" t="str">
        <x:f>IF(AD399&gt;0,"PROFIT","LOSS")</x:f>
        <x:v>LOSS</x:v>
      </x:c>
      <x:c r="AI399" s="89" t="str">
        <x:v>Base 24M Omega. One training queue only. Base single extractor.</x:v>
      </x:c>
    </x:row>
    <x:row r="400">
      <x:c r="A400" s="86" t="n">
        <x:v>398</x:v>
      </x:c>
      <x:c r="B400" s="88" t="str">
        <x:v>Base</x:v>
      </x:c>
      <x:c r="C400" s="88" t="str">
        <x:v>24M Omega</x:v>
      </x:c>
      <x:c r="D400" s="88" t="n">
        <x:v>24</x:v>
      </x:c>
      <x:c r="E400" s="88" t="n">
        <x:v>1</x:v>
      </x:c>
      <x:c r="F400" s="88" t="str">
        <x:v>No MCT</x:v>
      </x:c>
      <x:c r="G400" s="88" t="str">
        <x:v>NES 5-pack extractor</x:v>
      </x:c>
      <x:c r="H400" s="87" t="n">
        <x:f>'01 Base Costs'!$B$25</x:f>
        <x:v>6600</x:v>
      </x:c>
      <x:c r="I400" s="87" t="n">
        <x:f>0</x:f>
        <x:v>0</x:v>
      </x:c>
      <x:c r="J400" s="87" t="n">
        <x:f>0</x:f>
        <x:v>0</x:v>
      </x:c>
      <x:c r="K400" s="87" t="n">
        <x:f>D400*(E400-1)*I400</x:f>
        <x:v>0</x:v>
      </x:c>
      <x:c r="L400" s="87" t="n">
        <x:f>D400*(E400-1)*J400</x:f>
        <x:v>0</x:v>
      </x:c>
      <x:c r="M400" s="87" t="n">
        <x:f>0</x:f>
        <x:v>0</x:v>
      </x:c>
      <x:c r="N400" s="87" t="n">
        <x:f>H400+K400+M400</x:f>
        <x:v>6600</x:v>
      </x:c>
      <x:c r="O400" s="87" t="n">
        <x:f>N400*'01 Base Costs'!$B$7+L400</x:f>
        <x:v>31746000000</x:v>
      </x:c>
      <x:c r="P400" s="87" t="n">
        <x:f>D400*E400</x:f>
        <x:v>24</x:v>
      </x:c>
      <x:c r="Q400" s="87" t="n">
        <x:f>P400*'01 Base Costs'!$B$12</x:f>
        <x:v>46656000</x:v>
      </x:c>
      <x:c r="R400" s="87" t="n">
        <x:f>0</x:f>
        <x:v>0</x:v>
      </x:c>
      <x:c r="S400" s="87" t="n">
        <x:f>Q400+R400</x:f>
        <x:v>46656000</x:v>
      </x:c>
      <x:c r="T400" s="141" t="n">
        <x:f>S400/'01 Base Costs'!$B$14</x:f>
        <x:v>93.312</x:v>
      </x:c>
      <x:c r="U400" s="87" t="n">
        <x:f>INT(T400)</x:f>
        <x:v>93</x:v>
      </x:c>
      <x:c r="V400" s="87" t="n">
        <x:f>S400-U400*'01 Base Costs'!$B$14</x:f>
        <x:v>156000</x:v>
      </x:c>
      <x:c r="W400" s="120" t="n">
        <x:f>'01 Base Costs'!$B$18/5</x:f>
        <x:v>126</x:v>
      </x:c>
      <x:c r="X400" s="120" t="n">
        <x:f>0</x:f>
        <x:v>0</x:v>
      </x:c>
      <x:c r="Y400" s="87" t="n">
        <x:f>T400*(W400*'01 Base Costs'!$B$7+X400)</x:f>
        <x:v>56552670720</x:v>
      </x:c>
      <x:c r="Z400" s="87" t="n">
        <x:f>T400*'01 Base Costs'!$B$8</x:f>
        <x:v>70254604800</x:v>
      </x:c>
      <x:c r="AA400" s="87" t="n">
        <x:f>Z400*'01 Base Costs'!$B$11</x:f>
        <x:v>3512730240</x:v>
      </x:c>
      <x:c r="AB400" s="87" t="n">
        <x:f>Z400-AA400</x:f>
        <x:v>66741874560</x:v>
      </x:c>
      <x:c r="AC400" s="87" t="n">
        <x:f>O400+Y400</x:f>
        <x:v>88298670720</x:v>
      </x:c>
      <x:c r="AD400" s="87" t="n">
        <x:f>AB400-AC400</x:f>
        <x:v>-21556796160</x:v>
      </x:c>
      <x:c r="AE400" s="87" t="n">
        <x:f>AD400/D400</x:f>
        <x:v>-898199840</x:v>
      </x:c>
      <x:c r="AF400" s="87" t="n">
        <x:f>AD400/P400</x:f>
        <x:v>-898199840</x:v>
      </x:c>
      <x:c r="AG400" s="87" t="n">
        <x:f>IF(T400=0,0,AC400/T400/(1-'01 Base Costs'!$B$11))</x:f>
        <x:v>996077344.5960581</x:v>
      </x:c>
      <x:c r="AH400" s="88" t="str">
        <x:f>IF(AD400&gt;0,"PROFIT","LOSS")</x:f>
        <x:v>LOSS</x:v>
      </x:c>
      <x:c r="AI400" s="89" t="str">
        <x:v>Base 24M Omega. One training queue only. Base 5-pack average.</x:v>
      </x:c>
    </x:row>
    <x:row r="401">
      <x:c r="A401" s="86" t="n">
        <x:v>399</x:v>
      </x:c>
      <x:c r="B401" s="88" t="str">
        <x:v>Base</x:v>
      </x:c>
      <x:c r="C401" s="88" t="str">
        <x:v>24M Omega</x:v>
      </x:c>
      <x:c r="D401" s="88" t="n">
        <x:v>24</x:v>
      </x:c>
      <x:c r="E401" s="88" t="n">
        <x:v>1</x:v>
      </x:c>
      <x:c r="F401" s="88" t="str">
        <x:v>No MCT</x:v>
      </x:c>
      <x:c r="G401" s="88" t="str">
        <x:v>NES 10-pack extractor</x:v>
      </x:c>
      <x:c r="H401" s="87" t="n">
        <x:f>'01 Base Costs'!$B$25</x:f>
        <x:v>6600</x:v>
      </x:c>
      <x:c r="I401" s="87" t="n">
        <x:f>0</x:f>
        <x:v>0</x:v>
      </x:c>
      <x:c r="J401" s="87" t="n">
        <x:f>0</x:f>
        <x:v>0</x:v>
      </x:c>
      <x:c r="K401" s="87" t="n">
        <x:f>D401*(E401-1)*I401</x:f>
        <x:v>0</x:v>
      </x:c>
      <x:c r="L401" s="87" t="n">
        <x:f>D401*(E401-1)*J401</x:f>
        <x:v>0</x:v>
      </x:c>
      <x:c r="M401" s="87" t="n">
        <x:f>0</x:f>
        <x:v>0</x:v>
      </x:c>
      <x:c r="N401" s="87" t="n">
        <x:f>H401+K401+M401</x:f>
        <x:v>6600</x:v>
      </x:c>
      <x:c r="O401" s="87" t="n">
        <x:f>N401*'01 Base Costs'!$B$7+L401</x:f>
        <x:v>31746000000</x:v>
      </x:c>
      <x:c r="P401" s="87" t="n">
        <x:f>D401*E401</x:f>
        <x:v>24</x:v>
      </x:c>
      <x:c r="Q401" s="87" t="n">
        <x:f>P401*'01 Base Costs'!$B$12</x:f>
        <x:v>46656000</x:v>
      </x:c>
      <x:c r="R401" s="87" t="n">
        <x:f>0</x:f>
        <x:v>0</x:v>
      </x:c>
      <x:c r="S401" s="87" t="n">
        <x:f>Q401+R401</x:f>
        <x:v>46656000</x:v>
      </x:c>
      <x:c r="T401" s="141" t="n">
        <x:f>S401/'01 Base Costs'!$B$14</x:f>
        <x:v>93.312</x:v>
      </x:c>
      <x:c r="U401" s="87" t="n">
        <x:f>INT(T401)</x:f>
        <x:v>93</x:v>
      </x:c>
      <x:c r="V401" s="87" t="n">
        <x:f>S401-U401*'01 Base Costs'!$B$14</x:f>
        <x:v>156000</x:v>
      </x:c>
      <x:c r="W401" s="120" t="n">
        <x:f>'01 Base Costs'!$B$19/10</x:f>
        <x:v>119</x:v>
      </x:c>
      <x:c r="X401" s="120" t="n">
        <x:f>0</x:f>
        <x:v>0</x:v>
      </x:c>
      <x:c r="Y401" s="87" t="n">
        <x:f>T401*(W401*'01 Base Costs'!$B$7+X401)</x:f>
        <x:v>53410855680</x:v>
      </x:c>
      <x:c r="Z401" s="87" t="n">
        <x:f>T401*'01 Base Costs'!$B$8</x:f>
        <x:v>70254604800</x:v>
      </x:c>
      <x:c r="AA401" s="87" t="n">
        <x:f>Z401*'01 Base Costs'!$B$11</x:f>
        <x:v>3512730240</x:v>
      </x:c>
      <x:c r="AB401" s="87" t="n">
        <x:f>Z401-AA401</x:f>
        <x:v>66741874560</x:v>
      </x:c>
      <x:c r="AC401" s="87" t="n">
        <x:f>O401+Y401</x:f>
        <x:v>85156855680</x:v>
      </x:c>
      <x:c r="AD401" s="87" t="n">
        <x:f>AB401-AC401</x:f>
        <x:v>-18414981120</x:v>
      </x:c>
      <x:c r="AE401" s="87" t="n">
        <x:f>AD401/D401</x:f>
        <x:v>-767290880</x:v>
      </x:c>
      <x:c r="AF401" s="87" t="n">
        <x:f>AD401/P401</x:f>
        <x:v>-767290880</x:v>
      </x:c>
      <x:c r="AG401" s="87" t="n">
        <x:f>IF(T401=0,0,AC401/T401/(1-'01 Base Costs'!$B$11))</x:f>
        <x:v>960635239.3329002</x:v>
      </x:c>
      <x:c r="AH401" s="88" t="str">
        <x:f>IF(AD401&gt;0,"PROFIT","LOSS")</x:f>
        <x:v>LOSS</x:v>
      </x:c>
      <x:c r="AI401" s="89" t="str">
        <x:v>Base 24M Omega. One training queue only. Base 10-pack average.</x:v>
      </x:c>
    </x:row>
    <x:row r="402">
      <x:c r="A402" s="86" t="n">
        <x:v>400</x:v>
      </x:c>
      <x:c r="B402" s="88" t="str">
        <x:v>Base</x:v>
      </x:c>
      <x:c r="C402" s="88" t="str">
        <x:v>24M Omega</x:v>
      </x:c>
      <x:c r="D402" s="88" t="n">
        <x:v>24</x:v>
      </x:c>
      <x:c r="E402" s="88" t="n">
        <x:v>1</x:v>
      </x:c>
      <x:c r="F402" s="88" t="str">
        <x:v>No MCT</x:v>
      </x:c>
      <x:c r="G402" s="88" t="str">
        <x:v>NES 50-pack extractor</x:v>
      </x:c>
      <x:c r="H402" s="87" t="n">
        <x:f>'01 Base Costs'!$B$25</x:f>
        <x:v>6600</x:v>
      </x:c>
      <x:c r="I402" s="87" t="n">
        <x:f>0</x:f>
        <x:v>0</x:v>
      </x:c>
      <x:c r="J402" s="87" t="n">
        <x:f>0</x:f>
        <x:v>0</x:v>
      </x:c>
      <x:c r="K402" s="87" t="n">
        <x:f>D402*(E402-1)*I402</x:f>
        <x:v>0</x:v>
      </x:c>
      <x:c r="L402" s="87" t="n">
        <x:f>D402*(E402-1)*J402</x:f>
        <x:v>0</x:v>
      </x:c>
      <x:c r="M402" s="87" t="n">
        <x:f>0</x:f>
        <x:v>0</x:v>
      </x:c>
      <x:c r="N402" s="87" t="n">
        <x:f>H402+K402+M402</x:f>
        <x:v>6600</x:v>
      </x:c>
      <x:c r="O402" s="87" t="n">
        <x:f>N402*'01 Base Costs'!$B$7+L402</x:f>
        <x:v>31746000000</x:v>
      </x:c>
      <x:c r="P402" s="87" t="n">
        <x:f>D402*E402</x:f>
        <x:v>24</x:v>
      </x:c>
      <x:c r="Q402" s="87" t="n">
        <x:f>P402*'01 Base Costs'!$B$12</x:f>
        <x:v>46656000</x:v>
      </x:c>
      <x:c r="R402" s="87" t="n">
        <x:f>0</x:f>
        <x:v>0</x:v>
      </x:c>
      <x:c r="S402" s="87" t="n">
        <x:f>Q402+R402</x:f>
        <x:v>46656000</x:v>
      </x:c>
      <x:c r="T402" s="141" t="n">
        <x:f>S402/'01 Base Costs'!$B$14</x:f>
        <x:v>93.312</x:v>
      </x:c>
      <x:c r="U402" s="87" t="n">
        <x:f>INT(T402)</x:f>
        <x:v>93</x:v>
      </x:c>
      <x:c r="V402" s="87" t="n">
        <x:f>S402-U402*'01 Base Costs'!$B$14</x:f>
        <x:v>156000</x:v>
      </x:c>
      <x:c r="W402" s="120" t="n">
        <x:f>'01 Base Costs'!$B$20/50</x:f>
        <x:v>112</x:v>
      </x:c>
      <x:c r="X402" s="120" t="n">
        <x:f>0</x:f>
        <x:v>0</x:v>
      </x:c>
      <x:c r="Y402" s="87" t="n">
        <x:f>T402*(W402*'01 Base Costs'!$B$7+X402)</x:f>
        <x:v>50269040640</x:v>
      </x:c>
      <x:c r="Z402" s="87" t="n">
        <x:f>T402*'01 Base Costs'!$B$8</x:f>
        <x:v>70254604800</x:v>
      </x:c>
      <x:c r="AA402" s="87" t="n">
        <x:f>Z402*'01 Base Costs'!$B$11</x:f>
        <x:v>3512730240</x:v>
      </x:c>
      <x:c r="AB402" s="87" t="n">
        <x:f>Z402-AA402</x:f>
        <x:v>66741874560</x:v>
      </x:c>
      <x:c r="AC402" s="87" t="n">
        <x:f>O402+Y402</x:f>
        <x:v>82015040640</x:v>
      </x:c>
      <x:c r="AD402" s="87" t="n">
        <x:f>AB402-AC402</x:f>
        <x:v>-15273166080</x:v>
      </x:c>
      <x:c r="AE402" s="87" t="n">
        <x:f>AD402/D402</x:f>
        <x:v>-636381920</x:v>
      </x:c>
      <x:c r="AF402" s="87" t="n">
        <x:f>AD402/P402</x:f>
        <x:v>-636381920</x:v>
      </x:c>
      <x:c r="AG402" s="87" t="n">
        <x:f>IF(T402=0,0,AC402/T402/(1-'01 Base Costs'!$B$11))</x:f>
        <x:v>925193134.0697423</x:v>
      </x:c>
      <x:c r="AH402" s="88" t="str">
        <x:f>IF(AD402&gt;0,"PROFIT","LOSS")</x:f>
        <x:v>LOSS</x:v>
      </x:c>
      <x:c r="AI402" s="89" t="str">
        <x:v>Base 24M Omega. One training queue only. Base 50-pack average.</x:v>
      </x:c>
    </x:row>
    <x:row r="403">
      <x:c r="A403" s="86" t="n">
        <x:v>401</x:v>
      </x:c>
      <x:c r="B403" s="88" t="str">
        <x:v>Base</x:v>
      </x:c>
      <x:c r="C403" s="88" t="str">
        <x:v>24M Omega</x:v>
      </x:c>
      <x:c r="D403" s="88" t="n">
        <x:v>24</x:v>
      </x:c>
      <x:c r="E403" s="88" t="n">
        <x:v>1</x:v>
      </x:c>
      <x:c r="F403" s="88" t="str">
        <x:v>No MCT</x:v>
      </x:c>
      <x:c r="G403" s="88" t="str">
        <x:v>NES 3-for-2 extractor sale</x:v>
      </x:c>
      <x:c r="H403" s="87" t="n">
        <x:f>'01 Base Costs'!$B$25</x:f>
        <x:v>6600</x:v>
      </x:c>
      <x:c r="I403" s="87" t="n">
        <x:f>0</x:f>
        <x:v>0</x:v>
      </x:c>
      <x:c r="J403" s="87" t="n">
        <x:f>0</x:f>
        <x:v>0</x:v>
      </x:c>
      <x:c r="K403" s="87" t="n">
        <x:f>D403*(E403-1)*I403</x:f>
        <x:v>0</x:v>
      </x:c>
      <x:c r="L403" s="87" t="n">
        <x:f>D403*(E403-1)*J403</x:f>
        <x:v>0</x:v>
      </x:c>
      <x:c r="M403" s="87" t="n">
        <x:f>0</x:f>
        <x:v>0</x:v>
      </x:c>
      <x:c r="N403" s="87" t="n">
        <x:f>H403+K403+M403</x:f>
        <x:v>6600</x:v>
      </x:c>
      <x:c r="O403" s="87" t="n">
        <x:f>N403*'01 Base Costs'!$B$7+L403</x:f>
        <x:v>31746000000</x:v>
      </x:c>
      <x:c r="P403" s="87" t="n">
        <x:f>D403*E403</x:f>
        <x:v>24</x:v>
      </x:c>
      <x:c r="Q403" s="87" t="n">
        <x:f>P403*'01 Base Costs'!$B$12</x:f>
        <x:v>46656000</x:v>
      </x:c>
      <x:c r="R403" s="87" t="n">
        <x:f>0</x:f>
        <x:v>0</x:v>
      </x:c>
      <x:c r="S403" s="87" t="n">
        <x:f>Q403+R403</x:f>
        <x:v>46656000</x:v>
      </x:c>
      <x:c r="T403" s="141" t="n">
        <x:f>S403/'01 Base Costs'!$B$14</x:f>
        <x:v>93.312</x:v>
      </x:c>
      <x:c r="U403" s="87" t="n">
        <x:f>INT(T403)</x:f>
        <x:v>93</x:v>
      </x:c>
      <x:c r="V403" s="87" t="n">
        <x:f>S403-U403*'01 Base Costs'!$B$14</x:f>
        <x:v>156000</x:v>
      </x:c>
      <x:c r="W403" s="120" t="n">
        <x:f>'01 Base Costs'!$B$17*2/3</x:f>
        <x:v>93.33333333333333</x:v>
      </x:c>
      <x:c r="X403" s="120" t="n">
        <x:f>0</x:f>
        <x:v>0</x:v>
      </x:c>
      <x:c r="Y403" s="87" t="n">
        <x:f>T403*(W403*'01 Base Costs'!$B$7+X403)</x:f>
        <x:v>41890867200</x:v>
      </x:c>
      <x:c r="Z403" s="87" t="n">
        <x:f>T403*'01 Base Costs'!$B$8</x:f>
        <x:v>70254604800</x:v>
      </x:c>
      <x:c r="AA403" s="87" t="n">
        <x:f>Z403*'01 Base Costs'!$B$11</x:f>
        <x:v>3512730240</x:v>
      </x:c>
      <x:c r="AB403" s="87" t="n">
        <x:f>Z403-AA403</x:f>
        <x:v>66741874560</x:v>
      </x:c>
      <x:c r="AC403" s="87" t="n">
        <x:f>O403+Y403</x:f>
        <x:v>73636867200</x:v>
      </x:c>
      <x:c r="AD403" s="87" t="n">
        <x:f>AB403-AC403</x:f>
        <x:v>-6894992640</x:v>
      </x:c>
      <x:c r="AE403" s="87" t="n">
        <x:f>AD403/D403</x:f>
        <x:v>-287291360</x:v>
      </x:c>
      <x:c r="AF403" s="87" t="n">
        <x:f>AD403/P403</x:f>
        <x:v>-287291360</x:v>
      </x:c>
      <x:c r="AG403" s="87" t="n">
        <x:f>IF(T403=0,0,AC403/T403/(1-'01 Base Costs'!$B$11))</x:f>
        <x:v>830680853.367988</x:v>
      </x:c>
      <x:c r="AH403" s="88" t="str">
        <x:f>IF(AD403&gt;0,"PROFIT","LOSS")</x:f>
        <x:v>LOSS</x:v>
      </x:c>
      <x:c r="AI403" s="89" t="str">
        <x:v>Base 24M Omega. One training queue only. Extractor 3-for-2 sale.</x:v>
      </x:c>
    </x:row>
    <x:row r="404">
      <x:c r="A404" s="86" t="n">
        <x:v>402</x:v>
      </x:c>
      <x:c r="B404" s="88" t="str">
        <x:v>Base</x:v>
      </x:c>
      <x:c r="C404" s="88" t="str">
        <x:v>24M Omega</x:v>
      </x:c>
      <x:c r="D404" s="88" t="n">
        <x:v>24</x:v>
      </x:c>
      <x:c r="E404" s="88" t="n">
        <x:v>1</x:v>
      </x:c>
      <x:c r="F404" s="88" t="str">
        <x:v>No MCT</x:v>
      </x:c>
      <x:c r="G404" s="88" t="str">
        <x:v>NES 2-for-1 extractor sale</x:v>
      </x:c>
      <x:c r="H404" s="87" t="n">
        <x:f>'01 Base Costs'!$B$25</x:f>
        <x:v>6600</x:v>
      </x:c>
      <x:c r="I404" s="87" t="n">
        <x:f>0</x:f>
        <x:v>0</x:v>
      </x:c>
      <x:c r="J404" s="87" t="n">
        <x:f>0</x:f>
        <x:v>0</x:v>
      </x:c>
      <x:c r="K404" s="87" t="n">
        <x:f>D404*(E404-1)*I404</x:f>
        <x:v>0</x:v>
      </x:c>
      <x:c r="L404" s="87" t="n">
        <x:f>D404*(E404-1)*J404</x:f>
        <x:v>0</x:v>
      </x:c>
      <x:c r="M404" s="87" t="n">
        <x:f>0</x:f>
        <x:v>0</x:v>
      </x:c>
      <x:c r="N404" s="87" t="n">
        <x:f>H404+K404+M404</x:f>
        <x:v>6600</x:v>
      </x:c>
      <x:c r="O404" s="87" t="n">
        <x:f>N404*'01 Base Costs'!$B$7+L404</x:f>
        <x:v>31746000000</x:v>
      </x:c>
      <x:c r="P404" s="87" t="n">
        <x:f>D404*E404</x:f>
        <x:v>24</x:v>
      </x:c>
      <x:c r="Q404" s="87" t="n">
        <x:f>P404*'01 Base Costs'!$B$12</x:f>
        <x:v>46656000</x:v>
      </x:c>
      <x:c r="R404" s="87" t="n">
        <x:f>0</x:f>
        <x:v>0</x:v>
      </x:c>
      <x:c r="S404" s="87" t="n">
        <x:f>Q404+R404</x:f>
        <x:v>46656000</x:v>
      </x:c>
      <x:c r="T404" s="141" t="n">
        <x:f>S404/'01 Base Costs'!$B$14</x:f>
        <x:v>93.312</x:v>
      </x:c>
      <x:c r="U404" s="87" t="n">
        <x:f>INT(T404)</x:f>
        <x:v>93</x:v>
      </x:c>
      <x:c r="V404" s="87" t="n">
        <x:f>S404-U404*'01 Base Costs'!$B$14</x:f>
        <x:v>156000</x:v>
      </x:c>
      <x:c r="W404" s="120" t="n">
        <x:f>'01 Base Costs'!$B$17/2</x:f>
        <x:v>70</x:v>
      </x:c>
      <x:c r="X404" s="120" t="n">
        <x:f>0</x:f>
        <x:v>0</x:v>
      </x:c>
      <x:c r="Y404" s="87" t="n">
        <x:f>T404*(W404*'01 Base Costs'!$B$7+X404)</x:f>
        <x:v>31418150400</x:v>
      </x:c>
      <x:c r="Z404" s="87" t="n">
        <x:f>T404*'01 Base Costs'!$B$8</x:f>
        <x:v>70254604800</x:v>
      </x:c>
      <x:c r="AA404" s="87" t="n">
        <x:f>Z404*'01 Base Costs'!$B$11</x:f>
        <x:v>3512730240</x:v>
      </x:c>
      <x:c r="AB404" s="87" t="n">
        <x:f>Z404-AA404</x:f>
        <x:v>66741874560</x:v>
      </x:c>
      <x:c r="AC404" s="87" t="n">
        <x:f>O404+Y404</x:f>
        <x:v>63164150400</x:v>
      </x:c>
      <x:c r="AD404" s="87" t="n">
        <x:f>AB404-AC404</x:f>
        <x:v>3577724160</x:v>
      </x:c>
      <x:c r="AE404" s="87" t="n">
        <x:f>AD404/D404</x:f>
        <x:v>149071840</x:v>
      </x:c>
      <x:c r="AF404" s="87" t="n">
        <x:f>AD404/P404</x:f>
        <x:v>149071840</x:v>
      </x:c>
      <x:c r="AG404" s="87" t="n">
        <x:f>IF(T404=0,0,AC404/T404/(1-'01 Base Costs'!$B$11))</x:f>
        <x:v>712540502.4907949</x:v>
      </x:c>
      <x:c r="AH404" s="88" t="str">
        <x:f>IF(AD404&gt;0,"PROFIT","LOSS")</x:f>
        <x:v>PROFIT</x:v>
      </x:c>
      <x:c r="AI404" s="89" t="str">
        <x:v>Base 24M Omega. One training queue only. Extractor 2-for-1 sale.</x:v>
      </x:c>
    </x:row>
    <x:row r="405">
      <x:c r="A405" s="86" t="n">
        <x:v>403</x:v>
      </x:c>
      <x:c r="B405" s="88" t="str">
        <x:v>Base</x:v>
      </x:c>
      <x:c r="C405" s="88" t="str">
        <x:v>24M Omega</x:v>
      </x:c>
      <x:c r="D405" s="88" t="n">
        <x:v>24</x:v>
      </x:c>
      <x:c r="E405" s="88" t="n">
        <x:v>1</x:v>
      </x:c>
      <x:c r="F405" s="88" t="str">
        <x:v>No MCT</x:v>
      </x:c>
      <x:c r="G405" s="88" t="str">
        <x:v>NES 10-pack extractor 20% sale</x:v>
      </x:c>
      <x:c r="H405" s="87" t="n">
        <x:f>'01 Base Costs'!$B$25</x:f>
        <x:v>6600</x:v>
      </x:c>
      <x:c r="I405" s="87" t="n">
        <x:f>0</x:f>
        <x:v>0</x:v>
      </x:c>
      <x:c r="J405" s="87" t="n">
        <x:f>0</x:f>
        <x:v>0</x:v>
      </x:c>
      <x:c r="K405" s="87" t="n">
        <x:f>D405*(E405-1)*I405</x:f>
        <x:v>0</x:v>
      </x:c>
      <x:c r="L405" s="87" t="n">
        <x:f>D405*(E405-1)*J405</x:f>
        <x:v>0</x:v>
      </x:c>
      <x:c r="M405" s="87" t="n">
        <x:f>0</x:f>
        <x:v>0</x:v>
      </x:c>
      <x:c r="N405" s="87" t="n">
        <x:f>H405+K405+M405</x:f>
        <x:v>6600</x:v>
      </x:c>
      <x:c r="O405" s="87" t="n">
        <x:f>N405*'01 Base Costs'!$B$7+L405</x:f>
        <x:v>31746000000</x:v>
      </x:c>
      <x:c r="P405" s="87" t="n">
        <x:f>D405*E405</x:f>
        <x:v>24</x:v>
      </x:c>
      <x:c r="Q405" s="87" t="n">
        <x:f>P405*'01 Base Costs'!$B$12</x:f>
        <x:v>46656000</x:v>
      </x:c>
      <x:c r="R405" s="87" t="n">
        <x:f>0</x:f>
        <x:v>0</x:v>
      </x:c>
      <x:c r="S405" s="87" t="n">
        <x:f>Q405+R405</x:f>
        <x:v>46656000</x:v>
      </x:c>
      <x:c r="T405" s="141" t="n">
        <x:f>S405/'01 Base Costs'!$B$14</x:f>
        <x:v>93.312</x:v>
      </x:c>
      <x:c r="U405" s="87" t="n">
        <x:f>INT(T405)</x:f>
        <x:v>93</x:v>
      </x:c>
      <x:c r="V405" s="87" t="n">
        <x:f>S405-U405*'01 Base Costs'!$B$14</x:f>
        <x:v>156000</x:v>
      </x:c>
      <x:c r="W405" s="120" t="n">
        <x:f>'01 Base Costs'!$B$19*0.8/10</x:f>
        <x:v>95.2</x:v>
      </x:c>
      <x:c r="X405" s="120" t="n">
        <x:f>0</x:f>
        <x:v>0</x:v>
      </x:c>
      <x:c r="Y405" s="87" t="n">
        <x:f>T405*(W405*'01 Base Costs'!$B$7+X405)</x:f>
        <x:v>42728684544</x:v>
      </x:c>
      <x:c r="Z405" s="87" t="n">
        <x:f>T405*'01 Base Costs'!$B$8</x:f>
        <x:v>70254604800</x:v>
      </x:c>
      <x:c r="AA405" s="87" t="n">
        <x:f>Z405*'01 Base Costs'!$B$11</x:f>
        <x:v>3512730240</x:v>
      </x:c>
      <x:c r="AB405" s="87" t="n">
        <x:f>Z405-AA405</x:f>
        <x:v>66741874560</x:v>
      </x:c>
      <x:c r="AC405" s="87" t="n">
        <x:f>O405+Y405</x:f>
        <x:v>74474684544</x:v>
      </x:c>
      <x:c r="AD405" s="87" t="n">
        <x:f>AB405-AC405</x:f>
        <x:v>-7732809984</x:v>
      </x:c>
      <x:c r="AE405" s="87" t="n">
        <x:f>AD405/D405</x:f>
        <x:v>-322200416</x:v>
      </x:c>
      <x:c r="AF405" s="87" t="n">
        <x:f>AD405/P405</x:f>
        <x:v>-322200416</x:v>
      </x:c>
      <x:c r="AG405" s="87" t="n">
        <x:f>IF(T405=0,0,AC405/T405/(1-'01 Base Costs'!$B$11))</x:f>
        <x:v>840132081.4381634</x:v>
      </x:c>
      <x:c r="AH405" s="88" t="str">
        <x:f>IF(AD405&gt;0,"PROFIT","LOSS")</x:f>
        <x:v>LOSS</x:v>
      </x:c>
      <x:c r="AI405" s="89" t="str">
        <x:v>Base 24M Omega. One training queue only. 10-pack at 20% off.</x:v>
      </x:c>
    </x:row>
    <x:row r="406">
      <x:c r="A406" s="86" t="n">
        <x:v>404</x:v>
      </x:c>
      <x:c r="B406" s="88" t="str">
        <x:v>Base</x:v>
      </x:c>
      <x:c r="C406" s="88" t="str">
        <x:v>24M Omega</x:v>
      </x:c>
      <x:c r="D406" s="88" t="n">
        <x:v>24</x:v>
      </x:c>
      <x:c r="E406" s="88" t="n">
        <x:v>1</x:v>
      </x:c>
      <x:c r="F406" s="88" t="str">
        <x:v>No MCT</x:v>
      </x:c>
      <x:c r="G406" s="88" t="str">
        <x:v>NES 50-pack extractor 20% sale</x:v>
      </x:c>
      <x:c r="H406" s="87" t="n">
        <x:f>'01 Base Costs'!$B$25</x:f>
        <x:v>6600</x:v>
      </x:c>
      <x:c r="I406" s="87" t="n">
        <x:f>0</x:f>
        <x:v>0</x:v>
      </x:c>
      <x:c r="J406" s="87" t="n">
        <x:f>0</x:f>
        <x:v>0</x:v>
      </x:c>
      <x:c r="K406" s="87" t="n">
        <x:f>D406*(E406-1)*I406</x:f>
        <x:v>0</x:v>
      </x:c>
      <x:c r="L406" s="87" t="n">
        <x:f>D406*(E406-1)*J406</x:f>
        <x:v>0</x:v>
      </x:c>
      <x:c r="M406" s="87" t="n">
        <x:f>0</x:f>
        <x:v>0</x:v>
      </x:c>
      <x:c r="N406" s="87" t="n">
        <x:f>H406+K406+M406</x:f>
        <x:v>6600</x:v>
      </x:c>
      <x:c r="O406" s="87" t="n">
        <x:f>N406*'01 Base Costs'!$B$7+L406</x:f>
        <x:v>31746000000</x:v>
      </x:c>
      <x:c r="P406" s="87" t="n">
        <x:f>D406*E406</x:f>
        <x:v>24</x:v>
      </x:c>
      <x:c r="Q406" s="87" t="n">
        <x:f>P406*'01 Base Costs'!$B$12</x:f>
        <x:v>46656000</x:v>
      </x:c>
      <x:c r="R406" s="87" t="n">
        <x:f>0</x:f>
        <x:v>0</x:v>
      </x:c>
      <x:c r="S406" s="87" t="n">
        <x:f>Q406+R406</x:f>
        <x:v>46656000</x:v>
      </x:c>
      <x:c r="T406" s="141" t="n">
        <x:f>S406/'01 Base Costs'!$B$14</x:f>
        <x:v>93.312</x:v>
      </x:c>
      <x:c r="U406" s="87" t="n">
        <x:f>INT(T406)</x:f>
        <x:v>93</x:v>
      </x:c>
      <x:c r="V406" s="87" t="n">
        <x:f>S406-U406*'01 Base Costs'!$B$14</x:f>
        <x:v>156000</x:v>
      </x:c>
      <x:c r="W406" s="120" t="n">
        <x:f>'01 Base Costs'!$B$20*0.8/50</x:f>
        <x:v>89.6</x:v>
      </x:c>
      <x:c r="X406" s="120" t="n">
        <x:f>0</x:f>
        <x:v>0</x:v>
      </x:c>
      <x:c r="Y406" s="87" t="n">
        <x:f>T406*(W406*'01 Base Costs'!$B$7+X406)</x:f>
        <x:v>40215232512</x:v>
      </x:c>
      <x:c r="Z406" s="87" t="n">
        <x:f>T406*'01 Base Costs'!$B$8</x:f>
        <x:v>70254604800</x:v>
      </x:c>
      <x:c r="AA406" s="87" t="n">
        <x:f>Z406*'01 Base Costs'!$B$11</x:f>
        <x:v>3512730240</x:v>
      </x:c>
      <x:c r="AB406" s="87" t="n">
        <x:f>Z406-AA406</x:f>
        <x:v>66741874560</x:v>
      </x:c>
      <x:c r="AC406" s="87" t="n">
        <x:f>O406+Y406</x:f>
        <x:v>71961232512</x:v>
      </x:c>
      <x:c r="AD406" s="87" t="n">
        <x:f>AB406-AC406</x:f>
        <x:v>-5219357952</x:v>
      </x:c>
      <x:c r="AE406" s="87" t="n">
        <x:f>AD406/D406</x:f>
        <x:v>-217473248</x:v>
      </x:c>
      <x:c r="AF406" s="87" t="n">
        <x:f>AD406/P406</x:f>
        <x:v>-217473248</x:v>
      </x:c>
      <x:c r="AG406" s="87" t="n">
        <x:f>IF(T406=0,0,AC406/T406/(1-'01 Base Costs'!$B$11))</x:f>
        <x:v>811778397.227637</x:v>
      </x:c>
      <x:c r="AH406" s="88" t="str">
        <x:f>IF(AD406&gt;0,"PROFIT","LOSS")</x:f>
        <x:v>LOSS</x:v>
      </x:c>
      <x:c r="AI406" s="89" t="str">
        <x:v>Base 24M Omega. One training queue only. 50-pack at 20% off.</x:v>
      </x:c>
    </x:row>
    <x:row r="407">
      <x:c r="A407" s="86" t="n">
        <x:v>405</x:v>
      </x:c>
      <x:c r="B407" s="88" t="str">
        <x:v>Base</x:v>
      </x:c>
      <x:c r="C407" s="88" t="str">
        <x:v>24M Omega</x:v>
      </x:c>
      <x:c r="D407" s="88" t="n">
        <x:v>24</x:v>
      </x:c>
      <x:c r="E407" s="88" t="n">
        <x:v>1</x:v>
      </x:c>
      <x:c r="F407" s="88" t="str">
        <x:v>No MCT</x:v>
      </x:c>
      <x:c r="G407" s="88" t="str">
        <x:v>Market Skill Extractor</x:v>
      </x:c>
      <x:c r="H407" s="87" t="n">
        <x:f>'01 Base Costs'!$B$25</x:f>
        <x:v>6600</x:v>
      </x:c>
      <x:c r="I407" s="87" t="n">
        <x:f>0</x:f>
        <x:v>0</x:v>
      </x:c>
      <x:c r="J407" s="87" t="n">
        <x:f>0</x:f>
        <x:v>0</x:v>
      </x:c>
      <x:c r="K407" s="87" t="n">
        <x:f>D407*(E407-1)*I407</x:f>
        <x:v>0</x:v>
      </x:c>
      <x:c r="L407" s="87" t="n">
        <x:f>D407*(E407-1)*J407</x:f>
        <x:v>0</x:v>
      </x:c>
      <x:c r="M407" s="87" t="n">
        <x:f>0</x:f>
        <x:v>0</x:v>
      </x:c>
      <x:c r="N407" s="87" t="n">
        <x:f>H407+K407+M407</x:f>
        <x:v>6600</x:v>
      </x:c>
      <x:c r="O407" s="87" t="n">
        <x:f>N407*'01 Base Costs'!$B$7+L407</x:f>
        <x:v>31746000000</x:v>
      </x:c>
      <x:c r="P407" s="87" t="n">
        <x:f>D407*E407</x:f>
        <x:v>24</x:v>
      </x:c>
      <x:c r="Q407" s="87" t="n">
        <x:f>P407*'01 Base Costs'!$B$12</x:f>
        <x:v>46656000</x:v>
      </x:c>
      <x:c r="R407" s="87" t="n">
        <x:f>0</x:f>
        <x:v>0</x:v>
      </x:c>
      <x:c r="S407" s="87" t="n">
        <x:f>Q407+R407</x:f>
        <x:v>46656000</x:v>
      </x:c>
      <x:c r="T407" s="141" t="n">
        <x:f>S407/'01 Base Costs'!$B$14</x:f>
        <x:v>93.312</x:v>
      </x:c>
      <x:c r="U407" s="87" t="n">
        <x:f>INT(T407)</x:f>
        <x:v>93</x:v>
      </x:c>
      <x:c r="V407" s="87" t="n">
        <x:f>S407-U407*'01 Base Costs'!$B$14</x:f>
        <x:v>156000</x:v>
      </x:c>
      <x:c r="W407" s="120" t="n">
        <x:f>0</x:f>
        <x:v>0</x:v>
      </x:c>
      <x:c r="X407" s="120" t="n">
        <x:f>'01 Base Costs'!$B$9</x:f>
        <x:v>463500000</x:v>
      </x:c>
      <x:c r="Y407" s="87" t="n">
        <x:f>T407*(W407*'01 Base Costs'!$B$7+X407)</x:f>
        <x:v>43250112000</x:v>
      </x:c>
      <x:c r="Z407" s="87" t="n">
        <x:f>T407*'01 Base Costs'!$B$8</x:f>
        <x:v>70254604800</x:v>
      </x:c>
      <x:c r="AA407" s="87" t="n">
        <x:f>Z407*'01 Base Costs'!$B$11</x:f>
        <x:v>3512730240</x:v>
      </x:c>
      <x:c r="AB407" s="87" t="n">
        <x:f>Z407-AA407</x:f>
        <x:v>66741874560</x:v>
      </x:c>
      <x:c r="AC407" s="87" t="n">
        <x:f>O407+Y407</x:f>
        <x:v>74996112000</x:v>
      </x:c>
      <x:c r="AD407" s="87" t="n">
        <x:f>AB407-AC407</x:f>
        <x:v>-8254237440</x:v>
      </x:c>
      <x:c r="AE407" s="87" t="n">
        <x:f>AD407/D407</x:f>
        <x:v>-343926560</x:v>
      </x:c>
      <x:c r="AF407" s="87" t="n">
        <x:f>AD407/P407</x:f>
        <x:v>-343926560</x:v>
      </x:c>
      <x:c r="AG407" s="87" t="n">
        <x:f>IF(T407=0,0,AC407/T407/(1-'01 Base Costs'!$B$11))</x:f>
        <x:v>846014186.7013212</x:v>
      </x:c>
      <x:c r="AH407" s="88" t="str">
        <x:f>IF(AD407&gt;0,"PROFIT","LOSS")</x:f>
        <x:v>LOSS</x:v>
      </x:c>
      <x:c r="AI407" s="89" t="str">
        <x:v>Base 24M Omega. One training queue only. Extractor bought on market with ISK.</x:v>
      </x:c>
    </x:row>
    <x:row r="408">
      <x:c r="A408" s="86" t="n">
        <x:v>406</x:v>
      </x:c>
      <x:c r="B408" s="88" t="str">
        <x:v>Base</x:v>
      </x:c>
      <x:c r="C408" s="88" t="str">
        <x:v>24M Omega</x:v>
      </x:c>
      <x:c r="D408" s="88" t="n">
        <x:v>24</x:v>
      </x:c>
      <x:c r="E408" s="88" t="n">
        <x:v>2</x:v>
      </x:c>
      <x:c r="F408" s="88" t="str">
        <x:v>NES base MCT</x:v>
      </x:c>
      <x:c r="G408" s="88" t="str">
        <x:v>NES single extractor</x:v>
      </x:c>
      <x:c r="H408" s="87" t="n">
        <x:f>'01 Base Costs'!$B$25</x:f>
        <x:v>6600</x:v>
      </x:c>
      <x:c r="I408" s="87" t="n">
        <x:f>'01 Base Costs'!$B$16</x:f>
        <x:v>485</x:v>
      </x:c>
      <x:c r="J408" s="87" t="n">
        <x:f>0</x:f>
        <x:v>0</x:v>
      </x:c>
      <x:c r="K408" s="87" t="n">
        <x:f>D408*(E408-1)*I408</x:f>
        <x:v>11640</x:v>
      </x:c>
      <x:c r="L408" s="87" t="n">
        <x:f>D408*(E408-1)*J408</x:f>
        <x:v>0</x:v>
      </x:c>
      <x:c r="M408" s="87" t="n">
        <x:f>0</x:f>
        <x:v>0</x:v>
      </x:c>
      <x:c r="N408" s="87" t="n">
        <x:f>H408+K408+M408</x:f>
        <x:v>18240</x:v>
      </x:c>
      <x:c r="O408" s="87" t="n">
        <x:f>N408*'01 Base Costs'!$B$7+L408</x:f>
        <x:v>87734400000</x:v>
      </x:c>
      <x:c r="P408" s="87" t="n">
        <x:f>D408*E408</x:f>
        <x:v>48</x:v>
      </x:c>
      <x:c r="Q408" s="87" t="n">
        <x:f>P408*'01 Base Costs'!$B$12</x:f>
        <x:v>93312000</x:v>
      </x:c>
      <x:c r="R408" s="87" t="n">
        <x:f>0</x:f>
        <x:v>0</x:v>
      </x:c>
      <x:c r="S408" s="87" t="n">
        <x:f>Q408+R408</x:f>
        <x:v>93312000</x:v>
      </x:c>
      <x:c r="T408" s="141" t="n">
        <x:f>S408/'01 Base Costs'!$B$14</x:f>
        <x:v>186.624</x:v>
      </x:c>
      <x:c r="U408" s="87" t="n">
        <x:f>INT(T408)</x:f>
        <x:v>186</x:v>
      </x:c>
      <x:c r="V408" s="87" t="n">
        <x:f>S408-U408*'01 Base Costs'!$B$14</x:f>
        <x:v>312000</x:v>
      </x:c>
      <x:c r="W408" s="120" t="n">
        <x:f>'01 Base Costs'!$B$17</x:f>
        <x:v>140</x:v>
      </x:c>
      <x:c r="X408" s="120" t="n">
        <x:f>0</x:f>
        <x:v>0</x:v>
      </x:c>
      <x:c r="Y408" s="87" t="n">
        <x:f>T408*(W408*'01 Base Costs'!$B$7+X408)</x:f>
        <x:v>125672601600</x:v>
      </x:c>
      <x:c r="Z408" s="87" t="n">
        <x:f>T408*'01 Base Costs'!$B$8</x:f>
        <x:v>140509209600</x:v>
      </x:c>
      <x:c r="AA408" s="87" t="n">
        <x:f>Z408*'01 Base Costs'!$B$11</x:f>
        <x:v>7025460480</x:v>
      </x:c>
      <x:c r="AB408" s="87" t="n">
        <x:f>Z408-AA408</x:f>
        <x:v>133483749120</x:v>
      </x:c>
      <x:c r="AC408" s="87" t="n">
        <x:f>O408+Y408</x:f>
        <x:v>213407001600</x:v>
      </x:c>
      <x:c r="AD408" s="87" t="n">
        <x:f>AB408-AC408</x:f>
        <x:v>-79923252480</x:v>
      </x:c>
      <x:c r="AE408" s="87" t="n">
        <x:f>AD408/D408</x:f>
        <x:v>-3330135520</x:v>
      </x:c>
      <x:c r="AF408" s="87" t="n">
        <x:f>AD408/P408</x:f>
        <x:v>-1665067760</x:v>
      </x:c>
      <x:c r="AG408" s="87" t="n">
        <x:f>IF(T408=0,0,AC408/T408/(1-'01 Base Costs'!$B$11))</x:f>
        <x:v>1203698072.3413472</x:v>
      </x:c>
      <x:c r="AH408" s="88" t="str">
        <x:f>IF(AD408&gt;0,"PROFIT","LOSS")</x:f>
        <x:v>LOSS</x:v>
      </x:c>
      <x:c r="AI408" s="89" t="str">
        <x:v>Base 24M Omega. MCT purchased with PLEX in NES. Base single extractor.</x:v>
      </x:c>
    </x:row>
    <x:row r="409">
      <x:c r="A409" s="86" t="n">
        <x:v>407</x:v>
      </x:c>
      <x:c r="B409" s="88" t="str">
        <x:v>Base</x:v>
      </x:c>
      <x:c r="C409" s="88" t="str">
        <x:v>24M Omega</x:v>
      </x:c>
      <x:c r="D409" s="88" t="n">
        <x:v>24</x:v>
      </x:c>
      <x:c r="E409" s="88" t="n">
        <x:v>2</x:v>
      </x:c>
      <x:c r="F409" s="88" t="str">
        <x:v>NES base MCT</x:v>
      </x:c>
      <x:c r="G409" s="88" t="str">
        <x:v>NES 5-pack extractor</x:v>
      </x:c>
      <x:c r="H409" s="87" t="n">
        <x:f>'01 Base Costs'!$B$25</x:f>
        <x:v>6600</x:v>
      </x:c>
      <x:c r="I409" s="87" t="n">
        <x:f>'01 Base Costs'!$B$16</x:f>
        <x:v>485</x:v>
      </x:c>
      <x:c r="J409" s="87" t="n">
        <x:f>0</x:f>
        <x:v>0</x:v>
      </x:c>
      <x:c r="K409" s="87" t="n">
        <x:f>D409*(E409-1)*I409</x:f>
        <x:v>11640</x:v>
      </x:c>
      <x:c r="L409" s="87" t="n">
        <x:f>D409*(E409-1)*J409</x:f>
        <x:v>0</x:v>
      </x:c>
      <x:c r="M409" s="87" t="n">
        <x:f>0</x:f>
        <x:v>0</x:v>
      </x:c>
      <x:c r="N409" s="87" t="n">
        <x:f>H409+K409+M409</x:f>
        <x:v>18240</x:v>
      </x:c>
      <x:c r="O409" s="87" t="n">
        <x:f>N409*'01 Base Costs'!$B$7+L409</x:f>
        <x:v>87734400000</x:v>
      </x:c>
      <x:c r="P409" s="87" t="n">
        <x:f>D409*E409</x:f>
        <x:v>48</x:v>
      </x:c>
      <x:c r="Q409" s="87" t="n">
        <x:f>P409*'01 Base Costs'!$B$12</x:f>
        <x:v>93312000</x:v>
      </x:c>
      <x:c r="R409" s="87" t="n">
        <x:f>0</x:f>
        <x:v>0</x:v>
      </x:c>
      <x:c r="S409" s="87" t="n">
        <x:f>Q409+R409</x:f>
        <x:v>93312000</x:v>
      </x:c>
      <x:c r="T409" s="141" t="n">
        <x:f>S409/'01 Base Costs'!$B$14</x:f>
        <x:v>186.624</x:v>
      </x:c>
      <x:c r="U409" s="87" t="n">
        <x:f>INT(T409)</x:f>
        <x:v>186</x:v>
      </x:c>
      <x:c r="V409" s="87" t="n">
        <x:f>S409-U409*'01 Base Costs'!$B$14</x:f>
        <x:v>312000</x:v>
      </x:c>
      <x:c r="W409" s="120" t="n">
        <x:f>'01 Base Costs'!$B$18/5</x:f>
        <x:v>126</x:v>
      </x:c>
      <x:c r="X409" s="120" t="n">
        <x:f>0</x:f>
        <x:v>0</x:v>
      </x:c>
      <x:c r="Y409" s="87" t="n">
        <x:f>T409*(W409*'01 Base Costs'!$B$7+X409)</x:f>
        <x:v>113105341440</x:v>
      </x:c>
      <x:c r="Z409" s="87" t="n">
        <x:f>T409*'01 Base Costs'!$B$8</x:f>
        <x:v>140509209600</x:v>
      </x:c>
      <x:c r="AA409" s="87" t="n">
        <x:f>Z409*'01 Base Costs'!$B$11</x:f>
        <x:v>7025460480</x:v>
      </x:c>
      <x:c r="AB409" s="87" t="n">
        <x:f>Z409-AA409</x:f>
        <x:v>133483749120</x:v>
      </x:c>
      <x:c r="AC409" s="87" t="n">
        <x:f>O409+Y409</x:f>
        <x:v>200839741440</x:v>
      </x:c>
      <x:c r="AD409" s="87" t="n">
        <x:f>AB409-AC409</x:f>
        <x:v>-67355992320</x:v>
      </x:c>
      <x:c r="AE409" s="87" t="n">
        <x:f>AD409/D409</x:f>
        <x:v>-2806499680</x:v>
      </x:c>
      <x:c r="AF409" s="87" t="n">
        <x:f>AD409/P409</x:f>
        <x:v>-1403249840</x:v>
      </x:c>
      <x:c r="AG409" s="87" t="n">
        <x:f>IF(T409=0,0,AC409/T409/(1-'01 Base Costs'!$B$11))</x:f>
        <x:v>1132813861.8150315</x:v>
      </x:c>
      <x:c r="AH409" s="88" t="str">
        <x:f>IF(AD409&gt;0,"PROFIT","LOSS")</x:f>
        <x:v>LOSS</x:v>
      </x:c>
      <x:c r="AI409" s="89" t="str">
        <x:v>Base 24M Omega. MCT purchased with PLEX in NES. Base 5-pack average.</x:v>
      </x:c>
    </x:row>
    <x:row r="410">
      <x:c r="A410" s="86" t="n">
        <x:v>408</x:v>
      </x:c>
      <x:c r="B410" s="88" t="str">
        <x:v>Base</x:v>
      </x:c>
      <x:c r="C410" s="88" t="str">
        <x:v>24M Omega</x:v>
      </x:c>
      <x:c r="D410" s="88" t="n">
        <x:v>24</x:v>
      </x:c>
      <x:c r="E410" s="88" t="n">
        <x:v>2</x:v>
      </x:c>
      <x:c r="F410" s="88" t="str">
        <x:v>NES base MCT</x:v>
      </x:c>
      <x:c r="G410" s="88" t="str">
        <x:v>NES 10-pack extractor</x:v>
      </x:c>
      <x:c r="H410" s="87" t="n">
        <x:f>'01 Base Costs'!$B$25</x:f>
        <x:v>6600</x:v>
      </x:c>
      <x:c r="I410" s="87" t="n">
        <x:f>'01 Base Costs'!$B$16</x:f>
        <x:v>485</x:v>
      </x:c>
      <x:c r="J410" s="87" t="n">
        <x:f>0</x:f>
        <x:v>0</x:v>
      </x:c>
      <x:c r="K410" s="87" t="n">
        <x:f>D410*(E410-1)*I410</x:f>
        <x:v>11640</x:v>
      </x:c>
      <x:c r="L410" s="87" t="n">
        <x:f>D410*(E410-1)*J410</x:f>
        <x:v>0</x:v>
      </x:c>
      <x:c r="M410" s="87" t="n">
        <x:f>0</x:f>
        <x:v>0</x:v>
      </x:c>
      <x:c r="N410" s="87" t="n">
        <x:f>H410+K410+M410</x:f>
        <x:v>18240</x:v>
      </x:c>
      <x:c r="O410" s="87" t="n">
        <x:f>N410*'01 Base Costs'!$B$7+L410</x:f>
        <x:v>87734400000</x:v>
      </x:c>
      <x:c r="P410" s="87" t="n">
        <x:f>D410*E410</x:f>
        <x:v>48</x:v>
      </x:c>
      <x:c r="Q410" s="87" t="n">
        <x:f>P410*'01 Base Costs'!$B$12</x:f>
        <x:v>93312000</x:v>
      </x:c>
      <x:c r="R410" s="87" t="n">
        <x:f>0</x:f>
        <x:v>0</x:v>
      </x:c>
      <x:c r="S410" s="87" t="n">
        <x:f>Q410+R410</x:f>
        <x:v>93312000</x:v>
      </x:c>
      <x:c r="T410" s="141" t="n">
        <x:f>S410/'01 Base Costs'!$B$14</x:f>
        <x:v>186.624</x:v>
      </x:c>
      <x:c r="U410" s="87" t="n">
        <x:f>INT(T410)</x:f>
        <x:v>186</x:v>
      </x:c>
      <x:c r="V410" s="87" t="n">
        <x:f>S410-U410*'01 Base Costs'!$B$14</x:f>
        <x:v>312000</x:v>
      </x:c>
      <x:c r="W410" s="120" t="n">
        <x:f>'01 Base Costs'!$B$19/10</x:f>
        <x:v>119</x:v>
      </x:c>
      <x:c r="X410" s="120" t="n">
        <x:f>0</x:f>
        <x:v>0</x:v>
      </x:c>
      <x:c r="Y410" s="87" t="n">
        <x:f>T410*(W410*'01 Base Costs'!$B$7+X410)</x:f>
        <x:v>106821711360</x:v>
      </x:c>
      <x:c r="Z410" s="87" t="n">
        <x:f>T410*'01 Base Costs'!$B$8</x:f>
        <x:v>140509209600</x:v>
      </x:c>
      <x:c r="AA410" s="87" t="n">
        <x:f>Z410*'01 Base Costs'!$B$11</x:f>
        <x:v>7025460480</x:v>
      </x:c>
      <x:c r="AB410" s="87" t="n">
        <x:f>Z410-AA410</x:f>
        <x:v>133483749120</x:v>
      </x:c>
      <x:c r="AC410" s="87" t="n">
        <x:f>O410+Y410</x:f>
        <x:v>194556111360</x:v>
      </x:c>
      <x:c r="AD410" s="87" t="n">
        <x:f>AB410-AC410</x:f>
        <x:v>-61072362240</x:v>
      </x:c>
      <x:c r="AE410" s="87" t="n">
        <x:f>AD410/D410</x:f>
        <x:v>-2544681760</x:v>
      </x:c>
      <x:c r="AF410" s="87" t="n">
        <x:f>AD410/P410</x:f>
        <x:v>-1272340880</x:v>
      </x:c>
      <x:c r="AG410" s="87" t="n">
        <x:f>IF(T410=0,0,AC410/T410/(1-'01 Base Costs'!$B$11))</x:f>
        <x:v>1097371756.5518737</x:v>
      </x:c>
      <x:c r="AH410" s="88" t="str">
        <x:f>IF(AD410&gt;0,"PROFIT","LOSS")</x:f>
        <x:v>LOSS</x:v>
      </x:c>
      <x:c r="AI410" s="89" t="str">
        <x:v>Base 24M Omega. MCT purchased with PLEX in NES. Base 10-pack average.</x:v>
      </x:c>
    </x:row>
    <x:row r="411">
      <x:c r="A411" s="86" t="n">
        <x:v>409</x:v>
      </x:c>
      <x:c r="B411" s="88" t="str">
        <x:v>Base</x:v>
      </x:c>
      <x:c r="C411" s="88" t="str">
        <x:v>24M Omega</x:v>
      </x:c>
      <x:c r="D411" s="88" t="n">
        <x:v>24</x:v>
      </x:c>
      <x:c r="E411" s="88" t="n">
        <x:v>2</x:v>
      </x:c>
      <x:c r="F411" s="88" t="str">
        <x:v>NES base MCT</x:v>
      </x:c>
      <x:c r="G411" s="88" t="str">
        <x:v>NES 50-pack extractor</x:v>
      </x:c>
      <x:c r="H411" s="87" t="n">
        <x:f>'01 Base Costs'!$B$25</x:f>
        <x:v>6600</x:v>
      </x:c>
      <x:c r="I411" s="87" t="n">
        <x:f>'01 Base Costs'!$B$16</x:f>
        <x:v>485</x:v>
      </x:c>
      <x:c r="J411" s="87" t="n">
        <x:f>0</x:f>
        <x:v>0</x:v>
      </x:c>
      <x:c r="K411" s="87" t="n">
        <x:f>D411*(E411-1)*I411</x:f>
        <x:v>11640</x:v>
      </x:c>
      <x:c r="L411" s="87" t="n">
        <x:f>D411*(E411-1)*J411</x:f>
        <x:v>0</x:v>
      </x:c>
      <x:c r="M411" s="87" t="n">
        <x:f>0</x:f>
        <x:v>0</x:v>
      </x:c>
      <x:c r="N411" s="87" t="n">
        <x:f>H411+K411+M411</x:f>
        <x:v>18240</x:v>
      </x:c>
      <x:c r="O411" s="87" t="n">
        <x:f>N411*'01 Base Costs'!$B$7+L411</x:f>
        <x:v>87734400000</x:v>
      </x:c>
      <x:c r="P411" s="87" t="n">
        <x:f>D411*E411</x:f>
        <x:v>48</x:v>
      </x:c>
      <x:c r="Q411" s="87" t="n">
        <x:f>P411*'01 Base Costs'!$B$12</x:f>
        <x:v>93312000</x:v>
      </x:c>
      <x:c r="R411" s="87" t="n">
        <x:f>0</x:f>
        <x:v>0</x:v>
      </x:c>
      <x:c r="S411" s="87" t="n">
        <x:f>Q411+R411</x:f>
        <x:v>93312000</x:v>
      </x:c>
      <x:c r="T411" s="141" t="n">
        <x:f>S411/'01 Base Costs'!$B$14</x:f>
        <x:v>186.624</x:v>
      </x:c>
      <x:c r="U411" s="87" t="n">
        <x:f>INT(T411)</x:f>
        <x:v>186</x:v>
      </x:c>
      <x:c r="V411" s="87" t="n">
        <x:f>S411-U411*'01 Base Costs'!$B$14</x:f>
        <x:v>312000</x:v>
      </x:c>
      <x:c r="W411" s="120" t="n">
        <x:f>'01 Base Costs'!$B$20/50</x:f>
        <x:v>112</x:v>
      </x:c>
      <x:c r="X411" s="120" t="n">
        <x:f>0</x:f>
        <x:v>0</x:v>
      </x:c>
      <x:c r="Y411" s="87" t="n">
        <x:f>T411*(W411*'01 Base Costs'!$B$7+X411)</x:f>
        <x:v>100538081280</x:v>
      </x:c>
      <x:c r="Z411" s="87" t="n">
        <x:f>T411*'01 Base Costs'!$B$8</x:f>
        <x:v>140509209600</x:v>
      </x:c>
      <x:c r="AA411" s="87" t="n">
        <x:f>Z411*'01 Base Costs'!$B$11</x:f>
        <x:v>7025460480</x:v>
      </x:c>
      <x:c r="AB411" s="87" t="n">
        <x:f>Z411-AA411</x:f>
        <x:v>133483749120</x:v>
      </x:c>
      <x:c r="AC411" s="87" t="n">
        <x:f>O411+Y411</x:f>
        <x:v>188272481280</x:v>
      </x:c>
      <x:c r="AD411" s="87" t="n">
        <x:f>AB411-AC411</x:f>
        <x:v>-54788732160</x:v>
      </x:c>
      <x:c r="AE411" s="87" t="n">
        <x:f>AD411/D411</x:f>
        <x:v>-2282863840</x:v>
      </x:c>
      <x:c r="AF411" s="87" t="n">
        <x:f>AD411/P411</x:f>
        <x:v>-1141431920</x:v>
      </x:c>
      <x:c r="AG411" s="87" t="n">
        <x:f>IF(T411=0,0,AC411/T411/(1-'01 Base Costs'!$B$11))</x:f>
        <x:v>1061929651.2887157</x:v>
      </x:c>
      <x:c r="AH411" s="88" t="str">
        <x:f>IF(AD411&gt;0,"PROFIT","LOSS")</x:f>
        <x:v>LOSS</x:v>
      </x:c>
      <x:c r="AI411" s="89" t="str">
        <x:v>Base 24M Omega. MCT purchased with PLEX in NES. Base 50-pack average.</x:v>
      </x:c>
    </x:row>
    <x:row r="412">
      <x:c r="A412" s="86" t="n">
        <x:v>410</x:v>
      </x:c>
      <x:c r="B412" s="88" t="str">
        <x:v>Base</x:v>
      </x:c>
      <x:c r="C412" s="88" t="str">
        <x:v>24M Omega</x:v>
      </x:c>
      <x:c r="D412" s="88" t="n">
        <x:v>24</x:v>
      </x:c>
      <x:c r="E412" s="88" t="n">
        <x:v>2</x:v>
      </x:c>
      <x:c r="F412" s="88" t="str">
        <x:v>NES base MCT</x:v>
      </x:c>
      <x:c r="G412" s="88" t="str">
        <x:v>NES 3-for-2 extractor sale</x:v>
      </x:c>
      <x:c r="H412" s="87" t="n">
        <x:f>'01 Base Costs'!$B$25</x:f>
        <x:v>6600</x:v>
      </x:c>
      <x:c r="I412" s="87" t="n">
        <x:f>'01 Base Costs'!$B$16</x:f>
        <x:v>485</x:v>
      </x:c>
      <x:c r="J412" s="87" t="n">
        <x:f>0</x:f>
        <x:v>0</x:v>
      </x:c>
      <x:c r="K412" s="87" t="n">
        <x:f>D412*(E412-1)*I412</x:f>
        <x:v>11640</x:v>
      </x:c>
      <x:c r="L412" s="87" t="n">
        <x:f>D412*(E412-1)*J412</x:f>
        <x:v>0</x:v>
      </x:c>
      <x:c r="M412" s="87" t="n">
        <x:f>0</x:f>
        <x:v>0</x:v>
      </x:c>
      <x:c r="N412" s="87" t="n">
        <x:f>H412+K412+M412</x:f>
        <x:v>18240</x:v>
      </x:c>
      <x:c r="O412" s="87" t="n">
        <x:f>N412*'01 Base Costs'!$B$7+L412</x:f>
        <x:v>87734400000</x:v>
      </x:c>
      <x:c r="P412" s="87" t="n">
        <x:f>D412*E412</x:f>
        <x:v>48</x:v>
      </x:c>
      <x:c r="Q412" s="87" t="n">
        <x:f>P412*'01 Base Costs'!$B$12</x:f>
        <x:v>93312000</x:v>
      </x:c>
      <x:c r="R412" s="87" t="n">
        <x:f>0</x:f>
        <x:v>0</x:v>
      </x:c>
      <x:c r="S412" s="87" t="n">
        <x:f>Q412+R412</x:f>
        <x:v>93312000</x:v>
      </x:c>
      <x:c r="T412" s="141" t="n">
        <x:f>S412/'01 Base Costs'!$B$14</x:f>
        <x:v>186.624</x:v>
      </x:c>
      <x:c r="U412" s="87" t="n">
        <x:f>INT(T412)</x:f>
        <x:v>186</x:v>
      </x:c>
      <x:c r="V412" s="87" t="n">
        <x:f>S412-U412*'01 Base Costs'!$B$14</x:f>
        <x:v>312000</x:v>
      </x:c>
      <x:c r="W412" s="120" t="n">
        <x:f>'01 Base Costs'!$B$17*2/3</x:f>
        <x:v>93.33333333333333</x:v>
      </x:c>
      <x:c r="X412" s="120" t="n">
        <x:f>0</x:f>
        <x:v>0</x:v>
      </x:c>
      <x:c r="Y412" s="87" t="n">
        <x:f>T412*(W412*'01 Base Costs'!$B$7+X412)</x:f>
        <x:v>83781734400</x:v>
      </x:c>
      <x:c r="Z412" s="87" t="n">
        <x:f>T412*'01 Base Costs'!$B$8</x:f>
        <x:v>140509209600</x:v>
      </x:c>
      <x:c r="AA412" s="87" t="n">
        <x:f>Z412*'01 Base Costs'!$B$11</x:f>
        <x:v>7025460480</x:v>
      </x:c>
      <x:c r="AB412" s="87" t="n">
        <x:f>Z412-AA412</x:f>
        <x:v>133483749120</x:v>
      </x:c>
      <x:c r="AC412" s="87" t="n">
        <x:f>O412+Y412</x:f>
        <x:v>171516134400</x:v>
      </x:c>
      <x:c r="AD412" s="87" t="n">
        <x:f>AB412-AC412</x:f>
        <x:v>-38032385280</x:v>
      </x:c>
      <x:c r="AE412" s="87" t="n">
        <x:f>AD412/D412</x:f>
        <x:v>-1584682720</x:v>
      </x:c>
      <x:c r="AF412" s="87" t="n">
        <x:f>AD412/P412</x:f>
        <x:v>-792341360</x:v>
      </x:c>
      <x:c r="AG412" s="87" t="n">
        <x:f>IF(T412=0,0,AC412/T412/(1-'01 Base Costs'!$B$11))</x:f>
        <x:v>967417370.5869613</x:v>
      </x:c>
      <x:c r="AH412" s="88" t="str">
        <x:f>IF(AD412&gt;0,"PROFIT","LOSS")</x:f>
        <x:v>LOSS</x:v>
      </x:c>
      <x:c r="AI412" s="89" t="str">
        <x:v>Base 24M Omega. MCT purchased with PLEX in NES. Extractor 3-for-2 sale.</x:v>
      </x:c>
    </x:row>
    <x:row r="413">
      <x:c r="A413" s="86" t="n">
        <x:v>411</x:v>
      </x:c>
      <x:c r="B413" s="88" t="str">
        <x:v>Base</x:v>
      </x:c>
      <x:c r="C413" s="88" t="str">
        <x:v>24M Omega</x:v>
      </x:c>
      <x:c r="D413" s="88" t="n">
        <x:v>24</x:v>
      </x:c>
      <x:c r="E413" s="88" t="n">
        <x:v>2</x:v>
      </x:c>
      <x:c r="F413" s="88" t="str">
        <x:v>NES base MCT</x:v>
      </x:c>
      <x:c r="G413" s="88" t="str">
        <x:v>NES 2-for-1 extractor sale</x:v>
      </x:c>
      <x:c r="H413" s="87" t="n">
        <x:f>'01 Base Costs'!$B$25</x:f>
        <x:v>6600</x:v>
      </x:c>
      <x:c r="I413" s="87" t="n">
        <x:f>'01 Base Costs'!$B$16</x:f>
        <x:v>485</x:v>
      </x:c>
      <x:c r="J413" s="87" t="n">
        <x:f>0</x:f>
        <x:v>0</x:v>
      </x:c>
      <x:c r="K413" s="87" t="n">
        <x:f>D413*(E413-1)*I413</x:f>
        <x:v>11640</x:v>
      </x:c>
      <x:c r="L413" s="87" t="n">
        <x:f>D413*(E413-1)*J413</x:f>
        <x:v>0</x:v>
      </x:c>
      <x:c r="M413" s="87" t="n">
        <x:f>0</x:f>
        <x:v>0</x:v>
      </x:c>
      <x:c r="N413" s="87" t="n">
        <x:f>H413+K413+M413</x:f>
        <x:v>18240</x:v>
      </x:c>
      <x:c r="O413" s="87" t="n">
        <x:f>N413*'01 Base Costs'!$B$7+L413</x:f>
        <x:v>87734400000</x:v>
      </x:c>
      <x:c r="P413" s="87" t="n">
        <x:f>D413*E413</x:f>
        <x:v>48</x:v>
      </x:c>
      <x:c r="Q413" s="87" t="n">
        <x:f>P413*'01 Base Costs'!$B$12</x:f>
        <x:v>93312000</x:v>
      </x:c>
      <x:c r="R413" s="87" t="n">
        <x:f>0</x:f>
        <x:v>0</x:v>
      </x:c>
      <x:c r="S413" s="87" t="n">
        <x:f>Q413+R413</x:f>
        <x:v>93312000</x:v>
      </x:c>
      <x:c r="T413" s="141" t="n">
        <x:f>S413/'01 Base Costs'!$B$14</x:f>
        <x:v>186.624</x:v>
      </x:c>
      <x:c r="U413" s="87" t="n">
        <x:f>INT(T413)</x:f>
        <x:v>186</x:v>
      </x:c>
      <x:c r="V413" s="87" t="n">
        <x:f>S413-U413*'01 Base Costs'!$B$14</x:f>
        <x:v>312000</x:v>
      </x:c>
      <x:c r="W413" s="120" t="n">
        <x:f>'01 Base Costs'!$B$17/2</x:f>
        <x:v>70</x:v>
      </x:c>
      <x:c r="X413" s="120" t="n">
        <x:f>0</x:f>
        <x:v>0</x:v>
      </x:c>
      <x:c r="Y413" s="87" t="n">
        <x:f>T413*(W413*'01 Base Costs'!$B$7+X413)</x:f>
        <x:v>62836300800</x:v>
      </x:c>
      <x:c r="Z413" s="87" t="n">
        <x:f>T413*'01 Base Costs'!$B$8</x:f>
        <x:v>140509209600</x:v>
      </x:c>
      <x:c r="AA413" s="87" t="n">
        <x:f>Z413*'01 Base Costs'!$B$11</x:f>
        <x:v>7025460480</x:v>
      </x:c>
      <x:c r="AB413" s="87" t="n">
        <x:f>Z413-AA413</x:f>
        <x:v>133483749120</x:v>
      </x:c>
      <x:c r="AC413" s="87" t="n">
        <x:f>O413+Y413</x:f>
        <x:v>150570700800</x:v>
      </x:c>
      <x:c r="AD413" s="87" t="n">
        <x:f>AB413-AC413</x:f>
        <x:v>-17086951680</x:v>
      </x:c>
      <x:c r="AE413" s="87" t="n">
        <x:f>AD413/D413</x:f>
        <x:v>-711956320</x:v>
      </x:c>
      <x:c r="AF413" s="87" t="n">
        <x:f>AD413/P413</x:f>
        <x:v>-355978160</x:v>
      </x:c>
      <x:c r="AG413" s="87" t="n">
        <x:f>IF(T413=0,0,AC413/T413/(1-'01 Base Costs'!$B$11))</x:f>
        <x:v>849277019.7097683</x:v>
      </x:c>
      <x:c r="AH413" s="88" t="str">
        <x:f>IF(AD413&gt;0,"PROFIT","LOSS")</x:f>
        <x:v>LOSS</x:v>
      </x:c>
      <x:c r="AI413" s="89" t="str">
        <x:v>Base 24M Omega. MCT purchased with PLEX in NES. Extractor 2-for-1 sale.</x:v>
      </x:c>
    </x:row>
    <x:row r="414">
      <x:c r="A414" s="86" t="n">
        <x:v>412</x:v>
      </x:c>
      <x:c r="B414" s="88" t="str">
        <x:v>Base</x:v>
      </x:c>
      <x:c r="C414" s="88" t="str">
        <x:v>24M Omega</x:v>
      </x:c>
      <x:c r="D414" s="88" t="n">
        <x:v>24</x:v>
      </x:c>
      <x:c r="E414" s="88" t="n">
        <x:v>2</x:v>
      </x:c>
      <x:c r="F414" s="88" t="str">
        <x:v>NES base MCT</x:v>
      </x:c>
      <x:c r="G414" s="88" t="str">
        <x:v>NES 10-pack extractor 20% sale</x:v>
      </x:c>
      <x:c r="H414" s="87" t="n">
        <x:f>'01 Base Costs'!$B$25</x:f>
        <x:v>6600</x:v>
      </x:c>
      <x:c r="I414" s="87" t="n">
        <x:f>'01 Base Costs'!$B$16</x:f>
        <x:v>485</x:v>
      </x:c>
      <x:c r="J414" s="87" t="n">
        <x:f>0</x:f>
        <x:v>0</x:v>
      </x:c>
      <x:c r="K414" s="87" t="n">
        <x:f>D414*(E414-1)*I414</x:f>
        <x:v>11640</x:v>
      </x:c>
      <x:c r="L414" s="87" t="n">
        <x:f>D414*(E414-1)*J414</x:f>
        <x:v>0</x:v>
      </x:c>
      <x:c r="M414" s="87" t="n">
        <x:f>0</x:f>
        <x:v>0</x:v>
      </x:c>
      <x:c r="N414" s="87" t="n">
        <x:f>H414+K414+M414</x:f>
        <x:v>18240</x:v>
      </x:c>
      <x:c r="O414" s="87" t="n">
        <x:f>N414*'01 Base Costs'!$B$7+L414</x:f>
        <x:v>87734400000</x:v>
      </x:c>
      <x:c r="P414" s="87" t="n">
        <x:f>D414*E414</x:f>
        <x:v>48</x:v>
      </x:c>
      <x:c r="Q414" s="87" t="n">
        <x:f>P414*'01 Base Costs'!$B$12</x:f>
        <x:v>93312000</x:v>
      </x:c>
      <x:c r="R414" s="87" t="n">
        <x:f>0</x:f>
        <x:v>0</x:v>
      </x:c>
      <x:c r="S414" s="87" t="n">
        <x:f>Q414+R414</x:f>
        <x:v>93312000</x:v>
      </x:c>
      <x:c r="T414" s="141" t="n">
        <x:f>S414/'01 Base Costs'!$B$14</x:f>
        <x:v>186.624</x:v>
      </x:c>
      <x:c r="U414" s="87" t="n">
        <x:f>INT(T414)</x:f>
        <x:v>186</x:v>
      </x:c>
      <x:c r="V414" s="87" t="n">
        <x:f>S414-U414*'01 Base Costs'!$B$14</x:f>
        <x:v>312000</x:v>
      </x:c>
      <x:c r="W414" s="120" t="n">
        <x:f>'01 Base Costs'!$B$19*0.8/10</x:f>
        <x:v>95.2</x:v>
      </x:c>
      <x:c r="X414" s="120" t="n">
        <x:f>0</x:f>
        <x:v>0</x:v>
      </x:c>
      <x:c r="Y414" s="87" t="n">
        <x:f>T414*(W414*'01 Base Costs'!$B$7+X414)</x:f>
        <x:v>85457369088</x:v>
      </x:c>
      <x:c r="Z414" s="87" t="n">
        <x:f>T414*'01 Base Costs'!$B$8</x:f>
        <x:v>140509209600</x:v>
      </x:c>
      <x:c r="AA414" s="87" t="n">
        <x:f>Z414*'01 Base Costs'!$B$11</x:f>
        <x:v>7025460480</x:v>
      </x:c>
      <x:c r="AB414" s="87" t="n">
        <x:f>Z414-AA414</x:f>
        <x:v>133483749120</x:v>
      </x:c>
      <x:c r="AC414" s="87" t="n">
        <x:f>O414+Y414</x:f>
        <x:v>173191769088</x:v>
      </x:c>
      <x:c r="AD414" s="87" t="n">
        <x:f>AB414-AC414</x:f>
        <x:v>-39708019968</x:v>
      </x:c>
      <x:c r="AE414" s="87" t="n">
        <x:f>AD414/D414</x:f>
        <x:v>-1654500832</x:v>
      </x:c>
      <x:c r="AF414" s="87" t="n">
        <x:f>AD414/P414</x:f>
        <x:v>-827250416</x:v>
      </x:c>
      <x:c r="AG414" s="87" t="n">
        <x:f>IF(T414=0,0,AC414/T414/(1-'01 Base Costs'!$B$11))</x:f>
        <x:v>976868598.6571368</x:v>
      </x:c>
      <x:c r="AH414" s="88" t="str">
        <x:f>IF(AD414&gt;0,"PROFIT","LOSS")</x:f>
        <x:v>LOSS</x:v>
      </x:c>
      <x:c r="AI414" s="89" t="str">
        <x:v>Base 24M Omega. MCT purchased with PLEX in NES. 10-pack at 20% off.</x:v>
      </x:c>
    </x:row>
    <x:row r="415">
      <x:c r="A415" s="86" t="n">
        <x:v>413</x:v>
      </x:c>
      <x:c r="B415" s="88" t="str">
        <x:v>Base</x:v>
      </x:c>
      <x:c r="C415" s="88" t="str">
        <x:v>24M Omega</x:v>
      </x:c>
      <x:c r="D415" s="88" t="n">
        <x:v>24</x:v>
      </x:c>
      <x:c r="E415" s="88" t="n">
        <x:v>2</x:v>
      </x:c>
      <x:c r="F415" s="88" t="str">
        <x:v>NES base MCT</x:v>
      </x:c>
      <x:c r="G415" s="88" t="str">
        <x:v>NES 50-pack extractor 20% sale</x:v>
      </x:c>
      <x:c r="H415" s="87" t="n">
        <x:f>'01 Base Costs'!$B$25</x:f>
        <x:v>6600</x:v>
      </x:c>
      <x:c r="I415" s="87" t="n">
        <x:f>'01 Base Costs'!$B$16</x:f>
        <x:v>485</x:v>
      </x:c>
      <x:c r="J415" s="87" t="n">
        <x:f>0</x:f>
        <x:v>0</x:v>
      </x:c>
      <x:c r="K415" s="87" t="n">
        <x:f>D415*(E415-1)*I415</x:f>
        <x:v>11640</x:v>
      </x:c>
      <x:c r="L415" s="87" t="n">
        <x:f>D415*(E415-1)*J415</x:f>
        <x:v>0</x:v>
      </x:c>
      <x:c r="M415" s="87" t="n">
        <x:f>0</x:f>
        <x:v>0</x:v>
      </x:c>
      <x:c r="N415" s="87" t="n">
        <x:f>H415+K415+M415</x:f>
        <x:v>18240</x:v>
      </x:c>
      <x:c r="O415" s="87" t="n">
        <x:f>N415*'01 Base Costs'!$B$7+L415</x:f>
        <x:v>87734400000</x:v>
      </x:c>
      <x:c r="P415" s="87" t="n">
        <x:f>D415*E415</x:f>
        <x:v>48</x:v>
      </x:c>
      <x:c r="Q415" s="87" t="n">
        <x:f>P415*'01 Base Costs'!$B$12</x:f>
        <x:v>93312000</x:v>
      </x:c>
      <x:c r="R415" s="87" t="n">
        <x:f>0</x:f>
        <x:v>0</x:v>
      </x:c>
      <x:c r="S415" s="87" t="n">
        <x:f>Q415+R415</x:f>
        <x:v>93312000</x:v>
      </x:c>
      <x:c r="T415" s="141" t="n">
        <x:f>S415/'01 Base Costs'!$B$14</x:f>
        <x:v>186.624</x:v>
      </x:c>
      <x:c r="U415" s="87" t="n">
        <x:f>INT(T415)</x:f>
        <x:v>186</x:v>
      </x:c>
      <x:c r="V415" s="87" t="n">
        <x:f>S415-U415*'01 Base Costs'!$B$14</x:f>
        <x:v>312000</x:v>
      </x:c>
      <x:c r="W415" s="120" t="n">
        <x:f>'01 Base Costs'!$B$20*0.8/50</x:f>
        <x:v>89.6</x:v>
      </x:c>
      <x:c r="X415" s="120" t="n">
        <x:f>0</x:f>
        <x:v>0</x:v>
      </x:c>
      <x:c r="Y415" s="87" t="n">
        <x:f>T415*(W415*'01 Base Costs'!$B$7+X415)</x:f>
        <x:v>80430465024</x:v>
      </x:c>
      <x:c r="Z415" s="87" t="n">
        <x:f>T415*'01 Base Costs'!$B$8</x:f>
        <x:v>140509209600</x:v>
      </x:c>
      <x:c r="AA415" s="87" t="n">
        <x:f>Z415*'01 Base Costs'!$B$11</x:f>
        <x:v>7025460480</x:v>
      </x:c>
      <x:c r="AB415" s="87" t="n">
        <x:f>Z415-AA415</x:f>
        <x:v>133483749120</x:v>
      </x:c>
      <x:c r="AC415" s="87" t="n">
        <x:f>O415+Y415</x:f>
        <x:v>168164865024</x:v>
      </x:c>
      <x:c r="AD415" s="87" t="n">
        <x:f>AB415-AC415</x:f>
        <x:v>-34681115904</x:v>
      </x:c>
      <x:c r="AE415" s="87" t="n">
        <x:f>AD415/D415</x:f>
        <x:v>-1445046496</x:v>
      </x:c>
      <x:c r="AF415" s="87" t="n">
        <x:f>AD415/P415</x:f>
        <x:v>-722523248</x:v>
      </x:c>
      <x:c r="AG415" s="87" t="n">
        <x:f>IF(T415=0,0,AC415/T415/(1-'01 Base Costs'!$B$11))</x:f>
        <x:v>948514914.4466105</x:v>
      </x:c>
      <x:c r="AH415" s="88" t="str">
        <x:f>IF(AD415&gt;0,"PROFIT","LOSS")</x:f>
        <x:v>LOSS</x:v>
      </x:c>
      <x:c r="AI415" s="89" t="str">
        <x:v>Base 24M Omega. MCT purchased with PLEX in NES. 50-pack at 20% off.</x:v>
      </x:c>
    </x:row>
    <x:row r="416">
      <x:c r="A416" s="86" t="n">
        <x:v>414</x:v>
      </x:c>
      <x:c r="B416" s="88" t="str">
        <x:v>Base</x:v>
      </x:c>
      <x:c r="C416" s="88" t="str">
        <x:v>24M Omega</x:v>
      </x:c>
      <x:c r="D416" s="88" t="n">
        <x:v>24</x:v>
      </x:c>
      <x:c r="E416" s="88" t="n">
        <x:v>2</x:v>
      </x:c>
      <x:c r="F416" s="88" t="str">
        <x:v>NES base MCT</x:v>
      </x:c>
      <x:c r="G416" s="88" t="str">
        <x:v>Market Skill Extractor</x:v>
      </x:c>
      <x:c r="H416" s="87" t="n">
        <x:f>'01 Base Costs'!$B$25</x:f>
        <x:v>6600</x:v>
      </x:c>
      <x:c r="I416" s="87" t="n">
        <x:f>'01 Base Costs'!$B$16</x:f>
        <x:v>485</x:v>
      </x:c>
      <x:c r="J416" s="87" t="n">
        <x:f>0</x:f>
        <x:v>0</x:v>
      </x:c>
      <x:c r="K416" s="87" t="n">
        <x:f>D416*(E416-1)*I416</x:f>
        <x:v>11640</x:v>
      </x:c>
      <x:c r="L416" s="87" t="n">
        <x:f>D416*(E416-1)*J416</x:f>
        <x:v>0</x:v>
      </x:c>
      <x:c r="M416" s="87" t="n">
        <x:f>0</x:f>
        <x:v>0</x:v>
      </x:c>
      <x:c r="N416" s="87" t="n">
        <x:f>H416+K416+M416</x:f>
        <x:v>18240</x:v>
      </x:c>
      <x:c r="O416" s="87" t="n">
        <x:f>N416*'01 Base Costs'!$B$7+L416</x:f>
        <x:v>87734400000</x:v>
      </x:c>
      <x:c r="P416" s="87" t="n">
        <x:f>D416*E416</x:f>
        <x:v>48</x:v>
      </x:c>
      <x:c r="Q416" s="87" t="n">
        <x:f>P416*'01 Base Costs'!$B$12</x:f>
        <x:v>93312000</x:v>
      </x:c>
      <x:c r="R416" s="87" t="n">
        <x:f>0</x:f>
        <x:v>0</x:v>
      </x:c>
      <x:c r="S416" s="87" t="n">
        <x:f>Q416+R416</x:f>
        <x:v>93312000</x:v>
      </x:c>
      <x:c r="T416" s="141" t="n">
        <x:f>S416/'01 Base Costs'!$B$14</x:f>
        <x:v>186.624</x:v>
      </x:c>
      <x:c r="U416" s="87" t="n">
        <x:f>INT(T416)</x:f>
        <x:v>186</x:v>
      </x:c>
      <x:c r="V416" s="87" t="n">
        <x:f>S416-U416*'01 Base Costs'!$B$14</x:f>
        <x:v>312000</x:v>
      </x:c>
      <x:c r="W416" s="120" t="n">
        <x:f>0</x:f>
        <x:v>0</x:v>
      </x:c>
      <x:c r="X416" s="120" t="n">
        <x:f>'01 Base Costs'!$B$9</x:f>
        <x:v>463500000</x:v>
      </x:c>
      <x:c r="Y416" s="87" t="n">
        <x:f>T416*(W416*'01 Base Costs'!$B$7+X416)</x:f>
        <x:v>86500224000</x:v>
      </x:c>
      <x:c r="Z416" s="87" t="n">
        <x:f>T416*'01 Base Costs'!$B$8</x:f>
        <x:v>140509209600</x:v>
      </x:c>
      <x:c r="AA416" s="87" t="n">
        <x:f>Z416*'01 Base Costs'!$B$11</x:f>
        <x:v>7025460480</x:v>
      </x:c>
      <x:c r="AB416" s="87" t="n">
        <x:f>Z416-AA416</x:f>
        <x:v>133483749120</x:v>
      </x:c>
      <x:c r="AC416" s="87" t="n">
        <x:f>O416+Y416</x:f>
        <x:v>174234624000</x:v>
      </x:c>
      <x:c r="AD416" s="87" t="n">
        <x:f>AB416-AC416</x:f>
        <x:v>-40750874880</x:v>
      </x:c>
      <x:c r="AE416" s="87" t="n">
        <x:f>AD416/D416</x:f>
        <x:v>-1697953120</x:v>
      </x:c>
      <x:c r="AF416" s="87" t="n">
        <x:f>AD416/P416</x:f>
        <x:v>-848976560</x:v>
      </x:c>
      <x:c r="AG416" s="87" t="n">
        <x:f>IF(T416=0,0,AC416/T416/(1-'01 Base Costs'!$B$11))</x:f>
        <x:v>982750703.9202946</x:v>
      </x:c>
      <x:c r="AH416" s="88" t="str">
        <x:f>IF(AD416&gt;0,"PROFIT","LOSS")</x:f>
        <x:v>LOSS</x:v>
      </x:c>
      <x:c r="AI416" s="89" t="str">
        <x:v>Base 24M Omega. MCT purchased with PLEX in NES. Extractor bought on market with ISK.</x:v>
      </x:c>
    </x:row>
    <x:row r="417">
      <x:c r="A417" s="86" t="n">
        <x:v>415</x:v>
      </x:c>
      <x:c r="B417" s="88" t="str">
        <x:v>Base</x:v>
      </x:c>
      <x:c r="C417" s="88" t="str">
        <x:v>24M Omega</x:v>
      </x:c>
      <x:c r="D417" s="88" t="n">
        <x:v>24</x:v>
      </x:c>
      <x:c r="E417" s="88" t="n">
        <x:v>2</x:v>
      </x:c>
      <x:c r="F417" s="88" t="str">
        <x:v>NES MCT 20% sale</x:v>
      </x:c>
      <x:c r="G417" s="88" t="str">
        <x:v>NES single extractor</x:v>
      </x:c>
      <x:c r="H417" s="87" t="n">
        <x:f>'01 Base Costs'!$B$25</x:f>
        <x:v>6600</x:v>
      </x:c>
      <x:c r="I417" s="87" t="n">
        <x:f>'01 Base Costs'!$B$16*0.8</x:f>
        <x:v>388</x:v>
      </x:c>
      <x:c r="J417" s="87" t="n">
        <x:f>0</x:f>
        <x:v>0</x:v>
      </x:c>
      <x:c r="K417" s="87" t="n">
        <x:f>D417*(E417-1)*I417</x:f>
        <x:v>9312</x:v>
      </x:c>
      <x:c r="L417" s="87" t="n">
        <x:f>D417*(E417-1)*J417</x:f>
        <x:v>0</x:v>
      </x:c>
      <x:c r="M417" s="87" t="n">
        <x:f>0</x:f>
        <x:v>0</x:v>
      </x:c>
      <x:c r="N417" s="87" t="n">
        <x:f>H417+K417+M417</x:f>
        <x:v>15912</x:v>
      </x:c>
      <x:c r="O417" s="87" t="n">
        <x:f>N417*'01 Base Costs'!$B$7+L417</x:f>
        <x:v>76536720000</x:v>
      </x:c>
      <x:c r="P417" s="87" t="n">
        <x:f>D417*E417</x:f>
        <x:v>48</x:v>
      </x:c>
      <x:c r="Q417" s="87" t="n">
        <x:f>P417*'01 Base Costs'!$B$12</x:f>
        <x:v>93312000</x:v>
      </x:c>
      <x:c r="R417" s="87" t="n">
        <x:f>0</x:f>
        <x:v>0</x:v>
      </x:c>
      <x:c r="S417" s="87" t="n">
        <x:f>Q417+R417</x:f>
        <x:v>93312000</x:v>
      </x:c>
      <x:c r="T417" s="141" t="n">
        <x:f>S417/'01 Base Costs'!$B$14</x:f>
        <x:v>186.624</x:v>
      </x:c>
      <x:c r="U417" s="87" t="n">
        <x:f>INT(T417)</x:f>
        <x:v>186</x:v>
      </x:c>
      <x:c r="V417" s="87" t="n">
        <x:f>S417-U417*'01 Base Costs'!$B$14</x:f>
        <x:v>312000</x:v>
      </x:c>
      <x:c r="W417" s="120" t="n">
        <x:f>'01 Base Costs'!$B$17</x:f>
        <x:v>140</x:v>
      </x:c>
      <x:c r="X417" s="120" t="n">
        <x:f>0</x:f>
        <x:v>0</x:v>
      </x:c>
      <x:c r="Y417" s="87" t="n">
        <x:f>T417*(W417*'01 Base Costs'!$B$7+X417)</x:f>
        <x:v>125672601600</x:v>
      </x:c>
      <x:c r="Z417" s="87" t="n">
        <x:f>T417*'01 Base Costs'!$B$8</x:f>
        <x:v>140509209600</x:v>
      </x:c>
      <x:c r="AA417" s="87" t="n">
        <x:f>Z417*'01 Base Costs'!$B$11</x:f>
        <x:v>7025460480</x:v>
      </x:c>
      <x:c r="AB417" s="87" t="n">
        <x:f>Z417-AA417</x:f>
        <x:v>133483749120</x:v>
      </x:c>
      <x:c r="AC417" s="87" t="n">
        <x:f>O417+Y417</x:f>
        <x:v>202209321600</x:v>
      </x:c>
      <x:c r="AD417" s="87" t="n">
        <x:f>AB417-AC417</x:f>
        <x:v>-68725572480</x:v>
      </x:c>
      <x:c r="AE417" s="87" t="n">
        <x:f>AD417/D417</x:f>
        <x:v>-2863565520</x:v>
      </x:c>
      <x:c r="AF417" s="87" t="n">
        <x:f>AD417/P417</x:f>
        <x:v>-1431782760</x:v>
      </x:c>
      <x:c r="AG417" s="87" t="n">
        <x:f>IF(T417=0,0,AC417/T417/(1-'01 Base Costs'!$B$11))</x:f>
        <x:v>1140538823.911631</x:v>
      </x:c>
      <x:c r="AH417" s="88" t="str">
        <x:f>IF(AD417&gt;0,"PROFIT","LOSS")</x:f>
        <x:v>LOSS</x:v>
      </x:c>
      <x:c r="AI417" s="89" t="str">
        <x:v>Base 24M Omega. MCT sale 20% off. Base single extractor.</x:v>
      </x:c>
    </x:row>
    <x:row r="418">
      <x:c r="A418" s="86" t="n">
        <x:v>416</x:v>
      </x:c>
      <x:c r="B418" s="88" t="str">
        <x:v>Base</x:v>
      </x:c>
      <x:c r="C418" s="88" t="str">
        <x:v>24M Omega</x:v>
      </x:c>
      <x:c r="D418" s="88" t="n">
        <x:v>24</x:v>
      </x:c>
      <x:c r="E418" s="88" t="n">
        <x:v>2</x:v>
      </x:c>
      <x:c r="F418" s="88" t="str">
        <x:v>NES MCT 20% sale</x:v>
      </x:c>
      <x:c r="G418" s="88" t="str">
        <x:v>NES 5-pack extractor</x:v>
      </x:c>
      <x:c r="H418" s="87" t="n">
        <x:f>'01 Base Costs'!$B$25</x:f>
        <x:v>6600</x:v>
      </x:c>
      <x:c r="I418" s="87" t="n">
        <x:f>'01 Base Costs'!$B$16*0.8</x:f>
        <x:v>388</x:v>
      </x:c>
      <x:c r="J418" s="87" t="n">
        <x:f>0</x:f>
        <x:v>0</x:v>
      </x:c>
      <x:c r="K418" s="87" t="n">
        <x:f>D418*(E418-1)*I418</x:f>
        <x:v>9312</x:v>
      </x:c>
      <x:c r="L418" s="87" t="n">
        <x:f>D418*(E418-1)*J418</x:f>
        <x:v>0</x:v>
      </x:c>
      <x:c r="M418" s="87" t="n">
        <x:f>0</x:f>
        <x:v>0</x:v>
      </x:c>
      <x:c r="N418" s="87" t="n">
        <x:f>H418+K418+M418</x:f>
        <x:v>15912</x:v>
      </x:c>
      <x:c r="O418" s="87" t="n">
        <x:f>N418*'01 Base Costs'!$B$7+L418</x:f>
        <x:v>76536720000</x:v>
      </x:c>
      <x:c r="P418" s="87" t="n">
        <x:f>D418*E418</x:f>
        <x:v>48</x:v>
      </x:c>
      <x:c r="Q418" s="87" t="n">
        <x:f>P418*'01 Base Costs'!$B$12</x:f>
        <x:v>93312000</x:v>
      </x:c>
      <x:c r="R418" s="87" t="n">
        <x:f>0</x:f>
        <x:v>0</x:v>
      </x:c>
      <x:c r="S418" s="87" t="n">
        <x:f>Q418+R418</x:f>
        <x:v>93312000</x:v>
      </x:c>
      <x:c r="T418" s="141" t="n">
        <x:f>S418/'01 Base Costs'!$B$14</x:f>
        <x:v>186.624</x:v>
      </x:c>
      <x:c r="U418" s="87" t="n">
        <x:f>INT(T418)</x:f>
        <x:v>186</x:v>
      </x:c>
      <x:c r="V418" s="87" t="n">
        <x:f>S418-U418*'01 Base Costs'!$B$14</x:f>
        <x:v>312000</x:v>
      </x:c>
      <x:c r="W418" s="120" t="n">
        <x:f>'01 Base Costs'!$B$18/5</x:f>
        <x:v>126</x:v>
      </x:c>
      <x:c r="X418" s="120" t="n">
        <x:f>0</x:f>
        <x:v>0</x:v>
      </x:c>
      <x:c r="Y418" s="87" t="n">
        <x:f>T418*(W418*'01 Base Costs'!$B$7+X418)</x:f>
        <x:v>113105341440</x:v>
      </x:c>
      <x:c r="Z418" s="87" t="n">
        <x:f>T418*'01 Base Costs'!$B$8</x:f>
        <x:v>140509209600</x:v>
      </x:c>
      <x:c r="AA418" s="87" t="n">
        <x:f>Z418*'01 Base Costs'!$B$11</x:f>
        <x:v>7025460480</x:v>
      </x:c>
      <x:c r="AB418" s="87" t="n">
        <x:f>Z418-AA418</x:f>
        <x:v>133483749120</x:v>
      </x:c>
      <x:c r="AC418" s="87" t="n">
        <x:f>O418+Y418</x:f>
        <x:v>189642061440</x:v>
      </x:c>
      <x:c r="AD418" s="87" t="n">
        <x:f>AB418-AC418</x:f>
        <x:v>-56158312320</x:v>
      </x:c>
      <x:c r="AE418" s="87" t="n">
        <x:f>AD418/D418</x:f>
        <x:v>-2339929680</x:v>
      </x:c>
      <x:c r="AF418" s="87" t="n">
        <x:f>AD418/P418</x:f>
        <x:v>-1169964840</x:v>
      </x:c>
      <x:c r="AG418" s="87" t="n">
        <x:f>IF(T418=0,0,AC418/T418/(1-'01 Base Costs'!$B$11))</x:f>
        <x:v>1069654613.3853153</x:v>
      </x:c>
      <x:c r="AH418" s="88" t="str">
        <x:f>IF(AD418&gt;0,"PROFIT","LOSS")</x:f>
        <x:v>LOSS</x:v>
      </x:c>
      <x:c r="AI418" s="89" t="str">
        <x:v>Base 24M Omega. MCT sale 20% off. Base 5-pack average.</x:v>
      </x:c>
    </x:row>
    <x:row r="419">
      <x:c r="A419" s="86" t="n">
        <x:v>417</x:v>
      </x:c>
      <x:c r="B419" s="88" t="str">
        <x:v>Base</x:v>
      </x:c>
      <x:c r="C419" s="88" t="str">
        <x:v>24M Omega</x:v>
      </x:c>
      <x:c r="D419" s="88" t="n">
        <x:v>24</x:v>
      </x:c>
      <x:c r="E419" s="88" t="n">
        <x:v>2</x:v>
      </x:c>
      <x:c r="F419" s="88" t="str">
        <x:v>NES MCT 20% sale</x:v>
      </x:c>
      <x:c r="G419" s="88" t="str">
        <x:v>NES 10-pack extractor</x:v>
      </x:c>
      <x:c r="H419" s="87" t="n">
        <x:f>'01 Base Costs'!$B$25</x:f>
        <x:v>6600</x:v>
      </x:c>
      <x:c r="I419" s="87" t="n">
        <x:f>'01 Base Costs'!$B$16*0.8</x:f>
        <x:v>388</x:v>
      </x:c>
      <x:c r="J419" s="87" t="n">
        <x:f>0</x:f>
        <x:v>0</x:v>
      </x:c>
      <x:c r="K419" s="87" t="n">
        <x:f>D419*(E419-1)*I419</x:f>
        <x:v>9312</x:v>
      </x:c>
      <x:c r="L419" s="87" t="n">
        <x:f>D419*(E419-1)*J419</x:f>
        <x:v>0</x:v>
      </x:c>
      <x:c r="M419" s="87" t="n">
        <x:f>0</x:f>
        <x:v>0</x:v>
      </x:c>
      <x:c r="N419" s="87" t="n">
        <x:f>H419+K419+M419</x:f>
        <x:v>15912</x:v>
      </x:c>
      <x:c r="O419" s="87" t="n">
        <x:f>N419*'01 Base Costs'!$B$7+L419</x:f>
        <x:v>76536720000</x:v>
      </x:c>
      <x:c r="P419" s="87" t="n">
        <x:f>D419*E419</x:f>
        <x:v>48</x:v>
      </x:c>
      <x:c r="Q419" s="87" t="n">
        <x:f>P419*'01 Base Costs'!$B$12</x:f>
        <x:v>93312000</x:v>
      </x:c>
      <x:c r="R419" s="87" t="n">
        <x:f>0</x:f>
        <x:v>0</x:v>
      </x:c>
      <x:c r="S419" s="87" t="n">
        <x:f>Q419+R419</x:f>
        <x:v>93312000</x:v>
      </x:c>
      <x:c r="T419" s="141" t="n">
        <x:f>S419/'01 Base Costs'!$B$14</x:f>
        <x:v>186.624</x:v>
      </x:c>
      <x:c r="U419" s="87" t="n">
        <x:f>INT(T419)</x:f>
        <x:v>186</x:v>
      </x:c>
      <x:c r="V419" s="87" t="n">
        <x:f>S419-U419*'01 Base Costs'!$B$14</x:f>
        <x:v>312000</x:v>
      </x:c>
      <x:c r="W419" s="120" t="n">
        <x:f>'01 Base Costs'!$B$19/10</x:f>
        <x:v>119</x:v>
      </x:c>
      <x:c r="X419" s="120" t="n">
        <x:f>0</x:f>
        <x:v>0</x:v>
      </x:c>
      <x:c r="Y419" s="87" t="n">
        <x:f>T419*(W419*'01 Base Costs'!$B$7+X419)</x:f>
        <x:v>106821711360</x:v>
      </x:c>
      <x:c r="Z419" s="87" t="n">
        <x:f>T419*'01 Base Costs'!$B$8</x:f>
        <x:v>140509209600</x:v>
      </x:c>
      <x:c r="AA419" s="87" t="n">
        <x:f>Z419*'01 Base Costs'!$B$11</x:f>
        <x:v>7025460480</x:v>
      </x:c>
      <x:c r="AB419" s="87" t="n">
        <x:f>Z419-AA419</x:f>
        <x:v>133483749120</x:v>
      </x:c>
      <x:c r="AC419" s="87" t="n">
        <x:f>O419+Y419</x:f>
        <x:v>183358431360</x:v>
      </x:c>
      <x:c r="AD419" s="87" t="n">
        <x:f>AB419-AC419</x:f>
        <x:v>-49874682240</x:v>
      </x:c>
      <x:c r="AE419" s="87" t="n">
        <x:f>AD419/D419</x:f>
        <x:v>-2078111760</x:v>
      </x:c>
      <x:c r="AF419" s="87" t="n">
        <x:f>AD419/P419</x:f>
        <x:v>-1039055880</x:v>
      </x:c>
      <x:c r="AG419" s="87" t="n">
        <x:f>IF(T419=0,0,AC419/T419/(1-'01 Base Costs'!$B$11))</x:f>
        <x:v>1034212508.1221573</x:v>
      </x:c>
      <x:c r="AH419" s="88" t="str">
        <x:f>IF(AD419&gt;0,"PROFIT","LOSS")</x:f>
        <x:v>LOSS</x:v>
      </x:c>
      <x:c r="AI419" s="89" t="str">
        <x:v>Base 24M Omega. MCT sale 20% off. Base 10-pack average.</x:v>
      </x:c>
    </x:row>
    <x:row r="420">
      <x:c r="A420" s="86" t="n">
        <x:v>418</x:v>
      </x:c>
      <x:c r="B420" s="88" t="str">
        <x:v>Base</x:v>
      </x:c>
      <x:c r="C420" s="88" t="str">
        <x:v>24M Omega</x:v>
      </x:c>
      <x:c r="D420" s="88" t="n">
        <x:v>24</x:v>
      </x:c>
      <x:c r="E420" s="88" t="n">
        <x:v>2</x:v>
      </x:c>
      <x:c r="F420" s="88" t="str">
        <x:v>NES MCT 20% sale</x:v>
      </x:c>
      <x:c r="G420" s="88" t="str">
        <x:v>NES 50-pack extractor</x:v>
      </x:c>
      <x:c r="H420" s="87" t="n">
        <x:f>'01 Base Costs'!$B$25</x:f>
        <x:v>6600</x:v>
      </x:c>
      <x:c r="I420" s="87" t="n">
        <x:f>'01 Base Costs'!$B$16*0.8</x:f>
        <x:v>388</x:v>
      </x:c>
      <x:c r="J420" s="87" t="n">
        <x:f>0</x:f>
        <x:v>0</x:v>
      </x:c>
      <x:c r="K420" s="87" t="n">
        <x:f>D420*(E420-1)*I420</x:f>
        <x:v>9312</x:v>
      </x:c>
      <x:c r="L420" s="87" t="n">
        <x:f>D420*(E420-1)*J420</x:f>
        <x:v>0</x:v>
      </x:c>
      <x:c r="M420" s="87" t="n">
        <x:f>0</x:f>
        <x:v>0</x:v>
      </x:c>
      <x:c r="N420" s="87" t="n">
        <x:f>H420+K420+M420</x:f>
        <x:v>15912</x:v>
      </x:c>
      <x:c r="O420" s="87" t="n">
        <x:f>N420*'01 Base Costs'!$B$7+L420</x:f>
        <x:v>76536720000</x:v>
      </x:c>
      <x:c r="P420" s="87" t="n">
        <x:f>D420*E420</x:f>
        <x:v>48</x:v>
      </x:c>
      <x:c r="Q420" s="87" t="n">
        <x:f>P420*'01 Base Costs'!$B$12</x:f>
        <x:v>93312000</x:v>
      </x:c>
      <x:c r="R420" s="87" t="n">
        <x:f>0</x:f>
        <x:v>0</x:v>
      </x:c>
      <x:c r="S420" s="87" t="n">
        <x:f>Q420+R420</x:f>
        <x:v>93312000</x:v>
      </x:c>
      <x:c r="T420" s="141" t="n">
        <x:f>S420/'01 Base Costs'!$B$14</x:f>
        <x:v>186.624</x:v>
      </x:c>
      <x:c r="U420" s="87" t="n">
        <x:f>INT(T420)</x:f>
        <x:v>186</x:v>
      </x:c>
      <x:c r="V420" s="87" t="n">
        <x:f>S420-U420*'01 Base Costs'!$B$14</x:f>
        <x:v>312000</x:v>
      </x:c>
      <x:c r="W420" s="120" t="n">
        <x:f>'01 Base Costs'!$B$20/50</x:f>
        <x:v>112</x:v>
      </x:c>
      <x:c r="X420" s="120" t="n">
        <x:f>0</x:f>
        <x:v>0</x:v>
      </x:c>
      <x:c r="Y420" s="87" t="n">
        <x:f>T420*(W420*'01 Base Costs'!$B$7+X420)</x:f>
        <x:v>100538081280</x:v>
      </x:c>
      <x:c r="Z420" s="87" t="n">
        <x:f>T420*'01 Base Costs'!$B$8</x:f>
        <x:v>140509209600</x:v>
      </x:c>
      <x:c r="AA420" s="87" t="n">
        <x:f>Z420*'01 Base Costs'!$B$11</x:f>
        <x:v>7025460480</x:v>
      </x:c>
      <x:c r="AB420" s="87" t="n">
        <x:f>Z420-AA420</x:f>
        <x:v>133483749120</x:v>
      </x:c>
      <x:c r="AC420" s="87" t="n">
        <x:f>O420+Y420</x:f>
        <x:v>177074801280</x:v>
      </x:c>
      <x:c r="AD420" s="87" t="n">
        <x:f>AB420-AC420</x:f>
        <x:v>-43591052160</x:v>
      </x:c>
      <x:c r="AE420" s="87" t="n">
        <x:f>AD420/D420</x:f>
        <x:v>-1816293840</x:v>
      </x:c>
      <x:c r="AF420" s="87" t="n">
        <x:f>AD420/P420</x:f>
        <x:v>-908146920</x:v>
      </x:c>
      <x:c r="AG420" s="87" t="n">
        <x:f>IF(T420=0,0,AC420/T420/(1-'01 Base Costs'!$B$11))</x:f>
        <x:v>998770402.8589995</x:v>
      </x:c>
      <x:c r="AH420" s="88" t="str">
        <x:f>IF(AD420&gt;0,"PROFIT","LOSS")</x:f>
        <x:v>LOSS</x:v>
      </x:c>
      <x:c r="AI420" s="89" t="str">
        <x:v>Base 24M Omega. MCT sale 20% off. Base 50-pack average.</x:v>
      </x:c>
    </x:row>
    <x:row r="421">
      <x:c r="A421" s="86" t="n">
        <x:v>419</x:v>
      </x:c>
      <x:c r="B421" s="88" t="str">
        <x:v>Base</x:v>
      </x:c>
      <x:c r="C421" s="88" t="str">
        <x:v>24M Omega</x:v>
      </x:c>
      <x:c r="D421" s="88" t="n">
        <x:v>24</x:v>
      </x:c>
      <x:c r="E421" s="88" t="n">
        <x:v>2</x:v>
      </x:c>
      <x:c r="F421" s="88" t="str">
        <x:v>NES MCT 20% sale</x:v>
      </x:c>
      <x:c r="G421" s="88" t="str">
        <x:v>NES 3-for-2 extractor sale</x:v>
      </x:c>
      <x:c r="H421" s="87" t="n">
        <x:f>'01 Base Costs'!$B$25</x:f>
        <x:v>6600</x:v>
      </x:c>
      <x:c r="I421" s="87" t="n">
        <x:f>'01 Base Costs'!$B$16*0.8</x:f>
        <x:v>388</x:v>
      </x:c>
      <x:c r="J421" s="87" t="n">
        <x:f>0</x:f>
        <x:v>0</x:v>
      </x:c>
      <x:c r="K421" s="87" t="n">
        <x:f>D421*(E421-1)*I421</x:f>
        <x:v>9312</x:v>
      </x:c>
      <x:c r="L421" s="87" t="n">
        <x:f>D421*(E421-1)*J421</x:f>
        <x:v>0</x:v>
      </x:c>
      <x:c r="M421" s="87" t="n">
        <x:f>0</x:f>
        <x:v>0</x:v>
      </x:c>
      <x:c r="N421" s="87" t="n">
        <x:f>H421+K421+M421</x:f>
        <x:v>15912</x:v>
      </x:c>
      <x:c r="O421" s="87" t="n">
        <x:f>N421*'01 Base Costs'!$B$7+L421</x:f>
        <x:v>76536720000</x:v>
      </x:c>
      <x:c r="P421" s="87" t="n">
        <x:f>D421*E421</x:f>
        <x:v>48</x:v>
      </x:c>
      <x:c r="Q421" s="87" t="n">
        <x:f>P421*'01 Base Costs'!$B$12</x:f>
        <x:v>93312000</x:v>
      </x:c>
      <x:c r="R421" s="87" t="n">
        <x:f>0</x:f>
        <x:v>0</x:v>
      </x:c>
      <x:c r="S421" s="87" t="n">
        <x:f>Q421+R421</x:f>
        <x:v>93312000</x:v>
      </x:c>
      <x:c r="T421" s="141" t="n">
        <x:f>S421/'01 Base Costs'!$B$14</x:f>
        <x:v>186.624</x:v>
      </x:c>
      <x:c r="U421" s="87" t="n">
        <x:f>INT(T421)</x:f>
        <x:v>186</x:v>
      </x:c>
      <x:c r="V421" s="87" t="n">
        <x:f>S421-U421*'01 Base Costs'!$B$14</x:f>
        <x:v>312000</x:v>
      </x:c>
      <x:c r="W421" s="120" t="n">
        <x:f>'01 Base Costs'!$B$17*2/3</x:f>
        <x:v>93.33333333333333</x:v>
      </x:c>
      <x:c r="X421" s="120" t="n">
        <x:f>0</x:f>
        <x:v>0</x:v>
      </x:c>
      <x:c r="Y421" s="87" t="n">
        <x:f>T421*(W421*'01 Base Costs'!$B$7+X421)</x:f>
        <x:v>83781734400</x:v>
      </x:c>
      <x:c r="Z421" s="87" t="n">
        <x:f>T421*'01 Base Costs'!$B$8</x:f>
        <x:v>140509209600</x:v>
      </x:c>
      <x:c r="AA421" s="87" t="n">
        <x:f>Z421*'01 Base Costs'!$B$11</x:f>
        <x:v>7025460480</x:v>
      </x:c>
      <x:c r="AB421" s="87" t="n">
        <x:f>Z421-AA421</x:f>
        <x:v>133483749120</x:v>
      </x:c>
      <x:c r="AC421" s="87" t="n">
        <x:f>O421+Y421</x:f>
        <x:v>160318454400</x:v>
      </x:c>
      <x:c r="AD421" s="87" t="n">
        <x:f>AB421-AC421</x:f>
        <x:v>-26834705280</x:v>
      </x:c>
      <x:c r="AE421" s="87" t="n">
        <x:f>AD421/D421</x:f>
        <x:v>-1118112720</x:v>
      </x:c>
      <x:c r="AF421" s="87" t="n">
        <x:f>AD421/P421</x:f>
        <x:v>-559056360</x:v>
      </x:c>
      <x:c r="AG421" s="87" t="n">
        <x:f>IF(T421=0,0,AC421/T421/(1-'01 Base Costs'!$B$11))</x:f>
        <x:v>904258122.1572449</x:v>
      </x:c>
      <x:c r="AH421" s="88" t="str">
        <x:f>IF(AD421&gt;0,"PROFIT","LOSS")</x:f>
        <x:v>LOSS</x:v>
      </x:c>
      <x:c r="AI421" s="89" t="str">
        <x:v>Base 24M Omega. MCT sale 20% off. Extractor 3-for-2 sale.</x:v>
      </x:c>
    </x:row>
    <x:row r="422">
      <x:c r="A422" s="86" t="n">
        <x:v>420</x:v>
      </x:c>
      <x:c r="B422" s="88" t="str">
        <x:v>Base</x:v>
      </x:c>
      <x:c r="C422" s="88" t="str">
        <x:v>24M Omega</x:v>
      </x:c>
      <x:c r="D422" s="88" t="n">
        <x:v>24</x:v>
      </x:c>
      <x:c r="E422" s="88" t="n">
        <x:v>2</x:v>
      </x:c>
      <x:c r="F422" s="88" t="str">
        <x:v>NES MCT 20% sale</x:v>
      </x:c>
      <x:c r="G422" s="88" t="str">
        <x:v>NES 2-for-1 extractor sale</x:v>
      </x:c>
      <x:c r="H422" s="87" t="n">
        <x:f>'01 Base Costs'!$B$25</x:f>
        <x:v>6600</x:v>
      </x:c>
      <x:c r="I422" s="87" t="n">
        <x:f>'01 Base Costs'!$B$16*0.8</x:f>
        <x:v>388</x:v>
      </x:c>
      <x:c r="J422" s="87" t="n">
        <x:f>0</x:f>
        <x:v>0</x:v>
      </x:c>
      <x:c r="K422" s="87" t="n">
        <x:f>D422*(E422-1)*I422</x:f>
        <x:v>9312</x:v>
      </x:c>
      <x:c r="L422" s="87" t="n">
        <x:f>D422*(E422-1)*J422</x:f>
        <x:v>0</x:v>
      </x:c>
      <x:c r="M422" s="87" t="n">
        <x:f>0</x:f>
        <x:v>0</x:v>
      </x:c>
      <x:c r="N422" s="87" t="n">
        <x:f>H422+K422+M422</x:f>
        <x:v>15912</x:v>
      </x:c>
      <x:c r="O422" s="87" t="n">
        <x:f>N422*'01 Base Costs'!$B$7+L422</x:f>
        <x:v>76536720000</x:v>
      </x:c>
      <x:c r="P422" s="87" t="n">
        <x:f>D422*E422</x:f>
        <x:v>48</x:v>
      </x:c>
      <x:c r="Q422" s="87" t="n">
        <x:f>P422*'01 Base Costs'!$B$12</x:f>
        <x:v>93312000</x:v>
      </x:c>
      <x:c r="R422" s="87" t="n">
        <x:f>0</x:f>
        <x:v>0</x:v>
      </x:c>
      <x:c r="S422" s="87" t="n">
        <x:f>Q422+R422</x:f>
        <x:v>93312000</x:v>
      </x:c>
      <x:c r="T422" s="141" t="n">
        <x:f>S422/'01 Base Costs'!$B$14</x:f>
        <x:v>186.624</x:v>
      </x:c>
      <x:c r="U422" s="87" t="n">
        <x:f>INT(T422)</x:f>
        <x:v>186</x:v>
      </x:c>
      <x:c r="V422" s="87" t="n">
        <x:f>S422-U422*'01 Base Costs'!$B$14</x:f>
        <x:v>312000</x:v>
      </x:c>
      <x:c r="W422" s="120" t="n">
        <x:f>'01 Base Costs'!$B$17/2</x:f>
        <x:v>70</x:v>
      </x:c>
      <x:c r="X422" s="120" t="n">
        <x:f>0</x:f>
        <x:v>0</x:v>
      </x:c>
      <x:c r="Y422" s="87" t="n">
        <x:f>T422*(W422*'01 Base Costs'!$B$7+X422)</x:f>
        <x:v>62836300800</x:v>
      </x:c>
      <x:c r="Z422" s="87" t="n">
        <x:f>T422*'01 Base Costs'!$B$8</x:f>
        <x:v>140509209600</x:v>
      </x:c>
      <x:c r="AA422" s="87" t="n">
        <x:f>Z422*'01 Base Costs'!$B$11</x:f>
        <x:v>7025460480</x:v>
      </x:c>
      <x:c r="AB422" s="87" t="n">
        <x:f>Z422-AA422</x:f>
        <x:v>133483749120</x:v>
      </x:c>
      <x:c r="AC422" s="87" t="n">
        <x:f>O422+Y422</x:f>
        <x:v>139373020800</x:v>
      </x:c>
      <x:c r="AD422" s="87" t="n">
        <x:f>AB422-AC422</x:f>
        <x:v>-5889271680</x:v>
      </x:c>
      <x:c r="AE422" s="87" t="n">
        <x:f>AD422/D422</x:f>
        <x:v>-245386320</x:v>
      </x:c>
      <x:c r="AF422" s="87" t="n">
        <x:f>AD422/P422</x:f>
        <x:v>-122693160</x:v>
      </x:c>
      <x:c r="AG422" s="87" t="n">
        <x:f>IF(T422=0,0,AC422/T422/(1-'01 Base Costs'!$B$11))</x:f>
        <x:v>786117771.2800521</x:v>
      </x:c>
      <x:c r="AH422" s="88" t="str">
        <x:f>IF(AD422&gt;0,"PROFIT","LOSS")</x:f>
        <x:v>LOSS</x:v>
      </x:c>
      <x:c r="AI422" s="89" t="str">
        <x:v>Base 24M Omega. MCT sale 20% off. Extractor 2-for-1 sale.</x:v>
      </x:c>
    </x:row>
    <x:row r="423">
      <x:c r="A423" s="86" t="n">
        <x:v>421</x:v>
      </x:c>
      <x:c r="B423" s="88" t="str">
        <x:v>Base</x:v>
      </x:c>
      <x:c r="C423" s="88" t="str">
        <x:v>24M Omega</x:v>
      </x:c>
      <x:c r="D423" s="88" t="n">
        <x:v>24</x:v>
      </x:c>
      <x:c r="E423" s="88" t="n">
        <x:v>2</x:v>
      </x:c>
      <x:c r="F423" s="88" t="str">
        <x:v>NES MCT 20% sale</x:v>
      </x:c>
      <x:c r="G423" s="88" t="str">
        <x:v>NES 10-pack extractor 20% sale</x:v>
      </x:c>
      <x:c r="H423" s="87" t="n">
        <x:f>'01 Base Costs'!$B$25</x:f>
        <x:v>6600</x:v>
      </x:c>
      <x:c r="I423" s="87" t="n">
        <x:f>'01 Base Costs'!$B$16*0.8</x:f>
        <x:v>388</x:v>
      </x:c>
      <x:c r="J423" s="87" t="n">
        <x:f>0</x:f>
        <x:v>0</x:v>
      </x:c>
      <x:c r="K423" s="87" t="n">
        <x:f>D423*(E423-1)*I423</x:f>
        <x:v>9312</x:v>
      </x:c>
      <x:c r="L423" s="87" t="n">
        <x:f>D423*(E423-1)*J423</x:f>
        <x:v>0</x:v>
      </x:c>
      <x:c r="M423" s="87" t="n">
        <x:f>0</x:f>
        <x:v>0</x:v>
      </x:c>
      <x:c r="N423" s="87" t="n">
        <x:f>H423+K423+M423</x:f>
        <x:v>15912</x:v>
      </x:c>
      <x:c r="O423" s="87" t="n">
        <x:f>N423*'01 Base Costs'!$B$7+L423</x:f>
        <x:v>76536720000</x:v>
      </x:c>
      <x:c r="P423" s="87" t="n">
        <x:f>D423*E423</x:f>
        <x:v>48</x:v>
      </x:c>
      <x:c r="Q423" s="87" t="n">
        <x:f>P423*'01 Base Costs'!$B$12</x:f>
        <x:v>93312000</x:v>
      </x:c>
      <x:c r="R423" s="87" t="n">
        <x:f>0</x:f>
        <x:v>0</x:v>
      </x:c>
      <x:c r="S423" s="87" t="n">
        <x:f>Q423+R423</x:f>
        <x:v>93312000</x:v>
      </x:c>
      <x:c r="T423" s="141" t="n">
        <x:f>S423/'01 Base Costs'!$B$14</x:f>
        <x:v>186.624</x:v>
      </x:c>
      <x:c r="U423" s="87" t="n">
        <x:f>INT(T423)</x:f>
        <x:v>186</x:v>
      </x:c>
      <x:c r="V423" s="87" t="n">
        <x:f>S423-U423*'01 Base Costs'!$B$14</x:f>
        <x:v>312000</x:v>
      </x:c>
      <x:c r="W423" s="120" t="n">
        <x:f>'01 Base Costs'!$B$19*0.8/10</x:f>
        <x:v>95.2</x:v>
      </x:c>
      <x:c r="X423" s="120" t="n">
        <x:f>0</x:f>
        <x:v>0</x:v>
      </x:c>
      <x:c r="Y423" s="87" t="n">
        <x:f>T423*(W423*'01 Base Costs'!$B$7+X423)</x:f>
        <x:v>85457369088</x:v>
      </x:c>
      <x:c r="Z423" s="87" t="n">
        <x:f>T423*'01 Base Costs'!$B$8</x:f>
        <x:v>140509209600</x:v>
      </x:c>
      <x:c r="AA423" s="87" t="n">
        <x:f>Z423*'01 Base Costs'!$B$11</x:f>
        <x:v>7025460480</x:v>
      </x:c>
      <x:c r="AB423" s="87" t="n">
        <x:f>Z423-AA423</x:f>
        <x:v>133483749120</x:v>
      </x:c>
      <x:c r="AC423" s="87" t="n">
        <x:f>O423+Y423</x:f>
        <x:v>161994089088</x:v>
      </x:c>
      <x:c r="AD423" s="87" t="n">
        <x:f>AB423-AC423</x:f>
        <x:v>-28510339968</x:v>
      </x:c>
      <x:c r="AE423" s="87" t="n">
        <x:f>AD423/D423</x:f>
        <x:v>-1187930832</x:v>
      </x:c>
      <x:c r="AF423" s="87" t="n">
        <x:f>AD423/P423</x:f>
        <x:v>-593965416</x:v>
      </x:c>
      <x:c r="AG423" s="87" t="n">
        <x:f>IF(T423=0,0,AC423/T423/(1-'01 Base Costs'!$B$11))</x:f>
        <x:v>913709350.2274204</x:v>
      </x:c>
      <x:c r="AH423" s="88" t="str">
        <x:f>IF(AD423&gt;0,"PROFIT","LOSS")</x:f>
        <x:v>LOSS</x:v>
      </x:c>
      <x:c r="AI423" s="89" t="str">
        <x:v>Base 24M Omega. MCT sale 20% off. 10-pack at 20% off.</x:v>
      </x:c>
    </x:row>
    <x:row r="424">
      <x:c r="A424" s="86" t="n">
        <x:v>422</x:v>
      </x:c>
      <x:c r="B424" s="88" t="str">
        <x:v>Base</x:v>
      </x:c>
      <x:c r="C424" s="88" t="str">
        <x:v>24M Omega</x:v>
      </x:c>
      <x:c r="D424" s="88" t="n">
        <x:v>24</x:v>
      </x:c>
      <x:c r="E424" s="88" t="n">
        <x:v>2</x:v>
      </x:c>
      <x:c r="F424" s="88" t="str">
        <x:v>NES MCT 20% sale</x:v>
      </x:c>
      <x:c r="G424" s="88" t="str">
        <x:v>NES 50-pack extractor 20% sale</x:v>
      </x:c>
      <x:c r="H424" s="87" t="n">
        <x:f>'01 Base Costs'!$B$25</x:f>
        <x:v>6600</x:v>
      </x:c>
      <x:c r="I424" s="87" t="n">
        <x:f>'01 Base Costs'!$B$16*0.8</x:f>
        <x:v>388</x:v>
      </x:c>
      <x:c r="J424" s="87" t="n">
        <x:f>0</x:f>
        <x:v>0</x:v>
      </x:c>
      <x:c r="K424" s="87" t="n">
        <x:f>D424*(E424-1)*I424</x:f>
        <x:v>9312</x:v>
      </x:c>
      <x:c r="L424" s="87" t="n">
        <x:f>D424*(E424-1)*J424</x:f>
        <x:v>0</x:v>
      </x:c>
      <x:c r="M424" s="87" t="n">
        <x:f>0</x:f>
        <x:v>0</x:v>
      </x:c>
      <x:c r="N424" s="87" t="n">
        <x:f>H424+K424+M424</x:f>
        <x:v>15912</x:v>
      </x:c>
      <x:c r="O424" s="87" t="n">
        <x:f>N424*'01 Base Costs'!$B$7+L424</x:f>
        <x:v>76536720000</x:v>
      </x:c>
      <x:c r="P424" s="87" t="n">
        <x:f>D424*E424</x:f>
        <x:v>48</x:v>
      </x:c>
      <x:c r="Q424" s="87" t="n">
        <x:f>P424*'01 Base Costs'!$B$12</x:f>
        <x:v>93312000</x:v>
      </x:c>
      <x:c r="R424" s="87" t="n">
        <x:f>0</x:f>
        <x:v>0</x:v>
      </x:c>
      <x:c r="S424" s="87" t="n">
        <x:f>Q424+R424</x:f>
        <x:v>93312000</x:v>
      </x:c>
      <x:c r="T424" s="141" t="n">
        <x:f>S424/'01 Base Costs'!$B$14</x:f>
        <x:v>186.624</x:v>
      </x:c>
      <x:c r="U424" s="87" t="n">
        <x:f>INT(T424)</x:f>
        <x:v>186</x:v>
      </x:c>
      <x:c r="V424" s="87" t="n">
        <x:f>S424-U424*'01 Base Costs'!$B$14</x:f>
        <x:v>312000</x:v>
      </x:c>
      <x:c r="W424" s="120" t="n">
        <x:f>'01 Base Costs'!$B$20*0.8/50</x:f>
        <x:v>89.6</x:v>
      </x:c>
      <x:c r="X424" s="120" t="n">
        <x:f>0</x:f>
        <x:v>0</x:v>
      </x:c>
      <x:c r="Y424" s="87" t="n">
        <x:f>T424*(W424*'01 Base Costs'!$B$7+X424)</x:f>
        <x:v>80430465024</x:v>
      </x:c>
      <x:c r="Z424" s="87" t="n">
        <x:f>T424*'01 Base Costs'!$B$8</x:f>
        <x:v>140509209600</x:v>
      </x:c>
      <x:c r="AA424" s="87" t="n">
        <x:f>Z424*'01 Base Costs'!$B$11</x:f>
        <x:v>7025460480</x:v>
      </x:c>
      <x:c r="AB424" s="87" t="n">
        <x:f>Z424-AA424</x:f>
        <x:v>133483749120</x:v>
      </x:c>
      <x:c r="AC424" s="87" t="n">
        <x:f>O424+Y424</x:f>
        <x:v>156967185024</x:v>
      </x:c>
      <x:c r="AD424" s="87" t="n">
        <x:f>AB424-AC424</x:f>
        <x:v>-23483435904</x:v>
      </x:c>
      <x:c r="AE424" s="87" t="n">
        <x:f>AD424/D424</x:f>
        <x:v>-978476496</x:v>
      </x:c>
      <x:c r="AF424" s="87" t="n">
        <x:f>AD424/P424</x:f>
        <x:v>-489238248</x:v>
      </x:c>
      <x:c r="AG424" s="87" t="n">
        <x:f>IF(T424=0,0,AC424/T424/(1-'01 Base Costs'!$B$11))</x:f>
        <x:v>885355666.0168942</x:v>
      </x:c>
      <x:c r="AH424" s="88" t="str">
        <x:f>IF(AD424&gt;0,"PROFIT","LOSS")</x:f>
        <x:v>LOSS</x:v>
      </x:c>
      <x:c r="AI424" s="89" t="str">
        <x:v>Base 24M Omega. MCT sale 20% off. 50-pack at 20% off.</x:v>
      </x:c>
    </x:row>
    <x:row r="425">
      <x:c r="A425" s="86" t="n">
        <x:v>423</x:v>
      </x:c>
      <x:c r="B425" s="88" t="str">
        <x:v>Base</x:v>
      </x:c>
      <x:c r="C425" s="88" t="str">
        <x:v>24M Omega</x:v>
      </x:c>
      <x:c r="D425" s="88" t="n">
        <x:v>24</x:v>
      </x:c>
      <x:c r="E425" s="88" t="n">
        <x:v>2</x:v>
      </x:c>
      <x:c r="F425" s="88" t="str">
        <x:v>NES MCT 20% sale</x:v>
      </x:c>
      <x:c r="G425" s="88" t="str">
        <x:v>Market Skill Extractor</x:v>
      </x:c>
      <x:c r="H425" s="87" t="n">
        <x:f>'01 Base Costs'!$B$25</x:f>
        <x:v>6600</x:v>
      </x:c>
      <x:c r="I425" s="87" t="n">
        <x:f>'01 Base Costs'!$B$16*0.8</x:f>
        <x:v>388</x:v>
      </x:c>
      <x:c r="J425" s="87" t="n">
        <x:f>0</x:f>
        <x:v>0</x:v>
      </x:c>
      <x:c r="K425" s="87" t="n">
        <x:f>D425*(E425-1)*I425</x:f>
        <x:v>9312</x:v>
      </x:c>
      <x:c r="L425" s="87" t="n">
        <x:f>D425*(E425-1)*J425</x:f>
        <x:v>0</x:v>
      </x:c>
      <x:c r="M425" s="87" t="n">
        <x:f>0</x:f>
        <x:v>0</x:v>
      </x:c>
      <x:c r="N425" s="87" t="n">
        <x:f>H425+K425+M425</x:f>
        <x:v>15912</x:v>
      </x:c>
      <x:c r="O425" s="87" t="n">
        <x:f>N425*'01 Base Costs'!$B$7+L425</x:f>
        <x:v>76536720000</x:v>
      </x:c>
      <x:c r="P425" s="87" t="n">
        <x:f>D425*E425</x:f>
        <x:v>48</x:v>
      </x:c>
      <x:c r="Q425" s="87" t="n">
        <x:f>P425*'01 Base Costs'!$B$12</x:f>
        <x:v>93312000</x:v>
      </x:c>
      <x:c r="R425" s="87" t="n">
        <x:f>0</x:f>
        <x:v>0</x:v>
      </x:c>
      <x:c r="S425" s="87" t="n">
        <x:f>Q425+R425</x:f>
        <x:v>93312000</x:v>
      </x:c>
      <x:c r="T425" s="141" t="n">
        <x:f>S425/'01 Base Costs'!$B$14</x:f>
        <x:v>186.624</x:v>
      </x:c>
      <x:c r="U425" s="87" t="n">
        <x:f>INT(T425)</x:f>
        <x:v>186</x:v>
      </x:c>
      <x:c r="V425" s="87" t="n">
        <x:f>S425-U425*'01 Base Costs'!$B$14</x:f>
        <x:v>312000</x:v>
      </x:c>
      <x:c r="W425" s="120" t="n">
        <x:f>0</x:f>
        <x:v>0</x:v>
      </x:c>
      <x:c r="X425" s="120" t="n">
        <x:f>'01 Base Costs'!$B$9</x:f>
        <x:v>463500000</x:v>
      </x:c>
      <x:c r="Y425" s="87" t="n">
        <x:f>T425*(W425*'01 Base Costs'!$B$7+X425)</x:f>
        <x:v>86500224000</x:v>
      </x:c>
      <x:c r="Z425" s="87" t="n">
        <x:f>T425*'01 Base Costs'!$B$8</x:f>
        <x:v>140509209600</x:v>
      </x:c>
      <x:c r="AA425" s="87" t="n">
        <x:f>Z425*'01 Base Costs'!$B$11</x:f>
        <x:v>7025460480</x:v>
      </x:c>
      <x:c r="AB425" s="87" t="n">
        <x:f>Z425-AA425</x:f>
        <x:v>133483749120</x:v>
      </x:c>
      <x:c r="AC425" s="87" t="n">
        <x:f>O425+Y425</x:f>
        <x:v>163036944000</x:v>
      </x:c>
      <x:c r="AD425" s="87" t="n">
        <x:f>AB425-AC425</x:f>
        <x:v>-29553194880</x:v>
      </x:c>
      <x:c r="AE425" s="87" t="n">
        <x:f>AD425/D425</x:f>
        <x:v>-1231383120</x:v>
      </x:c>
      <x:c r="AF425" s="87" t="n">
        <x:f>AD425/P425</x:f>
        <x:v>-615691560</x:v>
      </x:c>
      <x:c r="AG425" s="87" t="n">
        <x:f>IF(T425=0,0,AC425/T425/(1-'01 Base Costs'!$B$11))</x:f>
        <x:v>919591455.4905784</x:v>
      </x:c>
      <x:c r="AH425" s="88" t="str">
        <x:f>IF(AD425&gt;0,"PROFIT","LOSS")</x:f>
        <x:v>LOSS</x:v>
      </x:c>
      <x:c r="AI425" s="89" t="str">
        <x:v>Base 24M Omega. MCT sale 20% off. Extractor bought on market with ISK.</x:v>
      </x:c>
    </x:row>
    <x:row r="426">
      <x:c r="A426" s="86" t="n">
        <x:v>424</x:v>
      </x:c>
      <x:c r="B426" s="88" t="str">
        <x:v>Base</x:v>
      </x:c>
      <x:c r="C426" s="88" t="str">
        <x:v>24M Omega</x:v>
      </x:c>
      <x:c r="D426" s="88" t="n">
        <x:v>24</x:v>
      </x:c>
      <x:c r="E426" s="88" t="n">
        <x:v>2</x:v>
      </x:c>
      <x:c r="F426" s="88" t="str">
        <x:v>NES MCT 30% sale</x:v>
      </x:c>
      <x:c r="G426" s="88" t="str">
        <x:v>NES single extractor</x:v>
      </x:c>
      <x:c r="H426" s="87" t="n">
        <x:f>'01 Base Costs'!$B$25</x:f>
        <x:v>6600</x:v>
      </x:c>
      <x:c r="I426" s="87" t="n">
        <x:f>'01 Base Costs'!$B$16*0.7</x:f>
        <x:v>339.5</x:v>
      </x:c>
      <x:c r="J426" s="87" t="n">
        <x:f>0</x:f>
        <x:v>0</x:v>
      </x:c>
      <x:c r="K426" s="87" t="n">
        <x:f>D426*(E426-1)*I426</x:f>
        <x:v>8148</x:v>
      </x:c>
      <x:c r="L426" s="87" t="n">
        <x:f>D426*(E426-1)*J426</x:f>
        <x:v>0</x:v>
      </x:c>
      <x:c r="M426" s="87" t="n">
        <x:f>0</x:f>
        <x:v>0</x:v>
      </x:c>
      <x:c r="N426" s="87" t="n">
        <x:f>H426+K426+M426</x:f>
        <x:v>14748</x:v>
      </x:c>
      <x:c r="O426" s="87" t="n">
        <x:f>N426*'01 Base Costs'!$B$7+L426</x:f>
        <x:v>70937880000</x:v>
      </x:c>
      <x:c r="P426" s="87" t="n">
        <x:f>D426*E426</x:f>
        <x:v>48</x:v>
      </x:c>
      <x:c r="Q426" s="87" t="n">
        <x:f>P426*'01 Base Costs'!$B$12</x:f>
        <x:v>93312000</x:v>
      </x:c>
      <x:c r="R426" s="87" t="n">
        <x:f>0</x:f>
        <x:v>0</x:v>
      </x:c>
      <x:c r="S426" s="87" t="n">
        <x:f>Q426+R426</x:f>
        <x:v>93312000</x:v>
      </x:c>
      <x:c r="T426" s="141" t="n">
        <x:f>S426/'01 Base Costs'!$B$14</x:f>
        <x:v>186.624</x:v>
      </x:c>
      <x:c r="U426" s="87" t="n">
        <x:f>INT(T426)</x:f>
        <x:v>186</x:v>
      </x:c>
      <x:c r="V426" s="87" t="n">
        <x:f>S426-U426*'01 Base Costs'!$B$14</x:f>
        <x:v>312000</x:v>
      </x:c>
      <x:c r="W426" s="120" t="n">
        <x:f>'01 Base Costs'!$B$17</x:f>
        <x:v>140</x:v>
      </x:c>
      <x:c r="X426" s="120" t="n">
        <x:f>0</x:f>
        <x:v>0</x:v>
      </x:c>
      <x:c r="Y426" s="87" t="n">
        <x:f>T426*(W426*'01 Base Costs'!$B$7+X426)</x:f>
        <x:v>125672601600</x:v>
      </x:c>
      <x:c r="Z426" s="87" t="n">
        <x:f>T426*'01 Base Costs'!$B$8</x:f>
        <x:v>140509209600</x:v>
      </x:c>
      <x:c r="AA426" s="87" t="n">
        <x:f>Z426*'01 Base Costs'!$B$11</x:f>
        <x:v>7025460480</x:v>
      </x:c>
      <x:c r="AB426" s="87" t="n">
        <x:f>Z426-AA426</x:f>
        <x:v>133483749120</x:v>
      </x:c>
      <x:c r="AC426" s="87" t="n">
        <x:f>O426+Y426</x:f>
        <x:v>196610481600</x:v>
      </x:c>
      <x:c r="AD426" s="87" t="n">
        <x:f>AB426-AC426</x:f>
        <x:v>-63126732480</x:v>
      </x:c>
      <x:c r="AE426" s="87" t="n">
        <x:f>AD426/D426</x:f>
        <x:v>-2630280520</x:v>
      </x:c>
      <x:c r="AF426" s="87" t="n">
        <x:f>AD426/P426</x:f>
        <x:v>-1315140260</x:v>
      </x:c>
      <x:c r="AG426" s="87" t="n">
        <x:f>IF(T426=0,0,AC426/T426/(1-'01 Base Costs'!$B$11))</x:f>
        <x:v>1108959199.6967728</x:v>
      </x:c>
      <x:c r="AH426" s="88" t="str">
        <x:f>IF(AD426&gt;0,"PROFIT","LOSS")</x:f>
        <x:v>LOSS</x:v>
      </x:c>
      <x:c r="AI426" s="89" t="str">
        <x:v>Base 24M Omega. MCT sale 30% off. Base single extractor.</x:v>
      </x:c>
    </x:row>
    <x:row r="427">
      <x:c r="A427" s="86" t="n">
        <x:v>425</x:v>
      </x:c>
      <x:c r="B427" s="88" t="str">
        <x:v>Base</x:v>
      </x:c>
      <x:c r="C427" s="88" t="str">
        <x:v>24M Omega</x:v>
      </x:c>
      <x:c r="D427" s="88" t="n">
        <x:v>24</x:v>
      </x:c>
      <x:c r="E427" s="88" t="n">
        <x:v>2</x:v>
      </x:c>
      <x:c r="F427" s="88" t="str">
        <x:v>NES MCT 30% sale</x:v>
      </x:c>
      <x:c r="G427" s="88" t="str">
        <x:v>NES 5-pack extractor</x:v>
      </x:c>
      <x:c r="H427" s="87" t="n">
        <x:f>'01 Base Costs'!$B$25</x:f>
        <x:v>6600</x:v>
      </x:c>
      <x:c r="I427" s="87" t="n">
        <x:f>'01 Base Costs'!$B$16*0.7</x:f>
        <x:v>339.5</x:v>
      </x:c>
      <x:c r="J427" s="87" t="n">
        <x:f>0</x:f>
        <x:v>0</x:v>
      </x:c>
      <x:c r="K427" s="87" t="n">
        <x:f>D427*(E427-1)*I427</x:f>
        <x:v>8148</x:v>
      </x:c>
      <x:c r="L427" s="87" t="n">
        <x:f>D427*(E427-1)*J427</x:f>
        <x:v>0</x:v>
      </x:c>
      <x:c r="M427" s="87" t="n">
        <x:f>0</x:f>
        <x:v>0</x:v>
      </x:c>
      <x:c r="N427" s="87" t="n">
        <x:f>H427+K427+M427</x:f>
        <x:v>14748</x:v>
      </x:c>
      <x:c r="O427" s="87" t="n">
        <x:f>N427*'01 Base Costs'!$B$7+L427</x:f>
        <x:v>70937880000</x:v>
      </x:c>
      <x:c r="P427" s="87" t="n">
        <x:f>D427*E427</x:f>
        <x:v>48</x:v>
      </x:c>
      <x:c r="Q427" s="87" t="n">
        <x:f>P427*'01 Base Costs'!$B$12</x:f>
        <x:v>93312000</x:v>
      </x:c>
      <x:c r="R427" s="87" t="n">
        <x:f>0</x:f>
        <x:v>0</x:v>
      </x:c>
      <x:c r="S427" s="87" t="n">
        <x:f>Q427+R427</x:f>
        <x:v>93312000</x:v>
      </x:c>
      <x:c r="T427" s="141" t="n">
        <x:f>S427/'01 Base Costs'!$B$14</x:f>
        <x:v>186.624</x:v>
      </x:c>
      <x:c r="U427" s="87" t="n">
        <x:f>INT(T427)</x:f>
        <x:v>186</x:v>
      </x:c>
      <x:c r="V427" s="87" t="n">
        <x:f>S427-U427*'01 Base Costs'!$B$14</x:f>
        <x:v>312000</x:v>
      </x:c>
      <x:c r="W427" s="120" t="n">
        <x:f>'01 Base Costs'!$B$18/5</x:f>
        <x:v>126</x:v>
      </x:c>
      <x:c r="X427" s="120" t="n">
        <x:f>0</x:f>
        <x:v>0</x:v>
      </x:c>
      <x:c r="Y427" s="87" t="n">
        <x:f>T427*(W427*'01 Base Costs'!$B$7+X427)</x:f>
        <x:v>113105341440</x:v>
      </x:c>
      <x:c r="Z427" s="87" t="n">
        <x:f>T427*'01 Base Costs'!$B$8</x:f>
        <x:v>140509209600</x:v>
      </x:c>
      <x:c r="AA427" s="87" t="n">
        <x:f>Z427*'01 Base Costs'!$B$11</x:f>
        <x:v>7025460480</x:v>
      </x:c>
      <x:c r="AB427" s="87" t="n">
        <x:f>Z427-AA427</x:f>
        <x:v>133483749120</x:v>
      </x:c>
      <x:c r="AC427" s="87" t="n">
        <x:f>O427+Y427</x:f>
        <x:v>184043221440</x:v>
      </x:c>
      <x:c r="AD427" s="87" t="n">
        <x:f>AB427-AC427</x:f>
        <x:v>-50559472320</x:v>
      </x:c>
      <x:c r="AE427" s="87" t="n">
        <x:f>AD427/D427</x:f>
        <x:v>-2106644680</x:v>
      </x:c>
      <x:c r="AF427" s="87" t="n">
        <x:f>AD427/P427</x:f>
        <x:v>-1053322340</x:v>
      </x:c>
      <x:c r="AG427" s="87" t="n">
        <x:f>IF(T427=0,0,AC427/T427/(1-'01 Base Costs'!$B$11))</x:f>
        <x:v>1038074989.1704571</x:v>
      </x:c>
      <x:c r="AH427" s="88" t="str">
        <x:f>IF(AD427&gt;0,"PROFIT","LOSS")</x:f>
        <x:v>LOSS</x:v>
      </x:c>
      <x:c r="AI427" s="89" t="str">
        <x:v>Base 24M Omega. MCT sale 30% off. Base 5-pack average.</x:v>
      </x:c>
    </x:row>
    <x:row r="428">
      <x:c r="A428" s="86" t="n">
        <x:v>426</x:v>
      </x:c>
      <x:c r="B428" s="88" t="str">
        <x:v>Base</x:v>
      </x:c>
      <x:c r="C428" s="88" t="str">
        <x:v>24M Omega</x:v>
      </x:c>
      <x:c r="D428" s="88" t="n">
        <x:v>24</x:v>
      </x:c>
      <x:c r="E428" s="88" t="n">
        <x:v>2</x:v>
      </x:c>
      <x:c r="F428" s="88" t="str">
        <x:v>NES MCT 30% sale</x:v>
      </x:c>
      <x:c r="G428" s="88" t="str">
        <x:v>NES 10-pack extractor</x:v>
      </x:c>
      <x:c r="H428" s="87" t="n">
        <x:f>'01 Base Costs'!$B$25</x:f>
        <x:v>6600</x:v>
      </x:c>
      <x:c r="I428" s="87" t="n">
        <x:f>'01 Base Costs'!$B$16*0.7</x:f>
        <x:v>339.5</x:v>
      </x:c>
      <x:c r="J428" s="87" t="n">
        <x:f>0</x:f>
        <x:v>0</x:v>
      </x:c>
      <x:c r="K428" s="87" t="n">
        <x:f>D428*(E428-1)*I428</x:f>
        <x:v>8148</x:v>
      </x:c>
      <x:c r="L428" s="87" t="n">
        <x:f>D428*(E428-1)*J428</x:f>
        <x:v>0</x:v>
      </x:c>
      <x:c r="M428" s="87" t="n">
        <x:f>0</x:f>
        <x:v>0</x:v>
      </x:c>
      <x:c r="N428" s="87" t="n">
        <x:f>H428+K428+M428</x:f>
        <x:v>14748</x:v>
      </x:c>
      <x:c r="O428" s="87" t="n">
        <x:f>N428*'01 Base Costs'!$B$7+L428</x:f>
        <x:v>70937880000</x:v>
      </x:c>
      <x:c r="P428" s="87" t="n">
        <x:f>D428*E428</x:f>
        <x:v>48</x:v>
      </x:c>
      <x:c r="Q428" s="87" t="n">
        <x:f>P428*'01 Base Costs'!$B$12</x:f>
        <x:v>93312000</x:v>
      </x:c>
      <x:c r="R428" s="87" t="n">
        <x:f>0</x:f>
        <x:v>0</x:v>
      </x:c>
      <x:c r="S428" s="87" t="n">
        <x:f>Q428+R428</x:f>
        <x:v>93312000</x:v>
      </x:c>
      <x:c r="T428" s="141" t="n">
        <x:f>S428/'01 Base Costs'!$B$14</x:f>
        <x:v>186.624</x:v>
      </x:c>
      <x:c r="U428" s="87" t="n">
        <x:f>INT(T428)</x:f>
        <x:v>186</x:v>
      </x:c>
      <x:c r="V428" s="87" t="n">
        <x:f>S428-U428*'01 Base Costs'!$B$14</x:f>
        <x:v>312000</x:v>
      </x:c>
      <x:c r="W428" s="120" t="n">
        <x:f>'01 Base Costs'!$B$19/10</x:f>
        <x:v>119</x:v>
      </x:c>
      <x:c r="X428" s="120" t="n">
        <x:f>0</x:f>
        <x:v>0</x:v>
      </x:c>
      <x:c r="Y428" s="87" t="n">
        <x:f>T428*(W428*'01 Base Costs'!$B$7+X428)</x:f>
        <x:v>106821711360</x:v>
      </x:c>
      <x:c r="Z428" s="87" t="n">
        <x:f>T428*'01 Base Costs'!$B$8</x:f>
        <x:v>140509209600</x:v>
      </x:c>
      <x:c r="AA428" s="87" t="n">
        <x:f>Z428*'01 Base Costs'!$B$11</x:f>
        <x:v>7025460480</x:v>
      </x:c>
      <x:c r="AB428" s="87" t="n">
        <x:f>Z428-AA428</x:f>
        <x:v>133483749120</x:v>
      </x:c>
      <x:c r="AC428" s="87" t="n">
        <x:f>O428+Y428</x:f>
        <x:v>177759591360</x:v>
      </x:c>
      <x:c r="AD428" s="87" t="n">
        <x:f>AB428-AC428</x:f>
        <x:v>-44275842240</x:v>
      </x:c>
      <x:c r="AE428" s="87" t="n">
        <x:f>AD428/D428</x:f>
        <x:v>-1844826760</x:v>
      </x:c>
      <x:c r="AF428" s="87" t="n">
        <x:f>AD428/P428</x:f>
        <x:v>-922413380</x:v>
      </x:c>
      <x:c r="AG428" s="87" t="n">
        <x:f>IF(T428=0,0,AC428/T428/(1-'01 Base Costs'!$B$11))</x:f>
        <x:v>1002632883.9072992</x:v>
      </x:c>
      <x:c r="AH428" s="88" t="str">
        <x:f>IF(AD428&gt;0,"PROFIT","LOSS")</x:f>
        <x:v>LOSS</x:v>
      </x:c>
      <x:c r="AI428" s="89" t="str">
        <x:v>Base 24M Omega. MCT sale 30% off. Base 10-pack average.</x:v>
      </x:c>
    </x:row>
    <x:row r="429">
      <x:c r="A429" s="86" t="n">
        <x:v>427</x:v>
      </x:c>
      <x:c r="B429" s="88" t="str">
        <x:v>Base</x:v>
      </x:c>
      <x:c r="C429" s="88" t="str">
        <x:v>24M Omega</x:v>
      </x:c>
      <x:c r="D429" s="88" t="n">
        <x:v>24</x:v>
      </x:c>
      <x:c r="E429" s="88" t="n">
        <x:v>2</x:v>
      </x:c>
      <x:c r="F429" s="88" t="str">
        <x:v>NES MCT 30% sale</x:v>
      </x:c>
      <x:c r="G429" s="88" t="str">
        <x:v>NES 50-pack extractor</x:v>
      </x:c>
      <x:c r="H429" s="87" t="n">
        <x:f>'01 Base Costs'!$B$25</x:f>
        <x:v>6600</x:v>
      </x:c>
      <x:c r="I429" s="87" t="n">
        <x:f>'01 Base Costs'!$B$16*0.7</x:f>
        <x:v>339.5</x:v>
      </x:c>
      <x:c r="J429" s="87" t="n">
        <x:f>0</x:f>
        <x:v>0</x:v>
      </x:c>
      <x:c r="K429" s="87" t="n">
        <x:f>D429*(E429-1)*I429</x:f>
        <x:v>8148</x:v>
      </x:c>
      <x:c r="L429" s="87" t="n">
        <x:f>D429*(E429-1)*J429</x:f>
        <x:v>0</x:v>
      </x:c>
      <x:c r="M429" s="87" t="n">
        <x:f>0</x:f>
        <x:v>0</x:v>
      </x:c>
      <x:c r="N429" s="87" t="n">
        <x:f>H429+K429+M429</x:f>
        <x:v>14748</x:v>
      </x:c>
      <x:c r="O429" s="87" t="n">
        <x:f>N429*'01 Base Costs'!$B$7+L429</x:f>
        <x:v>70937880000</x:v>
      </x:c>
      <x:c r="P429" s="87" t="n">
        <x:f>D429*E429</x:f>
        <x:v>48</x:v>
      </x:c>
      <x:c r="Q429" s="87" t="n">
        <x:f>P429*'01 Base Costs'!$B$12</x:f>
        <x:v>93312000</x:v>
      </x:c>
      <x:c r="R429" s="87" t="n">
        <x:f>0</x:f>
        <x:v>0</x:v>
      </x:c>
      <x:c r="S429" s="87" t="n">
        <x:f>Q429+R429</x:f>
        <x:v>93312000</x:v>
      </x:c>
      <x:c r="T429" s="141" t="n">
        <x:f>S429/'01 Base Costs'!$B$14</x:f>
        <x:v>186.624</x:v>
      </x:c>
      <x:c r="U429" s="87" t="n">
        <x:f>INT(T429)</x:f>
        <x:v>186</x:v>
      </x:c>
      <x:c r="V429" s="87" t="n">
        <x:f>S429-U429*'01 Base Costs'!$B$14</x:f>
        <x:v>312000</x:v>
      </x:c>
      <x:c r="W429" s="120" t="n">
        <x:f>'01 Base Costs'!$B$20/50</x:f>
        <x:v>112</x:v>
      </x:c>
      <x:c r="X429" s="120" t="n">
        <x:f>0</x:f>
        <x:v>0</x:v>
      </x:c>
      <x:c r="Y429" s="87" t="n">
        <x:f>T429*(W429*'01 Base Costs'!$B$7+X429)</x:f>
        <x:v>100538081280</x:v>
      </x:c>
      <x:c r="Z429" s="87" t="n">
        <x:f>T429*'01 Base Costs'!$B$8</x:f>
        <x:v>140509209600</x:v>
      </x:c>
      <x:c r="AA429" s="87" t="n">
        <x:f>Z429*'01 Base Costs'!$B$11</x:f>
        <x:v>7025460480</x:v>
      </x:c>
      <x:c r="AB429" s="87" t="n">
        <x:f>Z429-AA429</x:f>
        <x:v>133483749120</x:v>
      </x:c>
      <x:c r="AC429" s="87" t="n">
        <x:f>O429+Y429</x:f>
        <x:v>171475961280</x:v>
      </x:c>
      <x:c r="AD429" s="87" t="n">
        <x:f>AB429-AC429</x:f>
        <x:v>-37992212160</x:v>
      </x:c>
      <x:c r="AE429" s="87" t="n">
        <x:f>AD429/D429</x:f>
        <x:v>-1583008840</x:v>
      </x:c>
      <x:c r="AF429" s="87" t="n">
        <x:f>AD429/P429</x:f>
        <x:v>-791504420</x:v>
      </x:c>
      <x:c r="AG429" s="87" t="n">
        <x:f>IF(T429=0,0,AC429/T429/(1-'01 Base Costs'!$B$11))</x:f>
        <x:v>967190778.6441413</x:v>
      </x:c>
      <x:c r="AH429" s="88" t="str">
        <x:f>IF(AD429&gt;0,"PROFIT","LOSS")</x:f>
        <x:v>LOSS</x:v>
      </x:c>
      <x:c r="AI429" s="89" t="str">
        <x:v>Base 24M Omega. MCT sale 30% off. Base 50-pack average.</x:v>
      </x:c>
    </x:row>
    <x:row r="430">
      <x:c r="A430" s="86" t="n">
        <x:v>428</x:v>
      </x:c>
      <x:c r="B430" s="88" t="str">
        <x:v>Base</x:v>
      </x:c>
      <x:c r="C430" s="88" t="str">
        <x:v>24M Omega</x:v>
      </x:c>
      <x:c r="D430" s="88" t="n">
        <x:v>24</x:v>
      </x:c>
      <x:c r="E430" s="88" t="n">
        <x:v>2</x:v>
      </x:c>
      <x:c r="F430" s="88" t="str">
        <x:v>NES MCT 30% sale</x:v>
      </x:c>
      <x:c r="G430" s="88" t="str">
        <x:v>NES 3-for-2 extractor sale</x:v>
      </x:c>
      <x:c r="H430" s="87" t="n">
        <x:f>'01 Base Costs'!$B$25</x:f>
        <x:v>6600</x:v>
      </x:c>
      <x:c r="I430" s="87" t="n">
        <x:f>'01 Base Costs'!$B$16*0.7</x:f>
        <x:v>339.5</x:v>
      </x:c>
      <x:c r="J430" s="87" t="n">
        <x:f>0</x:f>
        <x:v>0</x:v>
      </x:c>
      <x:c r="K430" s="87" t="n">
        <x:f>D430*(E430-1)*I430</x:f>
        <x:v>8148</x:v>
      </x:c>
      <x:c r="L430" s="87" t="n">
        <x:f>D430*(E430-1)*J430</x:f>
        <x:v>0</x:v>
      </x:c>
      <x:c r="M430" s="87" t="n">
        <x:f>0</x:f>
        <x:v>0</x:v>
      </x:c>
      <x:c r="N430" s="87" t="n">
        <x:f>H430+K430+M430</x:f>
        <x:v>14748</x:v>
      </x:c>
      <x:c r="O430" s="87" t="n">
        <x:f>N430*'01 Base Costs'!$B$7+L430</x:f>
        <x:v>70937880000</x:v>
      </x:c>
      <x:c r="P430" s="87" t="n">
        <x:f>D430*E430</x:f>
        <x:v>48</x:v>
      </x:c>
      <x:c r="Q430" s="87" t="n">
        <x:f>P430*'01 Base Costs'!$B$12</x:f>
        <x:v>93312000</x:v>
      </x:c>
      <x:c r="R430" s="87" t="n">
        <x:f>0</x:f>
        <x:v>0</x:v>
      </x:c>
      <x:c r="S430" s="87" t="n">
        <x:f>Q430+R430</x:f>
        <x:v>93312000</x:v>
      </x:c>
      <x:c r="T430" s="141" t="n">
        <x:f>S430/'01 Base Costs'!$B$14</x:f>
        <x:v>186.624</x:v>
      </x:c>
      <x:c r="U430" s="87" t="n">
        <x:f>INT(T430)</x:f>
        <x:v>186</x:v>
      </x:c>
      <x:c r="V430" s="87" t="n">
        <x:f>S430-U430*'01 Base Costs'!$B$14</x:f>
        <x:v>312000</x:v>
      </x:c>
      <x:c r="W430" s="120" t="n">
        <x:f>'01 Base Costs'!$B$17*2/3</x:f>
        <x:v>93.33333333333333</x:v>
      </x:c>
      <x:c r="X430" s="120" t="n">
        <x:f>0</x:f>
        <x:v>0</x:v>
      </x:c>
      <x:c r="Y430" s="87" t="n">
        <x:f>T430*(W430*'01 Base Costs'!$B$7+X430)</x:f>
        <x:v>83781734400</x:v>
      </x:c>
      <x:c r="Z430" s="87" t="n">
        <x:f>T430*'01 Base Costs'!$B$8</x:f>
        <x:v>140509209600</x:v>
      </x:c>
      <x:c r="AA430" s="87" t="n">
        <x:f>Z430*'01 Base Costs'!$B$11</x:f>
        <x:v>7025460480</x:v>
      </x:c>
      <x:c r="AB430" s="87" t="n">
        <x:f>Z430-AA430</x:f>
        <x:v>133483749120</x:v>
      </x:c>
      <x:c r="AC430" s="87" t="n">
        <x:f>O430+Y430</x:f>
        <x:v>154719614400</x:v>
      </x:c>
      <x:c r="AD430" s="87" t="n">
        <x:f>AB430-AC430</x:f>
        <x:v>-21235865280</x:v>
      </x:c>
      <x:c r="AE430" s="87" t="n">
        <x:f>AD430/D430</x:f>
        <x:v>-884827720</x:v>
      </x:c>
      <x:c r="AF430" s="87" t="n">
        <x:f>AD430/P430</x:f>
        <x:v>-442413860</x:v>
      </x:c>
      <x:c r="AG430" s="87" t="n">
        <x:f>IF(T430=0,0,AC430/T430/(1-'01 Base Costs'!$B$11))</x:f>
        <x:v>872678497.9423869</x:v>
      </x:c>
      <x:c r="AH430" s="88" t="str">
        <x:f>IF(AD430&gt;0,"PROFIT","LOSS")</x:f>
        <x:v>LOSS</x:v>
      </x:c>
      <x:c r="AI430" s="89" t="str">
        <x:v>Base 24M Omega. MCT sale 30% off. Extractor 3-for-2 sale.</x:v>
      </x:c>
    </x:row>
    <x:row r="431">
      <x:c r="A431" s="86" t="n">
        <x:v>429</x:v>
      </x:c>
      <x:c r="B431" s="88" t="str">
        <x:v>Base</x:v>
      </x:c>
      <x:c r="C431" s="88" t="str">
        <x:v>24M Omega</x:v>
      </x:c>
      <x:c r="D431" s="88" t="n">
        <x:v>24</x:v>
      </x:c>
      <x:c r="E431" s="88" t="n">
        <x:v>2</x:v>
      </x:c>
      <x:c r="F431" s="88" t="str">
        <x:v>NES MCT 30% sale</x:v>
      </x:c>
      <x:c r="G431" s="88" t="str">
        <x:v>NES 2-for-1 extractor sale</x:v>
      </x:c>
      <x:c r="H431" s="87" t="n">
        <x:f>'01 Base Costs'!$B$25</x:f>
        <x:v>6600</x:v>
      </x:c>
      <x:c r="I431" s="87" t="n">
        <x:f>'01 Base Costs'!$B$16*0.7</x:f>
        <x:v>339.5</x:v>
      </x:c>
      <x:c r="J431" s="87" t="n">
        <x:f>0</x:f>
        <x:v>0</x:v>
      </x:c>
      <x:c r="K431" s="87" t="n">
        <x:f>D431*(E431-1)*I431</x:f>
        <x:v>8148</x:v>
      </x:c>
      <x:c r="L431" s="87" t="n">
        <x:f>D431*(E431-1)*J431</x:f>
        <x:v>0</x:v>
      </x:c>
      <x:c r="M431" s="87" t="n">
        <x:f>0</x:f>
        <x:v>0</x:v>
      </x:c>
      <x:c r="N431" s="87" t="n">
        <x:f>H431+K431+M431</x:f>
        <x:v>14748</x:v>
      </x:c>
      <x:c r="O431" s="87" t="n">
        <x:f>N431*'01 Base Costs'!$B$7+L431</x:f>
        <x:v>70937880000</x:v>
      </x:c>
      <x:c r="P431" s="87" t="n">
        <x:f>D431*E431</x:f>
        <x:v>48</x:v>
      </x:c>
      <x:c r="Q431" s="87" t="n">
        <x:f>P431*'01 Base Costs'!$B$12</x:f>
        <x:v>93312000</x:v>
      </x:c>
      <x:c r="R431" s="87" t="n">
        <x:f>0</x:f>
        <x:v>0</x:v>
      </x:c>
      <x:c r="S431" s="87" t="n">
        <x:f>Q431+R431</x:f>
        <x:v>93312000</x:v>
      </x:c>
      <x:c r="T431" s="141" t="n">
        <x:f>S431/'01 Base Costs'!$B$14</x:f>
        <x:v>186.624</x:v>
      </x:c>
      <x:c r="U431" s="87" t="n">
        <x:f>INT(T431)</x:f>
        <x:v>186</x:v>
      </x:c>
      <x:c r="V431" s="87" t="n">
        <x:f>S431-U431*'01 Base Costs'!$B$14</x:f>
        <x:v>312000</x:v>
      </x:c>
      <x:c r="W431" s="120" t="n">
        <x:f>'01 Base Costs'!$B$17/2</x:f>
        <x:v>70</x:v>
      </x:c>
      <x:c r="X431" s="120" t="n">
        <x:f>0</x:f>
        <x:v>0</x:v>
      </x:c>
      <x:c r="Y431" s="87" t="n">
        <x:f>T431*(W431*'01 Base Costs'!$B$7+X431)</x:f>
        <x:v>62836300800</x:v>
      </x:c>
      <x:c r="Z431" s="87" t="n">
        <x:f>T431*'01 Base Costs'!$B$8</x:f>
        <x:v>140509209600</x:v>
      </x:c>
      <x:c r="AA431" s="87" t="n">
        <x:f>Z431*'01 Base Costs'!$B$11</x:f>
        <x:v>7025460480</x:v>
      </x:c>
      <x:c r="AB431" s="87" t="n">
        <x:f>Z431-AA431</x:f>
        <x:v>133483749120</x:v>
      </x:c>
      <x:c r="AC431" s="87" t="n">
        <x:f>O431+Y431</x:f>
        <x:v>133774180800</x:v>
      </x:c>
      <x:c r="AD431" s="87" t="n">
        <x:f>AB431-AC431</x:f>
        <x:v>-290431680</x:v>
      </x:c>
      <x:c r="AE431" s="87" t="n">
        <x:f>AD431/D431</x:f>
        <x:v>-12101320</x:v>
      </x:c>
      <x:c r="AF431" s="87" t="n">
        <x:f>AD431/P431</x:f>
        <x:v>-6050660</x:v>
      </x:c>
      <x:c r="AG431" s="87" t="n">
        <x:f>IF(T431=0,0,AC431/T431/(1-'01 Base Costs'!$B$11))</x:f>
        <x:v>754538147.0651939</x:v>
      </x:c>
      <x:c r="AH431" s="88" t="str">
        <x:f>IF(AD431&gt;0,"PROFIT","LOSS")</x:f>
        <x:v>LOSS</x:v>
      </x:c>
      <x:c r="AI431" s="89" t="str">
        <x:v>Base 24M Omega. MCT sale 30% off. Extractor 2-for-1 sale.</x:v>
      </x:c>
    </x:row>
    <x:row r="432">
      <x:c r="A432" s="86" t="n">
        <x:v>430</x:v>
      </x:c>
      <x:c r="B432" s="88" t="str">
        <x:v>Base</x:v>
      </x:c>
      <x:c r="C432" s="88" t="str">
        <x:v>24M Omega</x:v>
      </x:c>
      <x:c r="D432" s="88" t="n">
        <x:v>24</x:v>
      </x:c>
      <x:c r="E432" s="88" t="n">
        <x:v>2</x:v>
      </x:c>
      <x:c r="F432" s="88" t="str">
        <x:v>NES MCT 30% sale</x:v>
      </x:c>
      <x:c r="G432" s="88" t="str">
        <x:v>NES 10-pack extractor 20% sale</x:v>
      </x:c>
      <x:c r="H432" s="87" t="n">
        <x:f>'01 Base Costs'!$B$25</x:f>
        <x:v>6600</x:v>
      </x:c>
      <x:c r="I432" s="87" t="n">
        <x:f>'01 Base Costs'!$B$16*0.7</x:f>
        <x:v>339.5</x:v>
      </x:c>
      <x:c r="J432" s="87" t="n">
        <x:f>0</x:f>
        <x:v>0</x:v>
      </x:c>
      <x:c r="K432" s="87" t="n">
        <x:f>D432*(E432-1)*I432</x:f>
        <x:v>8148</x:v>
      </x:c>
      <x:c r="L432" s="87" t="n">
        <x:f>D432*(E432-1)*J432</x:f>
        <x:v>0</x:v>
      </x:c>
      <x:c r="M432" s="87" t="n">
        <x:f>0</x:f>
        <x:v>0</x:v>
      </x:c>
      <x:c r="N432" s="87" t="n">
        <x:f>H432+K432+M432</x:f>
        <x:v>14748</x:v>
      </x:c>
      <x:c r="O432" s="87" t="n">
        <x:f>N432*'01 Base Costs'!$B$7+L432</x:f>
        <x:v>70937880000</x:v>
      </x:c>
      <x:c r="P432" s="87" t="n">
        <x:f>D432*E432</x:f>
        <x:v>48</x:v>
      </x:c>
      <x:c r="Q432" s="87" t="n">
        <x:f>P432*'01 Base Costs'!$B$12</x:f>
        <x:v>93312000</x:v>
      </x:c>
      <x:c r="R432" s="87" t="n">
        <x:f>0</x:f>
        <x:v>0</x:v>
      </x:c>
      <x:c r="S432" s="87" t="n">
        <x:f>Q432+R432</x:f>
        <x:v>93312000</x:v>
      </x:c>
      <x:c r="T432" s="141" t="n">
        <x:f>S432/'01 Base Costs'!$B$14</x:f>
        <x:v>186.624</x:v>
      </x:c>
      <x:c r="U432" s="87" t="n">
        <x:f>INT(T432)</x:f>
        <x:v>186</x:v>
      </x:c>
      <x:c r="V432" s="87" t="n">
        <x:f>S432-U432*'01 Base Costs'!$B$14</x:f>
        <x:v>312000</x:v>
      </x:c>
      <x:c r="W432" s="120" t="n">
        <x:f>'01 Base Costs'!$B$19*0.8/10</x:f>
        <x:v>95.2</x:v>
      </x:c>
      <x:c r="X432" s="120" t="n">
        <x:f>0</x:f>
        <x:v>0</x:v>
      </x:c>
      <x:c r="Y432" s="87" t="n">
        <x:f>T432*(W432*'01 Base Costs'!$B$7+X432)</x:f>
        <x:v>85457369088</x:v>
      </x:c>
      <x:c r="Z432" s="87" t="n">
        <x:f>T432*'01 Base Costs'!$B$8</x:f>
        <x:v>140509209600</x:v>
      </x:c>
      <x:c r="AA432" s="87" t="n">
        <x:f>Z432*'01 Base Costs'!$B$11</x:f>
        <x:v>7025460480</x:v>
      </x:c>
      <x:c r="AB432" s="87" t="n">
        <x:f>Z432-AA432</x:f>
        <x:v>133483749120</x:v>
      </x:c>
      <x:c r="AC432" s="87" t="n">
        <x:f>O432+Y432</x:f>
        <x:v>156395249088</x:v>
      </x:c>
      <x:c r="AD432" s="87" t="n">
        <x:f>AB432-AC432</x:f>
        <x:v>-22911499968</x:v>
      </x:c>
      <x:c r="AE432" s="87" t="n">
        <x:f>AD432/D432</x:f>
        <x:v>-954645832</x:v>
      </x:c>
      <x:c r="AF432" s="87" t="n">
        <x:f>AD432/P432</x:f>
        <x:v>-477322916</x:v>
      </x:c>
      <x:c r="AG432" s="87" t="n">
        <x:f>IF(T432=0,0,AC432/T432/(1-'01 Base Costs'!$B$11))</x:f>
        <x:v>882129726.0125624</x:v>
      </x:c>
      <x:c r="AH432" s="88" t="str">
        <x:f>IF(AD432&gt;0,"PROFIT","LOSS")</x:f>
        <x:v>LOSS</x:v>
      </x:c>
      <x:c r="AI432" s="89" t="str">
        <x:v>Base 24M Omega. MCT sale 30% off. 10-pack at 20% off.</x:v>
      </x:c>
    </x:row>
    <x:row r="433">
      <x:c r="A433" s="86" t="n">
        <x:v>431</x:v>
      </x:c>
      <x:c r="B433" s="88" t="str">
        <x:v>Base</x:v>
      </x:c>
      <x:c r="C433" s="88" t="str">
        <x:v>24M Omega</x:v>
      </x:c>
      <x:c r="D433" s="88" t="n">
        <x:v>24</x:v>
      </x:c>
      <x:c r="E433" s="88" t="n">
        <x:v>2</x:v>
      </x:c>
      <x:c r="F433" s="88" t="str">
        <x:v>NES MCT 30% sale</x:v>
      </x:c>
      <x:c r="G433" s="88" t="str">
        <x:v>NES 50-pack extractor 20% sale</x:v>
      </x:c>
      <x:c r="H433" s="87" t="n">
        <x:f>'01 Base Costs'!$B$25</x:f>
        <x:v>6600</x:v>
      </x:c>
      <x:c r="I433" s="87" t="n">
        <x:f>'01 Base Costs'!$B$16*0.7</x:f>
        <x:v>339.5</x:v>
      </x:c>
      <x:c r="J433" s="87" t="n">
        <x:f>0</x:f>
        <x:v>0</x:v>
      </x:c>
      <x:c r="K433" s="87" t="n">
        <x:f>D433*(E433-1)*I433</x:f>
        <x:v>8148</x:v>
      </x:c>
      <x:c r="L433" s="87" t="n">
        <x:f>D433*(E433-1)*J433</x:f>
        <x:v>0</x:v>
      </x:c>
      <x:c r="M433" s="87" t="n">
        <x:f>0</x:f>
        <x:v>0</x:v>
      </x:c>
      <x:c r="N433" s="87" t="n">
        <x:f>H433+K433+M433</x:f>
        <x:v>14748</x:v>
      </x:c>
      <x:c r="O433" s="87" t="n">
        <x:f>N433*'01 Base Costs'!$B$7+L433</x:f>
        <x:v>70937880000</x:v>
      </x:c>
      <x:c r="P433" s="87" t="n">
        <x:f>D433*E433</x:f>
        <x:v>48</x:v>
      </x:c>
      <x:c r="Q433" s="87" t="n">
        <x:f>P433*'01 Base Costs'!$B$12</x:f>
        <x:v>93312000</x:v>
      </x:c>
      <x:c r="R433" s="87" t="n">
        <x:f>0</x:f>
        <x:v>0</x:v>
      </x:c>
      <x:c r="S433" s="87" t="n">
        <x:f>Q433+R433</x:f>
        <x:v>93312000</x:v>
      </x:c>
      <x:c r="T433" s="141" t="n">
        <x:f>S433/'01 Base Costs'!$B$14</x:f>
        <x:v>186.624</x:v>
      </x:c>
      <x:c r="U433" s="87" t="n">
        <x:f>INT(T433)</x:f>
        <x:v>186</x:v>
      </x:c>
      <x:c r="V433" s="87" t="n">
        <x:f>S433-U433*'01 Base Costs'!$B$14</x:f>
        <x:v>312000</x:v>
      </x:c>
      <x:c r="W433" s="120" t="n">
        <x:f>'01 Base Costs'!$B$20*0.8/50</x:f>
        <x:v>89.6</x:v>
      </x:c>
      <x:c r="X433" s="120" t="n">
        <x:f>0</x:f>
        <x:v>0</x:v>
      </x:c>
      <x:c r="Y433" s="87" t="n">
        <x:f>T433*(W433*'01 Base Costs'!$B$7+X433)</x:f>
        <x:v>80430465024</x:v>
      </x:c>
      <x:c r="Z433" s="87" t="n">
        <x:f>T433*'01 Base Costs'!$B$8</x:f>
        <x:v>140509209600</x:v>
      </x:c>
      <x:c r="AA433" s="87" t="n">
        <x:f>Z433*'01 Base Costs'!$B$11</x:f>
        <x:v>7025460480</x:v>
      </x:c>
      <x:c r="AB433" s="87" t="n">
        <x:f>Z433-AA433</x:f>
        <x:v>133483749120</x:v>
      </x:c>
      <x:c r="AC433" s="87" t="n">
        <x:f>O433+Y433</x:f>
        <x:v>151368345024</x:v>
      </x:c>
      <x:c r="AD433" s="87" t="n">
        <x:f>AB433-AC433</x:f>
        <x:v>-17884595904</x:v>
      </x:c>
      <x:c r="AE433" s="87" t="n">
        <x:f>AD433/D433</x:f>
        <x:v>-745191496</x:v>
      </x:c>
      <x:c r="AF433" s="87" t="n">
        <x:f>AD433/P433</x:f>
        <x:v>-372595748</x:v>
      </x:c>
      <x:c r="AG433" s="87" t="n">
        <x:f>IF(T433=0,0,AC433/T433/(1-'01 Base Costs'!$B$11))</x:f>
        <x:v>853776041.802036</x:v>
      </x:c>
      <x:c r="AH433" s="88" t="str">
        <x:f>IF(AD433&gt;0,"PROFIT","LOSS")</x:f>
        <x:v>LOSS</x:v>
      </x:c>
      <x:c r="AI433" s="89" t="str">
        <x:v>Base 24M Omega. MCT sale 30% off. 50-pack at 20% off.</x:v>
      </x:c>
    </x:row>
    <x:row r="434">
      <x:c r="A434" s="86" t="n">
        <x:v>432</x:v>
      </x:c>
      <x:c r="B434" s="88" t="str">
        <x:v>Base</x:v>
      </x:c>
      <x:c r="C434" s="88" t="str">
        <x:v>24M Omega</x:v>
      </x:c>
      <x:c r="D434" s="88" t="n">
        <x:v>24</x:v>
      </x:c>
      <x:c r="E434" s="88" t="n">
        <x:v>2</x:v>
      </x:c>
      <x:c r="F434" s="88" t="str">
        <x:v>NES MCT 30% sale</x:v>
      </x:c>
      <x:c r="G434" s="88" t="str">
        <x:v>Market Skill Extractor</x:v>
      </x:c>
      <x:c r="H434" s="87" t="n">
        <x:f>'01 Base Costs'!$B$25</x:f>
        <x:v>6600</x:v>
      </x:c>
      <x:c r="I434" s="87" t="n">
        <x:f>'01 Base Costs'!$B$16*0.7</x:f>
        <x:v>339.5</x:v>
      </x:c>
      <x:c r="J434" s="87" t="n">
        <x:f>0</x:f>
        <x:v>0</x:v>
      </x:c>
      <x:c r="K434" s="87" t="n">
        <x:f>D434*(E434-1)*I434</x:f>
        <x:v>8148</x:v>
      </x:c>
      <x:c r="L434" s="87" t="n">
        <x:f>D434*(E434-1)*J434</x:f>
        <x:v>0</x:v>
      </x:c>
      <x:c r="M434" s="87" t="n">
        <x:f>0</x:f>
        <x:v>0</x:v>
      </x:c>
      <x:c r="N434" s="87" t="n">
        <x:f>H434+K434+M434</x:f>
        <x:v>14748</x:v>
      </x:c>
      <x:c r="O434" s="87" t="n">
        <x:f>N434*'01 Base Costs'!$B$7+L434</x:f>
        <x:v>70937880000</x:v>
      </x:c>
      <x:c r="P434" s="87" t="n">
        <x:f>D434*E434</x:f>
        <x:v>48</x:v>
      </x:c>
      <x:c r="Q434" s="87" t="n">
        <x:f>P434*'01 Base Costs'!$B$12</x:f>
        <x:v>93312000</x:v>
      </x:c>
      <x:c r="R434" s="87" t="n">
        <x:f>0</x:f>
        <x:v>0</x:v>
      </x:c>
      <x:c r="S434" s="87" t="n">
        <x:f>Q434+R434</x:f>
        <x:v>93312000</x:v>
      </x:c>
      <x:c r="T434" s="141" t="n">
        <x:f>S434/'01 Base Costs'!$B$14</x:f>
        <x:v>186.624</x:v>
      </x:c>
      <x:c r="U434" s="87" t="n">
        <x:f>INT(T434)</x:f>
        <x:v>186</x:v>
      </x:c>
      <x:c r="V434" s="87" t="n">
        <x:f>S434-U434*'01 Base Costs'!$B$14</x:f>
        <x:v>312000</x:v>
      </x:c>
      <x:c r="W434" s="120" t="n">
        <x:f>0</x:f>
        <x:v>0</x:v>
      </x:c>
      <x:c r="X434" s="120" t="n">
        <x:f>'01 Base Costs'!$B$9</x:f>
        <x:v>463500000</x:v>
      </x:c>
      <x:c r="Y434" s="87" t="n">
        <x:f>T434*(W434*'01 Base Costs'!$B$7+X434)</x:f>
        <x:v>86500224000</x:v>
      </x:c>
      <x:c r="Z434" s="87" t="n">
        <x:f>T434*'01 Base Costs'!$B$8</x:f>
        <x:v>140509209600</x:v>
      </x:c>
      <x:c r="AA434" s="87" t="n">
        <x:f>Z434*'01 Base Costs'!$B$11</x:f>
        <x:v>7025460480</x:v>
      </x:c>
      <x:c r="AB434" s="87" t="n">
        <x:f>Z434-AA434</x:f>
        <x:v>133483749120</x:v>
      </x:c>
      <x:c r="AC434" s="87" t="n">
        <x:f>O434+Y434</x:f>
        <x:v>157438104000</x:v>
      </x:c>
      <x:c r="AD434" s="87" t="n">
        <x:f>AB434-AC434</x:f>
        <x:v>-23954354880</x:v>
      </x:c>
      <x:c r="AE434" s="87" t="n">
        <x:f>AD434/D434</x:f>
        <x:v>-998098120</x:v>
      </x:c>
      <x:c r="AF434" s="87" t="n">
        <x:f>AD434/P434</x:f>
        <x:v>-499049060</x:v>
      </x:c>
      <x:c r="AG434" s="87" t="n">
        <x:f>IF(T434=0,0,AC434/T434/(1-'01 Base Costs'!$B$11))</x:f>
        <x:v>888011831.2757202</x:v>
      </x:c>
      <x:c r="AH434" s="88" t="str">
        <x:f>IF(AD434&gt;0,"PROFIT","LOSS")</x:f>
        <x:v>LOSS</x:v>
      </x:c>
      <x:c r="AI434" s="89" t="str">
        <x:v>Base 24M Omega. MCT sale 30% off. Extractor bought on market with ISK.</x:v>
      </x:c>
    </x:row>
    <x:row r="435">
      <x:c r="A435" s="86" t="n">
        <x:v>433</x:v>
      </x:c>
      <x:c r="B435" s="88" t="str">
        <x:v>Base</x:v>
      </x:c>
      <x:c r="C435" s="88" t="str">
        <x:v>24M Omega</x:v>
      </x:c>
      <x:c r="D435" s="88" t="n">
        <x:v>24</x:v>
      </x:c>
      <x:c r="E435" s="88" t="n">
        <x:v>2</x:v>
      </x:c>
      <x:c r="F435" s="88" t="str">
        <x:v>NES MCT 40% sale</x:v>
      </x:c>
      <x:c r="G435" s="88" t="str">
        <x:v>NES single extractor</x:v>
      </x:c>
      <x:c r="H435" s="87" t="n">
        <x:f>'01 Base Costs'!$B$25</x:f>
        <x:v>6600</x:v>
      </x:c>
      <x:c r="I435" s="87" t="n">
        <x:f>'01 Base Costs'!$B$16*0.6</x:f>
        <x:v>291</x:v>
      </x:c>
      <x:c r="J435" s="87" t="n">
        <x:f>0</x:f>
        <x:v>0</x:v>
      </x:c>
      <x:c r="K435" s="87" t="n">
        <x:f>D435*(E435-1)*I435</x:f>
        <x:v>6984</x:v>
      </x:c>
      <x:c r="L435" s="87" t="n">
        <x:f>D435*(E435-1)*J435</x:f>
        <x:v>0</x:v>
      </x:c>
      <x:c r="M435" s="87" t="n">
        <x:f>0</x:f>
        <x:v>0</x:v>
      </x:c>
      <x:c r="N435" s="87" t="n">
        <x:f>H435+K435+M435</x:f>
        <x:v>13584</x:v>
      </x:c>
      <x:c r="O435" s="87" t="n">
        <x:f>N435*'01 Base Costs'!$B$7+L435</x:f>
        <x:v>65339040000</x:v>
      </x:c>
      <x:c r="P435" s="87" t="n">
        <x:f>D435*E435</x:f>
        <x:v>48</x:v>
      </x:c>
      <x:c r="Q435" s="87" t="n">
        <x:f>P435*'01 Base Costs'!$B$12</x:f>
        <x:v>93312000</x:v>
      </x:c>
      <x:c r="R435" s="87" t="n">
        <x:f>0</x:f>
        <x:v>0</x:v>
      </x:c>
      <x:c r="S435" s="87" t="n">
        <x:f>Q435+R435</x:f>
        <x:v>93312000</x:v>
      </x:c>
      <x:c r="T435" s="141" t="n">
        <x:f>S435/'01 Base Costs'!$B$14</x:f>
        <x:v>186.624</x:v>
      </x:c>
      <x:c r="U435" s="87" t="n">
        <x:f>INT(T435)</x:f>
        <x:v>186</x:v>
      </x:c>
      <x:c r="V435" s="87" t="n">
        <x:f>S435-U435*'01 Base Costs'!$B$14</x:f>
        <x:v>312000</x:v>
      </x:c>
      <x:c r="W435" s="120" t="n">
        <x:f>'01 Base Costs'!$B$17</x:f>
        <x:v>140</x:v>
      </x:c>
      <x:c r="X435" s="120" t="n">
        <x:f>0</x:f>
        <x:v>0</x:v>
      </x:c>
      <x:c r="Y435" s="87" t="n">
        <x:f>T435*(W435*'01 Base Costs'!$B$7+X435)</x:f>
        <x:v>125672601600</x:v>
      </x:c>
      <x:c r="Z435" s="87" t="n">
        <x:f>T435*'01 Base Costs'!$B$8</x:f>
        <x:v>140509209600</x:v>
      </x:c>
      <x:c r="AA435" s="87" t="n">
        <x:f>Z435*'01 Base Costs'!$B$11</x:f>
        <x:v>7025460480</x:v>
      </x:c>
      <x:c r="AB435" s="87" t="n">
        <x:f>Z435-AA435</x:f>
        <x:v>133483749120</x:v>
      </x:c>
      <x:c r="AC435" s="87" t="n">
        <x:f>O435+Y435</x:f>
        <x:v>191011641600</x:v>
      </x:c>
      <x:c r="AD435" s="87" t="n">
        <x:f>AB435-AC435</x:f>
        <x:v>-57527892480</x:v>
      </x:c>
      <x:c r="AE435" s="87" t="n">
        <x:f>AD435/D435</x:f>
        <x:v>-2396995520</x:v>
      </x:c>
      <x:c r="AF435" s="87" t="n">
        <x:f>AD435/P435</x:f>
        <x:v>-1198497760</x:v>
      </x:c>
      <x:c r="AG435" s="87" t="n">
        <x:f>IF(T435=0,0,AC435/T435/(1-'01 Base Costs'!$B$11))</x:f>
        <x:v>1077379575.4819148</x:v>
      </x:c>
      <x:c r="AH435" s="88" t="str">
        <x:f>IF(AD435&gt;0,"PROFIT","LOSS")</x:f>
        <x:v>LOSS</x:v>
      </x:c>
      <x:c r="AI435" s="89" t="str">
        <x:v>Base 24M Omega. MCT sale 40% off. Base single extractor.</x:v>
      </x:c>
    </x:row>
    <x:row r="436">
      <x:c r="A436" s="86" t="n">
        <x:v>434</x:v>
      </x:c>
      <x:c r="B436" s="88" t="str">
        <x:v>Base</x:v>
      </x:c>
      <x:c r="C436" s="88" t="str">
        <x:v>24M Omega</x:v>
      </x:c>
      <x:c r="D436" s="88" t="n">
        <x:v>24</x:v>
      </x:c>
      <x:c r="E436" s="88" t="n">
        <x:v>2</x:v>
      </x:c>
      <x:c r="F436" s="88" t="str">
        <x:v>NES MCT 40% sale</x:v>
      </x:c>
      <x:c r="G436" s="88" t="str">
        <x:v>NES 5-pack extractor</x:v>
      </x:c>
      <x:c r="H436" s="87" t="n">
        <x:f>'01 Base Costs'!$B$25</x:f>
        <x:v>6600</x:v>
      </x:c>
      <x:c r="I436" s="87" t="n">
        <x:f>'01 Base Costs'!$B$16*0.6</x:f>
        <x:v>291</x:v>
      </x:c>
      <x:c r="J436" s="87" t="n">
        <x:f>0</x:f>
        <x:v>0</x:v>
      </x:c>
      <x:c r="K436" s="87" t="n">
        <x:f>D436*(E436-1)*I436</x:f>
        <x:v>6984</x:v>
      </x:c>
      <x:c r="L436" s="87" t="n">
        <x:f>D436*(E436-1)*J436</x:f>
        <x:v>0</x:v>
      </x:c>
      <x:c r="M436" s="87" t="n">
        <x:f>0</x:f>
        <x:v>0</x:v>
      </x:c>
      <x:c r="N436" s="87" t="n">
        <x:f>H436+K436+M436</x:f>
        <x:v>13584</x:v>
      </x:c>
      <x:c r="O436" s="87" t="n">
        <x:f>N436*'01 Base Costs'!$B$7+L436</x:f>
        <x:v>65339040000</x:v>
      </x:c>
      <x:c r="P436" s="87" t="n">
        <x:f>D436*E436</x:f>
        <x:v>48</x:v>
      </x:c>
      <x:c r="Q436" s="87" t="n">
        <x:f>P436*'01 Base Costs'!$B$12</x:f>
        <x:v>93312000</x:v>
      </x:c>
      <x:c r="R436" s="87" t="n">
        <x:f>0</x:f>
        <x:v>0</x:v>
      </x:c>
      <x:c r="S436" s="87" t="n">
        <x:f>Q436+R436</x:f>
        <x:v>93312000</x:v>
      </x:c>
      <x:c r="T436" s="141" t="n">
        <x:f>S436/'01 Base Costs'!$B$14</x:f>
        <x:v>186.624</x:v>
      </x:c>
      <x:c r="U436" s="87" t="n">
        <x:f>INT(T436)</x:f>
        <x:v>186</x:v>
      </x:c>
      <x:c r="V436" s="87" t="n">
        <x:f>S436-U436*'01 Base Costs'!$B$14</x:f>
        <x:v>312000</x:v>
      </x:c>
      <x:c r="W436" s="120" t="n">
        <x:f>'01 Base Costs'!$B$18/5</x:f>
        <x:v>126</x:v>
      </x:c>
      <x:c r="X436" s="120" t="n">
        <x:f>0</x:f>
        <x:v>0</x:v>
      </x:c>
      <x:c r="Y436" s="87" t="n">
        <x:f>T436*(W436*'01 Base Costs'!$B$7+X436)</x:f>
        <x:v>113105341440</x:v>
      </x:c>
      <x:c r="Z436" s="87" t="n">
        <x:f>T436*'01 Base Costs'!$B$8</x:f>
        <x:v>140509209600</x:v>
      </x:c>
      <x:c r="AA436" s="87" t="n">
        <x:f>Z436*'01 Base Costs'!$B$11</x:f>
        <x:v>7025460480</x:v>
      </x:c>
      <x:c r="AB436" s="87" t="n">
        <x:f>Z436-AA436</x:f>
        <x:v>133483749120</x:v>
      </x:c>
      <x:c r="AC436" s="87" t="n">
        <x:f>O436+Y436</x:f>
        <x:v>178444381440</x:v>
      </x:c>
      <x:c r="AD436" s="87" t="n">
        <x:f>AB436-AC436</x:f>
        <x:v>-44960632320</x:v>
      </x:c>
      <x:c r="AE436" s="87" t="n">
        <x:f>AD436/D436</x:f>
        <x:v>-1873359680</x:v>
      </x:c>
      <x:c r="AF436" s="87" t="n">
        <x:f>AD436/P436</x:f>
        <x:v>-936679840</x:v>
      </x:c>
      <x:c r="AG436" s="87" t="n">
        <x:f>IF(T436=0,0,AC436/T436/(1-'01 Base Costs'!$B$11))</x:f>
        <x:v>1006495364.955599</x:v>
      </x:c>
      <x:c r="AH436" s="88" t="str">
        <x:f>IF(AD436&gt;0,"PROFIT","LOSS")</x:f>
        <x:v>LOSS</x:v>
      </x:c>
      <x:c r="AI436" s="89" t="str">
        <x:v>Base 24M Omega. MCT sale 40% off. Base 5-pack average.</x:v>
      </x:c>
    </x:row>
    <x:row r="437">
      <x:c r="A437" s="86" t="n">
        <x:v>435</x:v>
      </x:c>
      <x:c r="B437" s="88" t="str">
        <x:v>Base</x:v>
      </x:c>
      <x:c r="C437" s="88" t="str">
        <x:v>24M Omega</x:v>
      </x:c>
      <x:c r="D437" s="88" t="n">
        <x:v>24</x:v>
      </x:c>
      <x:c r="E437" s="88" t="n">
        <x:v>2</x:v>
      </x:c>
      <x:c r="F437" s="88" t="str">
        <x:v>NES MCT 40% sale</x:v>
      </x:c>
      <x:c r="G437" s="88" t="str">
        <x:v>NES 10-pack extractor</x:v>
      </x:c>
      <x:c r="H437" s="87" t="n">
        <x:f>'01 Base Costs'!$B$25</x:f>
        <x:v>6600</x:v>
      </x:c>
      <x:c r="I437" s="87" t="n">
        <x:f>'01 Base Costs'!$B$16*0.6</x:f>
        <x:v>291</x:v>
      </x:c>
      <x:c r="J437" s="87" t="n">
        <x:f>0</x:f>
        <x:v>0</x:v>
      </x:c>
      <x:c r="K437" s="87" t="n">
        <x:f>D437*(E437-1)*I437</x:f>
        <x:v>6984</x:v>
      </x:c>
      <x:c r="L437" s="87" t="n">
        <x:f>D437*(E437-1)*J437</x:f>
        <x:v>0</x:v>
      </x:c>
      <x:c r="M437" s="87" t="n">
        <x:f>0</x:f>
        <x:v>0</x:v>
      </x:c>
      <x:c r="N437" s="87" t="n">
        <x:f>H437+K437+M437</x:f>
        <x:v>13584</x:v>
      </x:c>
      <x:c r="O437" s="87" t="n">
        <x:f>N437*'01 Base Costs'!$B$7+L437</x:f>
        <x:v>65339040000</x:v>
      </x:c>
      <x:c r="P437" s="87" t="n">
        <x:f>D437*E437</x:f>
        <x:v>48</x:v>
      </x:c>
      <x:c r="Q437" s="87" t="n">
        <x:f>P437*'01 Base Costs'!$B$12</x:f>
        <x:v>93312000</x:v>
      </x:c>
      <x:c r="R437" s="87" t="n">
        <x:f>0</x:f>
        <x:v>0</x:v>
      </x:c>
      <x:c r="S437" s="87" t="n">
        <x:f>Q437+R437</x:f>
        <x:v>93312000</x:v>
      </x:c>
      <x:c r="T437" s="141" t="n">
        <x:f>S437/'01 Base Costs'!$B$14</x:f>
        <x:v>186.624</x:v>
      </x:c>
      <x:c r="U437" s="87" t="n">
        <x:f>INT(T437)</x:f>
        <x:v>186</x:v>
      </x:c>
      <x:c r="V437" s="87" t="n">
        <x:f>S437-U437*'01 Base Costs'!$B$14</x:f>
        <x:v>312000</x:v>
      </x:c>
      <x:c r="W437" s="120" t="n">
        <x:f>'01 Base Costs'!$B$19/10</x:f>
        <x:v>119</x:v>
      </x:c>
      <x:c r="X437" s="120" t="n">
        <x:f>0</x:f>
        <x:v>0</x:v>
      </x:c>
      <x:c r="Y437" s="87" t="n">
        <x:f>T437*(W437*'01 Base Costs'!$B$7+X437)</x:f>
        <x:v>106821711360</x:v>
      </x:c>
      <x:c r="Z437" s="87" t="n">
        <x:f>T437*'01 Base Costs'!$B$8</x:f>
        <x:v>140509209600</x:v>
      </x:c>
      <x:c r="AA437" s="87" t="n">
        <x:f>Z437*'01 Base Costs'!$B$11</x:f>
        <x:v>7025460480</x:v>
      </x:c>
      <x:c r="AB437" s="87" t="n">
        <x:f>Z437-AA437</x:f>
        <x:v>133483749120</x:v>
      </x:c>
      <x:c r="AC437" s="87" t="n">
        <x:f>O437+Y437</x:f>
        <x:v>172160751360</x:v>
      </x:c>
      <x:c r="AD437" s="87" t="n">
        <x:f>AB437-AC437</x:f>
        <x:v>-38677002240</x:v>
      </x:c>
      <x:c r="AE437" s="87" t="n">
        <x:f>AD437/D437</x:f>
        <x:v>-1611541760</x:v>
      </x:c>
      <x:c r="AF437" s="87" t="n">
        <x:f>AD437/P437</x:f>
        <x:v>-805770880</x:v>
      </x:c>
      <x:c r="AG437" s="87" t="n">
        <x:f>IF(T437=0,0,AC437/T437/(1-'01 Base Costs'!$B$11))</x:f>
        <x:v>971053259.6924411</x:v>
      </x:c>
      <x:c r="AH437" s="88" t="str">
        <x:f>IF(AD437&gt;0,"PROFIT","LOSS")</x:f>
        <x:v>LOSS</x:v>
      </x:c>
      <x:c r="AI437" s="89" t="str">
        <x:v>Base 24M Omega. MCT sale 40% off. Base 10-pack average.</x:v>
      </x:c>
    </x:row>
    <x:row r="438">
      <x:c r="A438" s="86" t="n">
        <x:v>436</x:v>
      </x:c>
      <x:c r="B438" s="88" t="str">
        <x:v>Base</x:v>
      </x:c>
      <x:c r="C438" s="88" t="str">
        <x:v>24M Omega</x:v>
      </x:c>
      <x:c r="D438" s="88" t="n">
        <x:v>24</x:v>
      </x:c>
      <x:c r="E438" s="88" t="n">
        <x:v>2</x:v>
      </x:c>
      <x:c r="F438" s="88" t="str">
        <x:v>NES MCT 40% sale</x:v>
      </x:c>
      <x:c r="G438" s="88" t="str">
        <x:v>NES 50-pack extractor</x:v>
      </x:c>
      <x:c r="H438" s="87" t="n">
        <x:f>'01 Base Costs'!$B$25</x:f>
        <x:v>6600</x:v>
      </x:c>
      <x:c r="I438" s="87" t="n">
        <x:f>'01 Base Costs'!$B$16*0.6</x:f>
        <x:v>291</x:v>
      </x:c>
      <x:c r="J438" s="87" t="n">
        <x:f>0</x:f>
        <x:v>0</x:v>
      </x:c>
      <x:c r="K438" s="87" t="n">
        <x:f>D438*(E438-1)*I438</x:f>
        <x:v>6984</x:v>
      </x:c>
      <x:c r="L438" s="87" t="n">
        <x:f>D438*(E438-1)*J438</x:f>
        <x:v>0</x:v>
      </x:c>
      <x:c r="M438" s="87" t="n">
        <x:f>0</x:f>
        <x:v>0</x:v>
      </x:c>
      <x:c r="N438" s="87" t="n">
        <x:f>H438+K438+M438</x:f>
        <x:v>13584</x:v>
      </x:c>
      <x:c r="O438" s="87" t="n">
        <x:f>N438*'01 Base Costs'!$B$7+L438</x:f>
        <x:v>65339040000</x:v>
      </x:c>
      <x:c r="P438" s="87" t="n">
        <x:f>D438*E438</x:f>
        <x:v>48</x:v>
      </x:c>
      <x:c r="Q438" s="87" t="n">
        <x:f>P438*'01 Base Costs'!$B$12</x:f>
        <x:v>93312000</x:v>
      </x:c>
      <x:c r="R438" s="87" t="n">
        <x:f>0</x:f>
        <x:v>0</x:v>
      </x:c>
      <x:c r="S438" s="87" t="n">
        <x:f>Q438+R438</x:f>
        <x:v>93312000</x:v>
      </x:c>
      <x:c r="T438" s="141" t="n">
        <x:f>S438/'01 Base Costs'!$B$14</x:f>
        <x:v>186.624</x:v>
      </x:c>
      <x:c r="U438" s="87" t="n">
        <x:f>INT(T438)</x:f>
        <x:v>186</x:v>
      </x:c>
      <x:c r="V438" s="87" t="n">
        <x:f>S438-U438*'01 Base Costs'!$B$14</x:f>
        <x:v>312000</x:v>
      </x:c>
      <x:c r="W438" s="120" t="n">
        <x:f>'01 Base Costs'!$B$20/50</x:f>
        <x:v>112</x:v>
      </x:c>
      <x:c r="X438" s="120" t="n">
        <x:f>0</x:f>
        <x:v>0</x:v>
      </x:c>
      <x:c r="Y438" s="87" t="n">
        <x:f>T438*(W438*'01 Base Costs'!$B$7+X438)</x:f>
        <x:v>100538081280</x:v>
      </x:c>
      <x:c r="Z438" s="87" t="n">
        <x:f>T438*'01 Base Costs'!$B$8</x:f>
        <x:v>140509209600</x:v>
      </x:c>
      <x:c r="AA438" s="87" t="n">
        <x:f>Z438*'01 Base Costs'!$B$11</x:f>
        <x:v>7025460480</x:v>
      </x:c>
      <x:c r="AB438" s="87" t="n">
        <x:f>Z438-AA438</x:f>
        <x:v>133483749120</x:v>
      </x:c>
      <x:c r="AC438" s="87" t="n">
        <x:f>O438+Y438</x:f>
        <x:v>165877121280</x:v>
      </x:c>
      <x:c r="AD438" s="87" t="n">
        <x:f>AB438-AC438</x:f>
        <x:v>-32393372160</x:v>
      </x:c>
      <x:c r="AE438" s="87" t="n">
        <x:f>AD438/D438</x:f>
        <x:v>-1349723840</x:v>
      </x:c>
      <x:c r="AF438" s="87" t="n">
        <x:f>AD438/P438</x:f>
        <x:v>-674861920</x:v>
      </x:c>
      <x:c r="AG438" s="87" t="n">
        <x:f>IF(T438=0,0,AC438/T438/(1-'01 Base Costs'!$B$11))</x:f>
        <x:v>935611154.4292831</x:v>
      </x:c>
      <x:c r="AH438" s="88" t="str">
        <x:f>IF(AD438&gt;0,"PROFIT","LOSS")</x:f>
        <x:v>LOSS</x:v>
      </x:c>
      <x:c r="AI438" s="89" t="str">
        <x:v>Base 24M Omega. MCT sale 40% off. Base 50-pack average.</x:v>
      </x:c>
    </x:row>
    <x:row r="439">
      <x:c r="A439" s="86" t="n">
        <x:v>437</x:v>
      </x:c>
      <x:c r="B439" s="88" t="str">
        <x:v>Base</x:v>
      </x:c>
      <x:c r="C439" s="88" t="str">
        <x:v>24M Omega</x:v>
      </x:c>
      <x:c r="D439" s="88" t="n">
        <x:v>24</x:v>
      </x:c>
      <x:c r="E439" s="88" t="n">
        <x:v>2</x:v>
      </x:c>
      <x:c r="F439" s="88" t="str">
        <x:v>NES MCT 40% sale</x:v>
      </x:c>
      <x:c r="G439" s="88" t="str">
        <x:v>NES 3-for-2 extractor sale</x:v>
      </x:c>
      <x:c r="H439" s="87" t="n">
        <x:f>'01 Base Costs'!$B$25</x:f>
        <x:v>6600</x:v>
      </x:c>
      <x:c r="I439" s="87" t="n">
        <x:f>'01 Base Costs'!$B$16*0.6</x:f>
        <x:v>291</x:v>
      </x:c>
      <x:c r="J439" s="87" t="n">
        <x:f>0</x:f>
        <x:v>0</x:v>
      </x:c>
      <x:c r="K439" s="87" t="n">
        <x:f>D439*(E439-1)*I439</x:f>
        <x:v>6984</x:v>
      </x:c>
      <x:c r="L439" s="87" t="n">
        <x:f>D439*(E439-1)*J439</x:f>
        <x:v>0</x:v>
      </x:c>
      <x:c r="M439" s="87" t="n">
        <x:f>0</x:f>
        <x:v>0</x:v>
      </x:c>
      <x:c r="N439" s="87" t="n">
        <x:f>H439+K439+M439</x:f>
        <x:v>13584</x:v>
      </x:c>
      <x:c r="O439" s="87" t="n">
        <x:f>N439*'01 Base Costs'!$B$7+L439</x:f>
        <x:v>65339040000</x:v>
      </x:c>
      <x:c r="P439" s="87" t="n">
        <x:f>D439*E439</x:f>
        <x:v>48</x:v>
      </x:c>
      <x:c r="Q439" s="87" t="n">
        <x:f>P439*'01 Base Costs'!$B$12</x:f>
        <x:v>93312000</x:v>
      </x:c>
      <x:c r="R439" s="87" t="n">
        <x:f>0</x:f>
        <x:v>0</x:v>
      </x:c>
      <x:c r="S439" s="87" t="n">
        <x:f>Q439+R439</x:f>
        <x:v>93312000</x:v>
      </x:c>
      <x:c r="T439" s="141" t="n">
        <x:f>S439/'01 Base Costs'!$B$14</x:f>
        <x:v>186.624</x:v>
      </x:c>
      <x:c r="U439" s="87" t="n">
        <x:f>INT(T439)</x:f>
        <x:v>186</x:v>
      </x:c>
      <x:c r="V439" s="87" t="n">
        <x:f>S439-U439*'01 Base Costs'!$B$14</x:f>
        <x:v>312000</x:v>
      </x:c>
      <x:c r="W439" s="120" t="n">
        <x:f>'01 Base Costs'!$B$17*2/3</x:f>
        <x:v>93.33333333333333</x:v>
      </x:c>
      <x:c r="X439" s="120" t="n">
        <x:f>0</x:f>
        <x:v>0</x:v>
      </x:c>
      <x:c r="Y439" s="87" t="n">
        <x:f>T439*(W439*'01 Base Costs'!$B$7+X439)</x:f>
        <x:v>83781734400</x:v>
      </x:c>
      <x:c r="Z439" s="87" t="n">
        <x:f>T439*'01 Base Costs'!$B$8</x:f>
        <x:v>140509209600</x:v>
      </x:c>
      <x:c r="AA439" s="87" t="n">
        <x:f>Z439*'01 Base Costs'!$B$11</x:f>
        <x:v>7025460480</x:v>
      </x:c>
      <x:c r="AB439" s="87" t="n">
        <x:f>Z439-AA439</x:f>
        <x:v>133483749120</x:v>
      </x:c>
      <x:c r="AC439" s="87" t="n">
        <x:f>O439+Y439</x:f>
        <x:v>149120774400</x:v>
      </x:c>
      <x:c r="AD439" s="87" t="n">
        <x:f>AB439-AC439</x:f>
        <x:v>-15637025280</x:v>
      </x:c>
      <x:c r="AE439" s="87" t="n">
        <x:f>AD439/D439</x:f>
        <x:v>-651542720</x:v>
      </x:c>
      <x:c r="AF439" s="87" t="n">
        <x:f>AD439/P439</x:f>
        <x:v>-325771360</x:v>
      </x:c>
      <x:c r="AG439" s="87" t="n">
        <x:f>IF(T439=0,0,AC439/T439/(1-'01 Base Costs'!$B$11))</x:f>
        <x:v>841098873.7275287</x:v>
      </x:c>
      <x:c r="AH439" s="88" t="str">
        <x:f>IF(AD439&gt;0,"PROFIT","LOSS")</x:f>
        <x:v>LOSS</x:v>
      </x:c>
      <x:c r="AI439" s="89" t="str">
        <x:v>Base 24M Omega. MCT sale 40% off. Extractor 3-for-2 sale.</x:v>
      </x:c>
    </x:row>
    <x:row r="440">
      <x:c r="A440" s="86" t="n">
        <x:v>438</x:v>
      </x:c>
      <x:c r="B440" s="88" t="str">
        <x:v>Base</x:v>
      </x:c>
      <x:c r="C440" s="88" t="str">
        <x:v>24M Omega</x:v>
      </x:c>
      <x:c r="D440" s="88" t="n">
        <x:v>24</x:v>
      </x:c>
      <x:c r="E440" s="88" t="n">
        <x:v>2</x:v>
      </x:c>
      <x:c r="F440" s="88" t="str">
        <x:v>NES MCT 40% sale</x:v>
      </x:c>
      <x:c r="G440" s="88" t="str">
        <x:v>NES 2-for-1 extractor sale</x:v>
      </x:c>
      <x:c r="H440" s="87" t="n">
        <x:f>'01 Base Costs'!$B$25</x:f>
        <x:v>6600</x:v>
      </x:c>
      <x:c r="I440" s="87" t="n">
        <x:f>'01 Base Costs'!$B$16*0.6</x:f>
        <x:v>291</x:v>
      </x:c>
      <x:c r="J440" s="87" t="n">
        <x:f>0</x:f>
        <x:v>0</x:v>
      </x:c>
      <x:c r="K440" s="87" t="n">
        <x:f>D440*(E440-1)*I440</x:f>
        <x:v>6984</x:v>
      </x:c>
      <x:c r="L440" s="87" t="n">
        <x:f>D440*(E440-1)*J440</x:f>
        <x:v>0</x:v>
      </x:c>
      <x:c r="M440" s="87" t="n">
        <x:f>0</x:f>
        <x:v>0</x:v>
      </x:c>
      <x:c r="N440" s="87" t="n">
        <x:f>H440+K440+M440</x:f>
        <x:v>13584</x:v>
      </x:c>
      <x:c r="O440" s="87" t="n">
        <x:f>N440*'01 Base Costs'!$B$7+L440</x:f>
        <x:v>65339040000</x:v>
      </x:c>
      <x:c r="P440" s="87" t="n">
        <x:f>D440*E440</x:f>
        <x:v>48</x:v>
      </x:c>
      <x:c r="Q440" s="87" t="n">
        <x:f>P440*'01 Base Costs'!$B$12</x:f>
        <x:v>93312000</x:v>
      </x:c>
      <x:c r="R440" s="87" t="n">
        <x:f>0</x:f>
        <x:v>0</x:v>
      </x:c>
      <x:c r="S440" s="87" t="n">
        <x:f>Q440+R440</x:f>
        <x:v>93312000</x:v>
      </x:c>
      <x:c r="T440" s="141" t="n">
        <x:f>S440/'01 Base Costs'!$B$14</x:f>
        <x:v>186.624</x:v>
      </x:c>
      <x:c r="U440" s="87" t="n">
        <x:f>INT(T440)</x:f>
        <x:v>186</x:v>
      </x:c>
      <x:c r="V440" s="87" t="n">
        <x:f>S440-U440*'01 Base Costs'!$B$14</x:f>
        <x:v>312000</x:v>
      </x:c>
      <x:c r="W440" s="120" t="n">
        <x:f>'01 Base Costs'!$B$17/2</x:f>
        <x:v>70</x:v>
      </x:c>
      <x:c r="X440" s="120" t="n">
        <x:f>0</x:f>
        <x:v>0</x:v>
      </x:c>
      <x:c r="Y440" s="87" t="n">
        <x:f>T440*(W440*'01 Base Costs'!$B$7+X440)</x:f>
        <x:v>62836300800</x:v>
      </x:c>
      <x:c r="Z440" s="87" t="n">
        <x:f>T440*'01 Base Costs'!$B$8</x:f>
        <x:v>140509209600</x:v>
      </x:c>
      <x:c r="AA440" s="87" t="n">
        <x:f>Z440*'01 Base Costs'!$B$11</x:f>
        <x:v>7025460480</x:v>
      </x:c>
      <x:c r="AB440" s="87" t="n">
        <x:f>Z440-AA440</x:f>
        <x:v>133483749120</x:v>
      </x:c>
      <x:c r="AC440" s="87" t="n">
        <x:f>O440+Y440</x:f>
        <x:v>128175340800</x:v>
      </x:c>
      <x:c r="AD440" s="87" t="n">
        <x:f>AB440-AC440</x:f>
        <x:v>5308408320</x:v>
      </x:c>
      <x:c r="AE440" s="87" t="n">
        <x:f>AD440/D440</x:f>
        <x:v>221183680</x:v>
      </x:c>
      <x:c r="AF440" s="87" t="n">
        <x:f>AD440/P440</x:f>
        <x:v>110591840</x:v>
      </x:c>
      <x:c r="AG440" s="87" t="n">
        <x:f>IF(T440=0,0,AC440/T440/(1-'01 Base Costs'!$B$11))</x:f>
        <x:v>722958522.8503358</x:v>
      </x:c>
      <x:c r="AH440" s="88" t="str">
        <x:f>IF(AD440&gt;0,"PROFIT","LOSS")</x:f>
        <x:v>PROFIT</x:v>
      </x:c>
      <x:c r="AI440" s="89" t="str">
        <x:v>Base 24M Omega. MCT sale 40% off. Extractor 2-for-1 sale.</x:v>
      </x:c>
    </x:row>
    <x:row r="441">
      <x:c r="A441" s="86" t="n">
        <x:v>439</x:v>
      </x:c>
      <x:c r="B441" s="88" t="str">
        <x:v>Base</x:v>
      </x:c>
      <x:c r="C441" s="88" t="str">
        <x:v>24M Omega</x:v>
      </x:c>
      <x:c r="D441" s="88" t="n">
        <x:v>24</x:v>
      </x:c>
      <x:c r="E441" s="88" t="n">
        <x:v>2</x:v>
      </x:c>
      <x:c r="F441" s="88" t="str">
        <x:v>NES MCT 40% sale</x:v>
      </x:c>
      <x:c r="G441" s="88" t="str">
        <x:v>NES 10-pack extractor 20% sale</x:v>
      </x:c>
      <x:c r="H441" s="87" t="n">
        <x:f>'01 Base Costs'!$B$25</x:f>
        <x:v>6600</x:v>
      </x:c>
      <x:c r="I441" s="87" t="n">
        <x:f>'01 Base Costs'!$B$16*0.6</x:f>
        <x:v>291</x:v>
      </x:c>
      <x:c r="J441" s="87" t="n">
        <x:f>0</x:f>
        <x:v>0</x:v>
      </x:c>
      <x:c r="K441" s="87" t="n">
        <x:f>D441*(E441-1)*I441</x:f>
        <x:v>6984</x:v>
      </x:c>
      <x:c r="L441" s="87" t="n">
        <x:f>D441*(E441-1)*J441</x:f>
        <x:v>0</x:v>
      </x:c>
      <x:c r="M441" s="87" t="n">
        <x:f>0</x:f>
        <x:v>0</x:v>
      </x:c>
      <x:c r="N441" s="87" t="n">
        <x:f>H441+K441+M441</x:f>
        <x:v>13584</x:v>
      </x:c>
      <x:c r="O441" s="87" t="n">
        <x:f>N441*'01 Base Costs'!$B$7+L441</x:f>
        <x:v>65339040000</x:v>
      </x:c>
      <x:c r="P441" s="87" t="n">
        <x:f>D441*E441</x:f>
        <x:v>48</x:v>
      </x:c>
      <x:c r="Q441" s="87" t="n">
        <x:f>P441*'01 Base Costs'!$B$12</x:f>
        <x:v>93312000</x:v>
      </x:c>
      <x:c r="R441" s="87" t="n">
        <x:f>0</x:f>
        <x:v>0</x:v>
      </x:c>
      <x:c r="S441" s="87" t="n">
        <x:f>Q441+R441</x:f>
        <x:v>93312000</x:v>
      </x:c>
      <x:c r="T441" s="141" t="n">
        <x:f>S441/'01 Base Costs'!$B$14</x:f>
        <x:v>186.624</x:v>
      </x:c>
      <x:c r="U441" s="87" t="n">
        <x:f>INT(T441)</x:f>
        <x:v>186</x:v>
      </x:c>
      <x:c r="V441" s="87" t="n">
        <x:f>S441-U441*'01 Base Costs'!$B$14</x:f>
        <x:v>312000</x:v>
      </x:c>
      <x:c r="W441" s="120" t="n">
        <x:f>'01 Base Costs'!$B$19*0.8/10</x:f>
        <x:v>95.2</x:v>
      </x:c>
      <x:c r="X441" s="120" t="n">
        <x:f>0</x:f>
        <x:v>0</x:v>
      </x:c>
      <x:c r="Y441" s="87" t="n">
        <x:f>T441*(W441*'01 Base Costs'!$B$7+X441)</x:f>
        <x:v>85457369088</x:v>
      </x:c>
      <x:c r="Z441" s="87" t="n">
        <x:f>T441*'01 Base Costs'!$B$8</x:f>
        <x:v>140509209600</x:v>
      </x:c>
      <x:c r="AA441" s="87" t="n">
        <x:f>Z441*'01 Base Costs'!$B$11</x:f>
        <x:v>7025460480</x:v>
      </x:c>
      <x:c r="AB441" s="87" t="n">
        <x:f>Z441-AA441</x:f>
        <x:v>133483749120</x:v>
      </x:c>
      <x:c r="AC441" s="87" t="n">
        <x:f>O441+Y441</x:f>
        <x:v>150796409088</x:v>
      </x:c>
      <x:c r="AD441" s="87" t="n">
        <x:f>AB441-AC441</x:f>
        <x:v>-17312659968</x:v>
      </x:c>
      <x:c r="AE441" s="87" t="n">
        <x:f>AD441/D441</x:f>
        <x:v>-721360832</x:v>
      </x:c>
      <x:c r="AF441" s="87" t="n">
        <x:f>AD441/P441</x:f>
        <x:v>-360680416</x:v>
      </x:c>
      <x:c r="AG441" s="87" t="n">
        <x:f>IF(T441=0,0,AC441/T441/(1-'01 Base Costs'!$B$11))</x:f>
        <x:v>850550101.7977042</x:v>
      </x:c>
      <x:c r="AH441" s="88" t="str">
        <x:f>IF(AD441&gt;0,"PROFIT","LOSS")</x:f>
        <x:v>LOSS</x:v>
      </x:c>
      <x:c r="AI441" s="89" t="str">
        <x:v>Base 24M Omega. MCT sale 40% off. 10-pack at 20% off.</x:v>
      </x:c>
    </x:row>
    <x:row r="442">
      <x:c r="A442" s="86" t="n">
        <x:v>440</x:v>
      </x:c>
      <x:c r="B442" s="88" t="str">
        <x:v>Base</x:v>
      </x:c>
      <x:c r="C442" s="88" t="str">
        <x:v>24M Omega</x:v>
      </x:c>
      <x:c r="D442" s="88" t="n">
        <x:v>24</x:v>
      </x:c>
      <x:c r="E442" s="88" t="n">
        <x:v>2</x:v>
      </x:c>
      <x:c r="F442" s="88" t="str">
        <x:v>NES MCT 40% sale</x:v>
      </x:c>
      <x:c r="G442" s="88" t="str">
        <x:v>NES 50-pack extractor 20% sale</x:v>
      </x:c>
      <x:c r="H442" s="87" t="n">
        <x:f>'01 Base Costs'!$B$25</x:f>
        <x:v>6600</x:v>
      </x:c>
      <x:c r="I442" s="87" t="n">
        <x:f>'01 Base Costs'!$B$16*0.6</x:f>
        <x:v>291</x:v>
      </x:c>
      <x:c r="J442" s="87" t="n">
        <x:f>0</x:f>
        <x:v>0</x:v>
      </x:c>
      <x:c r="K442" s="87" t="n">
        <x:f>D442*(E442-1)*I442</x:f>
        <x:v>6984</x:v>
      </x:c>
      <x:c r="L442" s="87" t="n">
        <x:f>D442*(E442-1)*J442</x:f>
        <x:v>0</x:v>
      </x:c>
      <x:c r="M442" s="87" t="n">
        <x:f>0</x:f>
        <x:v>0</x:v>
      </x:c>
      <x:c r="N442" s="87" t="n">
        <x:f>H442+K442+M442</x:f>
        <x:v>13584</x:v>
      </x:c>
      <x:c r="O442" s="87" t="n">
        <x:f>N442*'01 Base Costs'!$B$7+L442</x:f>
        <x:v>65339040000</x:v>
      </x:c>
      <x:c r="P442" s="87" t="n">
        <x:f>D442*E442</x:f>
        <x:v>48</x:v>
      </x:c>
      <x:c r="Q442" s="87" t="n">
        <x:f>P442*'01 Base Costs'!$B$12</x:f>
        <x:v>93312000</x:v>
      </x:c>
      <x:c r="R442" s="87" t="n">
        <x:f>0</x:f>
        <x:v>0</x:v>
      </x:c>
      <x:c r="S442" s="87" t="n">
        <x:f>Q442+R442</x:f>
        <x:v>93312000</x:v>
      </x:c>
      <x:c r="T442" s="141" t="n">
        <x:f>S442/'01 Base Costs'!$B$14</x:f>
        <x:v>186.624</x:v>
      </x:c>
      <x:c r="U442" s="87" t="n">
        <x:f>INT(T442)</x:f>
        <x:v>186</x:v>
      </x:c>
      <x:c r="V442" s="87" t="n">
        <x:f>S442-U442*'01 Base Costs'!$B$14</x:f>
        <x:v>312000</x:v>
      </x:c>
      <x:c r="W442" s="120" t="n">
        <x:f>'01 Base Costs'!$B$20*0.8/50</x:f>
        <x:v>89.6</x:v>
      </x:c>
      <x:c r="X442" s="120" t="n">
        <x:f>0</x:f>
        <x:v>0</x:v>
      </x:c>
      <x:c r="Y442" s="87" t="n">
        <x:f>T442*(W442*'01 Base Costs'!$B$7+X442)</x:f>
        <x:v>80430465024</x:v>
      </x:c>
      <x:c r="Z442" s="87" t="n">
        <x:f>T442*'01 Base Costs'!$B$8</x:f>
        <x:v>140509209600</x:v>
      </x:c>
      <x:c r="AA442" s="87" t="n">
        <x:f>Z442*'01 Base Costs'!$B$11</x:f>
        <x:v>7025460480</x:v>
      </x:c>
      <x:c r="AB442" s="87" t="n">
        <x:f>Z442-AA442</x:f>
        <x:v>133483749120</x:v>
      </x:c>
      <x:c r="AC442" s="87" t="n">
        <x:f>O442+Y442</x:f>
        <x:v>145769505024</x:v>
      </x:c>
      <x:c r="AD442" s="87" t="n">
        <x:f>AB442-AC442</x:f>
        <x:v>-12285755904</x:v>
      </x:c>
      <x:c r="AE442" s="87" t="n">
        <x:f>AD442/D442</x:f>
        <x:v>-511906496</x:v>
      </x:c>
      <x:c r="AF442" s="87" t="n">
        <x:f>AD442/P442</x:f>
        <x:v>-255953248</x:v>
      </x:c>
      <x:c r="AG442" s="87" t="n">
        <x:f>IF(T442=0,0,AC442/T442/(1-'01 Base Costs'!$B$11))</x:f>
        <x:v>822196417.5871779</x:v>
      </x:c>
      <x:c r="AH442" s="88" t="str">
        <x:f>IF(AD442&gt;0,"PROFIT","LOSS")</x:f>
        <x:v>LOSS</x:v>
      </x:c>
      <x:c r="AI442" s="89" t="str">
        <x:v>Base 24M Omega. MCT sale 40% off. 50-pack at 20% off.</x:v>
      </x:c>
    </x:row>
    <x:row r="443">
      <x:c r="A443" s="86" t="n">
        <x:v>441</x:v>
      </x:c>
      <x:c r="B443" s="88" t="str">
        <x:v>Base</x:v>
      </x:c>
      <x:c r="C443" s="88" t="str">
        <x:v>24M Omega</x:v>
      </x:c>
      <x:c r="D443" s="88" t="n">
        <x:v>24</x:v>
      </x:c>
      <x:c r="E443" s="88" t="n">
        <x:v>2</x:v>
      </x:c>
      <x:c r="F443" s="88" t="str">
        <x:v>NES MCT 40% sale</x:v>
      </x:c>
      <x:c r="G443" s="88" t="str">
        <x:v>Market Skill Extractor</x:v>
      </x:c>
      <x:c r="H443" s="87" t="n">
        <x:f>'01 Base Costs'!$B$25</x:f>
        <x:v>6600</x:v>
      </x:c>
      <x:c r="I443" s="87" t="n">
        <x:f>'01 Base Costs'!$B$16*0.6</x:f>
        <x:v>291</x:v>
      </x:c>
      <x:c r="J443" s="87" t="n">
        <x:f>0</x:f>
        <x:v>0</x:v>
      </x:c>
      <x:c r="K443" s="87" t="n">
        <x:f>D443*(E443-1)*I443</x:f>
        <x:v>6984</x:v>
      </x:c>
      <x:c r="L443" s="87" t="n">
        <x:f>D443*(E443-1)*J443</x:f>
        <x:v>0</x:v>
      </x:c>
      <x:c r="M443" s="87" t="n">
        <x:f>0</x:f>
        <x:v>0</x:v>
      </x:c>
      <x:c r="N443" s="87" t="n">
        <x:f>H443+K443+M443</x:f>
        <x:v>13584</x:v>
      </x:c>
      <x:c r="O443" s="87" t="n">
        <x:f>N443*'01 Base Costs'!$B$7+L443</x:f>
        <x:v>65339040000</x:v>
      </x:c>
      <x:c r="P443" s="87" t="n">
        <x:f>D443*E443</x:f>
        <x:v>48</x:v>
      </x:c>
      <x:c r="Q443" s="87" t="n">
        <x:f>P443*'01 Base Costs'!$B$12</x:f>
        <x:v>93312000</x:v>
      </x:c>
      <x:c r="R443" s="87" t="n">
        <x:f>0</x:f>
        <x:v>0</x:v>
      </x:c>
      <x:c r="S443" s="87" t="n">
        <x:f>Q443+R443</x:f>
        <x:v>93312000</x:v>
      </x:c>
      <x:c r="T443" s="141" t="n">
        <x:f>S443/'01 Base Costs'!$B$14</x:f>
        <x:v>186.624</x:v>
      </x:c>
      <x:c r="U443" s="87" t="n">
        <x:f>INT(T443)</x:f>
        <x:v>186</x:v>
      </x:c>
      <x:c r="V443" s="87" t="n">
        <x:f>S443-U443*'01 Base Costs'!$B$14</x:f>
        <x:v>312000</x:v>
      </x:c>
      <x:c r="W443" s="120" t="n">
        <x:f>0</x:f>
        <x:v>0</x:v>
      </x:c>
      <x:c r="X443" s="120" t="n">
        <x:f>'01 Base Costs'!$B$9</x:f>
        <x:v>463500000</x:v>
      </x:c>
      <x:c r="Y443" s="87" t="n">
        <x:f>T443*(W443*'01 Base Costs'!$B$7+X443)</x:f>
        <x:v>86500224000</x:v>
      </x:c>
      <x:c r="Z443" s="87" t="n">
        <x:f>T443*'01 Base Costs'!$B$8</x:f>
        <x:v>140509209600</x:v>
      </x:c>
      <x:c r="AA443" s="87" t="n">
        <x:f>Z443*'01 Base Costs'!$B$11</x:f>
        <x:v>7025460480</x:v>
      </x:c>
      <x:c r="AB443" s="87" t="n">
        <x:f>Z443-AA443</x:f>
        <x:v>133483749120</x:v>
      </x:c>
      <x:c r="AC443" s="87" t="n">
        <x:f>O443+Y443</x:f>
        <x:v>151839264000</x:v>
      </x:c>
      <x:c r="AD443" s="87" t="n">
        <x:f>AB443-AC443</x:f>
        <x:v>-18355514880</x:v>
      </x:c>
      <x:c r="AE443" s="87" t="n">
        <x:f>AD443/D443</x:f>
        <x:v>-764813120</x:v>
      </x:c>
      <x:c r="AF443" s="87" t="n">
        <x:f>AD443/P443</x:f>
        <x:v>-382406560</x:v>
      </x:c>
      <x:c r="AG443" s="87" t="n">
        <x:f>IF(T443=0,0,AC443/T443/(1-'01 Base Costs'!$B$11))</x:f>
        <x:v>856432207.0608622</x:v>
      </x:c>
      <x:c r="AH443" s="88" t="str">
        <x:f>IF(AD443&gt;0,"PROFIT","LOSS")</x:f>
        <x:v>LOSS</x:v>
      </x:c>
      <x:c r="AI443" s="89" t="str">
        <x:v>Base 24M Omega. MCT sale 40% off. Extractor bought on market with ISK.</x:v>
      </x:c>
    </x:row>
    <x:row r="444">
      <x:c r="A444" s="86" t="n">
        <x:v>442</x:v>
      </x:c>
      <x:c r="B444" s="88" t="str">
        <x:v>Base</x:v>
      </x:c>
      <x:c r="C444" s="88" t="str">
        <x:v>24M Omega</x:v>
      </x:c>
      <x:c r="D444" s="88" t="n">
        <x:v>24</x:v>
      </x:c>
      <x:c r="E444" s="88" t="n">
        <x:v>2</x:v>
      </x:c>
      <x:c r="F444" s="88" t="str">
        <x:v>Market MCT certificate</x:v>
      </x:c>
      <x:c r="G444" s="88" t="str">
        <x:v>NES single extractor</x:v>
      </x:c>
      <x:c r="H444" s="87" t="n">
        <x:f>'01 Base Costs'!$B$25</x:f>
        <x:v>6600</x:v>
      </x:c>
      <x:c r="I444" s="87" t="n">
        <x:f>0</x:f>
        <x:v>0</x:v>
      </x:c>
      <x:c r="J444" s="87" t="n">
        <x:f>'01 Base Costs'!$B$10</x:f>
        <x:v>2332850000</x:v>
      </x:c>
      <x:c r="K444" s="87" t="n">
        <x:f>D444*(E444-1)*I444</x:f>
        <x:v>0</x:v>
      </x:c>
      <x:c r="L444" s="87" t="n">
        <x:f>D444*(E444-1)*J444</x:f>
        <x:v>55988400000</x:v>
      </x:c>
      <x:c r="M444" s="87" t="n">
        <x:f>0</x:f>
        <x:v>0</x:v>
      </x:c>
      <x:c r="N444" s="87" t="n">
        <x:f>H444+K444+M444</x:f>
        <x:v>6600</x:v>
      </x:c>
      <x:c r="O444" s="87" t="n">
        <x:f>N444*'01 Base Costs'!$B$7+L444</x:f>
        <x:v>87734400000</x:v>
      </x:c>
      <x:c r="P444" s="87" t="n">
        <x:f>D444*E444</x:f>
        <x:v>48</x:v>
      </x:c>
      <x:c r="Q444" s="87" t="n">
        <x:f>P444*'01 Base Costs'!$B$12</x:f>
        <x:v>93312000</x:v>
      </x:c>
      <x:c r="R444" s="87" t="n">
        <x:f>0</x:f>
        <x:v>0</x:v>
      </x:c>
      <x:c r="S444" s="87" t="n">
        <x:f>Q444+R444</x:f>
        <x:v>93312000</x:v>
      </x:c>
      <x:c r="T444" s="141" t="n">
        <x:f>S444/'01 Base Costs'!$B$14</x:f>
        <x:v>186.624</x:v>
      </x:c>
      <x:c r="U444" s="87" t="n">
        <x:f>INT(T444)</x:f>
        <x:v>186</x:v>
      </x:c>
      <x:c r="V444" s="87" t="n">
        <x:f>S444-U444*'01 Base Costs'!$B$14</x:f>
        <x:v>312000</x:v>
      </x:c>
      <x:c r="W444" s="120" t="n">
        <x:f>'01 Base Costs'!$B$17</x:f>
        <x:v>140</x:v>
      </x:c>
      <x:c r="X444" s="120" t="n">
        <x:f>0</x:f>
        <x:v>0</x:v>
      </x:c>
      <x:c r="Y444" s="87" t="n">
        <x:f>T444*(W444*'01 Base Costs'!$B$7+X444)</x:f>
        <x:v>125672601600</x:v>
      </x:c>
      <x:c r="Z444" s="87" t="n">
        <x:f>T444*'01 Base Costs'!$B$8</x:f>
        <x:v>140509209600</x:v>
      </x:c>
      <x:c r="AA444" s="87" t="n">
        <x:f>Z444*'01 Base Costs'!$B$11</x:f>
        <x:v>7025460480</x:v>
      </x:c>
      <x:c r="AB444" s="87" t="n">
        <x:f>Z444-AA444</x:f>
        <x:v>133483749120</x:v>
      </x:c>
      <x:c r="AC444" s="87" t="n">
        <x:f>O444+Y444</x:f>
        <x:v>213407001600</x:v>
      </x:c>
      <x:c r="AD444" s="87" t="n">
        <x:f>AB444-AC444</x:f>
        <x:v>-79923252480</x:v>
      </x:c>
      <x:c r="AE444" s="87" t="n">
        <x:f>AD444/D444</x:f>
        <x:v>-3330135520</x:v>
      </x:c>
      <x:c r="AF444" s="87" t="n">
        <x:f>AD444/P444</x:f>
        <x:v>-1665067760</x:v>
      </x:c>
      <x:c r="AG444" s="87" t="n">
        <x:f>IF(T444=0,0,AC444/T444/(1-'01 Base Costs'!$B$11))</x:f>
        <x:v>1203698072.3413472</x:v>
      </x:c>
      <x:c r="AH444" s="88" t="str">
        <x:f>IF(AD444&gt;0,"PROFIT","LOSS")</x:f>
        <x:v>LOSS</x:v>
      </x:c>
      <x:c r="AI444" s="89" t="str">
        <x:v>Base 24M Omega. MCT certificate bought with ISK market price. Base single extractor.</x:v>
      </x:c>
    </x:row>
    <x:row r="445">
      <x:c r="A445" s="86" t="n">
        <x:v>443</x:v>
      </x:c>
      <x:c r="B445" s="88" t="str">
        <x:v>Base</x:v>
      </x:c>
      <x:c r="C445" s="88" t="str">
        <x:v>24M Omega</x:v>
      </x:c>
      <x:c r="D445" s="88" t="n">
        <x:v>24</x:v>
      </x:c>
      <x:c r="E445" s="88" t="n">
        <x:v>2</x:v>
      </x:c>
      <x:c r="F445" s="88" t="str">
        <x:v>Market MCT certificate</x:v>
      </x:c>
      <x:c r="G445" s="88" t="str">
        <x:v>NES 5-pack extractor</x:v>
      </x:c>
      <x:c r="H445" s="87" t="n">
        <x:f>'01 Base Costs'!$B$25</x:f>
        <x:v>6600</x:v>
      </x:c>
      <x:c r="I445" s="87" t="n">
        <x:f>0</x:f>
        <x:v>0</x:v>
      </x:c>
      <x:c r="J445" s="87" t="n">
        <x:f>'01 Base Costs'!$B$10</x:f>
        <x:v>2332850000</x:v>
      </x:c>
      <x:c r="K445" s="87" t="n">
        <x:f>D445*(E445-1)*I445</x:f>
        <x:v>0</x:v>
      </x:c>
      <x:c r="L445" s="87" t="n">
        <x:f>D445*(E445-1)*J445</x:f>
        <x:v>55988400000</x:v>
      </x:c>
      <x:c r="M445" s="87" t="n">
        <x:f>0</x:f>
        <x:v>0</x:v>
      </x:c>
      <x:c r="N445" s="87" t="n">
        <x:f>H445+K445+M445</x:f>
        <x:v>6600</x:v>
      </x:c>
      <x:c r="O445" s="87" t="n">
        <x:f>N445*'01 Base Costs'!$B$7+L445</x:f>
        <x:v>87734400000</x:v>
      </x:c>
      <x:c r="P445" s="87" t="n">
        <x:f>D445*E445</x:f>
        <x:v>48</x:v>
      </x:c>
      <x:c r="Q445" s="87" t="n">
        <x:f>P445*'01 Base Costs'!$B$12</x:f>
        <x:v>93312000</x:v>
      </x:c>
      <x:c r="R445" s="87" t="n">
        <x:f>0</x:f>
        <x:v>0</x:v>
      </x:c>
      <x:c r="S445" s="87" t="n">
        <x:f>Q445+R445</x:f>
        <x:v>93312000</x:v>
      </x:c>
      <x:c r="T445" s="141" t="n">
        <x:f>S445/'01 Base Costs'!$B$14</x:f>
        <x:v>186.624</x:v>
      </x:c>
      <x:c r="U445" s="87" t="n">
        <x:f>INT(T445)</x:f>
        <x:v>186</x:v>
      </x:c>
      <x:c r="V445" s="87" t="n">
        <x:f>S445-U445*'01 Base Costs'!$B$14</x:f>
        <x:v>312000</x:v>
      </x:c>
      <x:c r="W445" s="120" t="n">
        <x:f>'01 Base Costs'!$B$18/5</x:f>
        <x:v>126</x:v>
      </x:c>
      <x:c r="X445" s="120" t="n">
        <x:f>0</x:f>
        <x:v>0</x:v>
      </x:c>
      <x:c r="Y445" s="87" t="n">
        <x:f>T445*(W445*'01 Base Costs'!$B$7+X445)</x:f>
        <x:v>113105341440</x:v>
      </x:c>
      <x:c r="Z445" s="87" t="n">
        <x:f>T445*'01 Base Costs'!$B$8</x:f>
        <x:v>140509209600</x:v>
      </x:c>
      <x:c r="AA445" s="87" t="n">
        <x:f>Z445*'01 Base Costs'!$B$11</x:f>
        <x:v>7025460480</x:v>
      </x:c>
      <x:c r="AB445" s="87" t="n">
        <x:f>Z445-AA445</x:f>
        <x:v>133483749120</x:v>
      </x:c>
      <x:c r="AC445" s="87" t="n">
        <x:f>O445+Y445</x:f>
        <x:v>200839741440</x:v>
      </x:c>
      <x:c r="AD445" s="87" t="n">
        <x:f>AB445-AC445</x:f>
        <x:v>-67355992320</x:v>
      </x:c>
      <x:c r="AE445" s="87" t="n">
        <x:f>AD445/D445</x:f>
        <x:v>-2806499680</x:v>
      </x:c>
      <x:c r="AF445" s="87" t="n">
        <x:f>AD445/P445</x:f>
        <x:v>-1403249840</x:v>
      </x:c>
      <x:c r="AG445" s="87" t="n">
        <x:f>IF(T445=0,0,AC445/T445/(1-'01 Base Costs'!$B$11))</x:f>
        <x:v>1132813861.8150315</x:v>
      </x:c>
      <x:c r="AH445" s="88" t="str">
        <x:f>IF(AD445&gt;0,"PROFIT","LOSS")</x:f>
        <x:v>LOSS</x:v>
      </x:c>
      <x:c r="AI445" s="89" t="str">
        <x:v>Base 24M Omega. MCT certificate bought with ISK market price. Base 5-pack average.</x:v>
      </x:c>
    </x:row>
    <x:row r="446">
      <x:c r="A446" s="86" t="n">
        <x:v>444</x:v>
      </x:c>
      <x:c r="B446" s="88" t="str">
        <x:v>Base</x:v>
      </x:c>
      <x:c r="C446" s="88" t="str">
        <x:v>24M Omega</x:v>
      </x:c>
      <x:c r="D446" s="88" t="n">
        <x:v>24</x:v>
      </x:c>
      <x:c r="E446" s="88" t="n">
        <x:v>2</x:v>
      </x:c>
      <x:c r="F446" s="88" t="str">
        <x:v>Market MCT certificate</x:v>
      </x:c>
      <x:c r="G446" s="88" t="str">
        <x:v>NES 10-pack extractor</x:v>
      </x:c>
      <x:c r="H446" s="87" t="n">
        <x:f>'01 Base Costs'!$B$25</x:f>
        <x:v>6600</x:v>
      </x:c>
      <x:c r="I446" s="87" t="n">
        <x:f>0</x:f>
        <x:v>0</x:v>
      </x:c>
      <x:c r="J446" s="87" t="n">
        <x:f>'01 Base Costs'!$B$10</x:f>
        <x:v>2332850000</x:v>
      </x:c>
      <x:c r="K446" s="87" t="n">
        <x:f>D446*(E446-1)*I446</x:f>
        <x:v>0</x:v>
      </x:c>
      <x:c r="L446" s="87" t="n">
        <x:f>D446*(E446-1)*J446</x:f>
        <x:v>55988400000</x:v>
      </x:c>
      <x:c r="M446" s="87" t="n">
        <x:f>0</x:f>
        <x:v>0</x:v>
      </x:c>
      <x:c r="N446" s="87" t="n">
        <x:f>H446+K446+M446</x:f>
        <x:v>6600</x:v>
      </x:c>
      <x:c r="O446" s="87" t="n">
        <x:f>N446*'01 Base Costs'!$B$7+L446</x:f>
        <x:v>87734400000</x:v>
      </x:c>
      <x:c r="P446" s="87" t="n">
        <x:f>D446*E446</x:f>
        <x:v>48</x:v>
      </x:c>
      <x:c r="Q446" s="87" t="n">
        <x:f>P446*'01 Base Costs'!$B$12</x:f>
        <x:v>93312000</x:v>
      </x:c>
      <x:c r="R446" s="87" t="n">
        <x:f>0</x:f>
        <x:v>0</x:v>
      </x:c>
      <x:c r="S446" s="87" t="n">
        <x:f>Q446+R446</x:f>
        <x:v>93312000</x:v>
      </x:c>
      <x:c r="T446" s="141" t="n">
        <x:f>S446/'01 Base Costs'!$B$14</x:f>
        <x:v>186.624</x:v>
      </x:c>
      <x:c r="U446" s="87" t="n">
        <x:f>INT(T446)</x:f>
        <x:v>186</x:v>
      </x:c>
      <x:c r="V446" s="87" t="n">
        <x:f>S446-U446*'01 Base Costs'!$B$14</x:f>
        <x:v>312000</x:v>
      </x:c>
      <x:c r="W446" s="120" t="n">
        <x:f>'01 Base Costs'!$B$19/10</x:f>
        <x:v>119</x:v>
      </x:c>
      <x:c r="X446" s="120" t="n">
        <x:f>0</x:f>
        <x:v>0</x:v>
      </x:c>
      <x:c r="Y446" s="87" t="n">
        <x:f>T446*(W446*'01 Base Costs'!$B$7+X446)</x:f>
        <x:v>106821711360</x:v>
      </x:c>
      <x:c r="Z446" s="87" t="n">
        <x:f>T446*'01 Base Costs'!$B$8</x:f>
        <x:v>140509209600</x:v>
      </x:c>
      <x:c r="AA446" s="87" t="n">
        <x:f>Z446*'01 Base Costs'!$B$11</x:f>
        <x:v>7025460480</x:v>
      </x:c>
      <x:c r="AB446" s="87" t="n">
        <x:f>Z446-AA446</x:f>
        <x:v>133483749120</x:v>
      </x:c>
      <x:c r="AC446" s="87" t="n">
        <x:f>O446+Y446</x:f>
        <x:v>194556111360</x:v>
      </x:c>
      <x:c r="AD446" s="87" t="n">
        <x:f>AB446-AC446</x:f>
        <x:v>-61072362240</x:v>
      </x:c>
      <x:c r="AE446" s="87" t="n">
        <x:f>AD446/D446</x:f>
        <x:v>-2544681760</x:v>
      </x:c>
      <x:c r="AF446" s="87" t="n">
        <x:f>AD446/P446</x:f>
        <x:v>-1272340880</x:v>
      </x:c>
      <x:c r="AG446" s="87" t="n">
        <x:f>IF(T446=0,0,AC446/T446/(1-'01 Base Costs'!$B$11))</x:f>
        <x:v>1097371756.5518737</x:v>
      </x:c>
      <x:c r="AH446" s="88" t="str">
        <x:f>IF(AD446&gt;0,"PROFIT","LOSS")</x:f>
        <x:v>LOSS</x:v>
      </x:c>
      <x:c r="AI446" s="89" t="str">
        <x:v>Base 24M Omega. MCT certificate bought with ISK market price. Base 10-pack average.</x:v>
      </x:c>
    </x:row>
    <x:row r="447">
      <x:c r="A447" s="86" t="n">
        <x:v>445</x:v>
      </x:c>
      <x:c r="B447" s="88" t="str">
        <x:v>Base</x:v>
      </x:c>
      <x:c r="C447" s="88" t="str">
        <x:v>24M Omega</x:v>
      </x:c>
      <x:c r="D447" s="88" t="n">
        <x:v>24</x:v>
      </x:c>
      <x:c r="E447" s="88" t="n">
        <x:v>2</x:v>
      </x:c>
      <x:c r="F447" s="88" t="str">
        <x:v>Market MCT certificate</x:v>
      </x:c>
      <x:c r="G447" s="88" t="str">
        <x:v>NES 50-pack extractor</x:v>
      </x:c>
      <x:c r="H447" s="87" t="n">
        <x:f>'01 Base Costs'!$B$25</x:f>
        <x:v>6600</x:v>
      </x:c>
      <x:c r="I447" s="87" t="n">
        <x:f>0</x:f>
        <x:v>0</x:v>
      </x:c>
      <x:c r="J447" s="87" t="n">
        <x:f>'01 Base Costs'!$B$10</x:f>
        <x:v>2332850000</x:v>
      </x:c>
      <x:c r="K447" s="87" t="n">
        <x:f>D447*(E447-1)*I447</x:f>
        <x:v>0</x:v>
      </x:c>
      <x:c r="L447" s="87" t="n">
        <x:f>D447*(E447-1)*J447</x:f>
        <x:v>55988400000</x:v>
      </x:c>
      <x:c r="M447" s="87" t="n">
        <x:f>0</x:f>
        <x:v>0</x:v>
      </x:c>
      <x:c r="N447" s="87" t="n">
        <x:f>H447+K447+M447</x:f>
        <x:v>6600</x:v>
      </x:c>
      <x:c r="O447" s="87" t="n">
        <x:f>N447*'01 Base Costs'!$B$7+L447</x:f>
        <x:v>87734400000</x:v>
      </x:c>
      <x:c r="P447" s="87" t="n">
        <x:f>D447*E447</x:f>
        <x:v>48</x:v>
      </x:c>
      <x:c r="Q447" s="87" t="n">
        <x:f>P447*'01 Base Costs'!$B$12</x:f>
        <x:v>93312000</x:v>
      </x:c>
      <x:c r="R447" s="87" t="n">
        <x:f>0</x:f>
        <x:v>0</x:v>
      </x:c>
      <x:c r="S447" s="87" t="n">
        <x:f>Q447+R447</x:f>
        <x:v>93312000</x:v>
      </x:c>
      <x:c r="T447" s="141" t="n">
        <x:f>S447/'01 Base Costs'!$B$14</x:f>
        <x:v>186.624</x:v>
      </x:c>
      <x:c r="U447" s="87" t="n">
        <x:f>INT(T447)</x:f>
        <x:v>186</x:v>
      </x:c>
      <x:c r="V447" s="87" t="n">
        <x:f>S447-U447*'01 Base Costs'!$B$14</x:f>
        <x:v>312000</x:v>
      </x:c>
      <x:c r="W447" s="120" t="n">
        <x:f>'01 Base Costs'!$B$20/50</x:f>
        <x:v>112</x:v>
      </x:c>
      <x:c r="X447" s="120" t="n">
        <x:f>0</x:f>
        <x:v>0</x:v>
      </x:c>
      <x:c r="Y447" s="87" t="n">
        <x:f>T447*(W447*'01 Base Costs'!$B$7+X447)</x:f>
        <x:v>100538081280</x:v>
      </x:c>
      <x:c r="Z447" s="87" t="n">
        <x:f>T447*'01 Base Costs'!$B$8</x:f>
        <x:v>140509209600</x:v>
      </x:c>
      <x:c r="AA447" s="87" t="n">
        <x:f>Z447*'01 Base Costs'!$B$11</x:f>
        <x:v>7025460480</x:v>
      </x:c>
      <x:c r="AB447" s="87" t="n">
        <x:f>Z447-AA447</x:f>
        <x:v>133483749120</x:v>
      </x:c>
      <x:c r="AC447" s="87" t="n">
        <x:f>O447+Y447</x:f>
        <x:v>188272481280</x:v>
      </x:c>
      <x:c r="AD447" s="87" t="n">
        <x:f>AB447-AC447</x:f>
        <x:v>-54788732160</x:v>
      </x:c>
      <x:c r="AE447" s="87" t="n">
        <x:f>AD447/D447</x:f>
        <x:v>-2282863840</x:v>
      </x:c>
      <x:c r="AF447" s="87" t="n">
        <x:f>AD447/P447</x:f>
        <x:v>-1141431920</x:v>
      </x:c>
      <x:c r="AG447" s="87" t="n">
        <x:f>IF(T447=0,0,AC447/T447/(1-'01 Base Costs'!$B$11))</x:f>
        <x:v>1061929651.2887157</x:v>
      </x:c>
      <x:c r="AH447" s="88" t="str">
        <x:f>IF(AD447&gt;0,"PROFIT","LOSS")</x:f>
        <x:v>LOSS</x:v>
      </x:c>
      <x:c r="AI447" s="89" t="str">
        <x:v>Base 24M Omega. MCT certificate bought with ISK market price. Base 50-pack average.</x:v>
      </x:c>
    </x:row>
    <x:row r="448">
      <x:c r="A448" s="86" t="n">
        <x:v>446</x:v>
      </x:c>
      <x:c r="B448" s="88" t="str">
        <x:v>Base</x:v>
      </x:c>
      <x:c r="C448" s="88" t="str">
        <x:v>24M Omega</x:v>
      </x:c>
      <x:c r="D448" s="88" t="n">
        <x:v>24</x:v>
      </x:c>
      <x:c r="E448" s="88" t="n">
        <x:v>2</x:v>
      </x:c>
      <x:c r="F448" s="88" t="str">
        <x:v>Market MCT certificate</x:v>
      </x:c>
      <x:c r="G448" s="88" t="str">
        <x:v>NES 3-for-2 extractor sale</x:v>
      </x:c>
      <x:c r="H448" s="87" t="n">
        <x:f>'01 Base Costs'!$B$25</x:f>
        <x:v>6600</x:v>
      </x:c>
      <x:c r="I448" s="87" t="n">
        <x:f>0</x:f>
        <x:v>0</x:v>
      </x:c>
      <x:c r="J448" s="87" t="n">
        <x:f>'01 Base Costs'!$B$10</x:f>
        <x:v>2332850000</x:v>
      </x:c>
      <x:c r="K448" s="87" t="n">
        <x:f>D448*(E448-1)*I448</x:f>
        <x:v>0</x:v>
      </x:c>
      <x:c r="L448" s="87" t="n">
        <x:f>D448*(E448-1)*J448</x:f>
        <x:v>55988400000</x:v>
      </x:c>
      <x:c r="M448" s="87" t="n">
        <x:f>0</x:f>
        <x:v>0</x:v>
      </x:c>
      <x:c r="N448" s="87" t="n">
        <x:f>H448+K448+M448</x:f>
        <x:v>6600</x:v>
      </x:c>
      <x:c r="O448" s="87" t="n">
        <x:f>N448*'01 Base Costs'!$B$7+L448</x:f>
        <x:v>87734400000</x:v>
      </x:c>
      <x:c r="P448" s="87" t="n">
        <x:f>D448*E448</x:f>
        <x:v>48</x:v>
      </x:c>
      <x:c r="Q448" s="87" t="n">
        <x:f>P448*'01 Base Costs'!$B$12</x:f>
        <x:v>93312000</x:v>
      </x:c>
      <x:c r="R448" s="87" t="n">
        <x:f>0</x:f>
        <x:v>0</x:v>
      </x:c>
      <x:c r="S448" s="87" t="n">
        <x:f>Q448+R448</x:f>
        <x:v>93312000</x:v>
      </x:c>
      <x:c r="T448" s="141" t="n">
        <x:f>S448/'01 Base Costs'!$B$14</x:f>
        <x:v>186.624</x:v>
      </x:c>
      <x:c r="U448" s="87" t="n">
        <x:f>INT(T448)</x:f>
        <x:v>186</x:v>
      </x:c>
      <x:c r="V448" s="87" t="n">
        <x:f>S448-U448*'01 Base Costs'!$B$14</x:f>
        <x:v>312000</x:v>
      </x:c>
      <x:c r="W448" s="120" t="n">
        <x:f>'01 Base Costs'!$B$17*2/3</x:f>
        <x:v>93.33333333333333</x:v>
      </x:c>
      <x:c r="X448" s="120" t="n">
        <x:f>0</x:f>
        <x:v>0</x:v>
      </x:c>
      <x:c r="Y448" s="87" t="n">
        <x:f>T448*(W448*'01 Base Costs'!$B$7+X448)</x:f>
        <x:v>83781734400</x:v>
      </x:c>
      <x:c r="Z448" s="87" t="n">
        <x:f>T448*'01 Base Costs'!$B$8</x:f>
        <x:v>140509209600</x:v>
      </x:c>
      <x:c r="AA448" s="87" t="n">
        <x:f>Z448*'01 Base Costs'!$B$11</x:f>
        <x:v>7025460480</x:v>
      </x:c>
      <x:c r="AB448" s="87" t="n">
        <x:f>Z448-AA448</x:f>
        <x:v>133483749120</x:v>
      </x:c>
      <x:c r="AC448" s="87" t="n">
        <x:f>O448+Y448</x:f>
        <x:v>171516134400</x:v>
      </x:c>
      <x:c r="AD448" s="87" t="n">
        <x:f>AB448-AC448</x:f>
        <x:v>-38032385280</x:v>
      </x:c>
      <x:c r="AE448" s="87" t="n">
        <x:f>AD448/D448</x:f>
        <x:v>-1584682720</x:v>
      </x:c>
      <x:c r="AF448" s="87" t="n">
        <x:f>AD448/P448</x:f>
        <x:v>-792341360</x:v>
      </x:c>
      <x:c r="AG448" s="87" t="n">
        <x:f>IF(T448=0,0,AC448/T448/(1-'01 Base Costs'!$B$11))</x:f>
        <x:v>967417370.5869613</x:v>
      </x:c>
      <x:c r="AH448" s="88" t="str">
        <x:f>IF(AD448&gt;0,"PROFIT","LOSS")</x:f>
        <x:v>LOSS</x:v>
      </x:c>
      <x:c r="AI448" s="89" t="str">
        <x:v>Base 24M Omega. MCT certificate bought with ISK market price. Extractor 3-for-2 sale.</x:v>
      </x:c>
    </x:row>
    <x:row r="449">
      <x:c r="A449" s="86" t="n">
        <x:v>447</x:v>
      </x:c>
      <x:c r="B449" s="88" t="str">
        <x:v>Base</x:v>
      </x:c>
      <x:c r="C449" s="88" t="str">
        <x:v>24M Omega</x:v>
      </x:c>
      <x:c r="D449" s="88" t="n">
        <x:v>24</x:v>
      </x:c>
      <x:c r="E449" s="88" t="n">
        <x:v>2</x:v>
      </x:c>
      <x:c r="F449" s="88" t="str">
        <x:v>Market MCT certificate</x:v>
      </x:c>
      <x:c r="G449" s="88" t="str">
        <x:v>NES 2-for-1 extractor sale</x:v>
      </x:c>
      <x:c r="H449" s="87" t="n">
        <x:f>'01 Base Costs'!$B$25</x:f>
        <x:v>6600</x:v>
      </x:c>
      <x:c r="I449" s="87" t="n">
        <x:f>0</x:f>
        <x:v>0</x:v>
      </x:c>
      <x:c r="J449" s="87" t="n">
        <x:f>'01 Base Costs'!$B$10</x:f>
        <x:v>2332850000</x:v>
      </x:c>
      <x:c r="K449" s="87" t="n">
        <x:f>D449*(E449-1)*I449</x:f>
        <x:v>0</x:v>
      </x:c>
      <x:c r="L449" s="87" t="n">
        <x:f>D449*(E449-1)*J449</x:f>
        <x:v>55988400000</x:v>
      </x:c>
      <x:c r="M449" s="87" t="n">
        <x:f>0</x:f>
        <x:v>0</x:v>
      </x:c>
      <x:c r="N449" s="87" t="n">
        <x:f>H449+K449+M449</x:f>
        <x:v>6600</x:v>
      </x:c>
      <x:c r="O449" s="87" t="n">
        <x:f>N449*'01 Base Costs'!$B$7+L449</x:f>
        <x:v>87734400000</x:v>
      </x:c>
      <x:c r="P449" s="87" t="n">
        <x:f>D449*E449</x:f>
        <x:v>48</x:v>
      </x:c>
      <x:c r="Q449" s="87" t="n">
        <x:f>P449*'01 Base Costs'!$B$12</x:f>
        <x:v>93312000</x:v>
      </x:c>
      <x:c r="R449" s="87" t="n">
        <x:f>0</x:f>
        <x:v>0</x:v>
      </x:c>
      <x:c r="S449" s="87" t="n">
        <x:f>Q449+R449</x:f>
        <x:v>93312000</x:v>
      </x:c>
      <x:c r="T449" s="141" t="n">
        <x:f>S449/'01 Base Costs'!$B$14</x:f>
        <x:v>186.624</x:v>
      </x:c>
      <x:c r="U449" s="87" t="n">
        <x:f>INT(T449)</x:f>
        <x:v>186</x:v>
      </x:c>
      <x:c r="V449" s="87" t="n">
        <x:f>S449-U449*'01 Base Costs'!$B$14</x:f>
        <x:v>312000</x:v>
      </x:c>
      <x:c r="W449" s="120" t="n">
        <x:f>'01 Base Costs'!$B$17/2</x:f>
        <x:v>70</x:v>
      </x:c>
      <x:c r="X449" s="120" t="n">
        <x:f>0</x:f>
        <x:v>0</x:v>
      </x:c>
      <x:c r="Y449" s="87" t="n">
        <x:f>T449*(W449*'01 Base Costs'!$B$7+X449)</x:f>
        <x:v>62836300800</x:v>
      </x:c>
      <x:c r="Z449" s="87" t="n">
        <x:f>T449*'01 Base Costs'!$B$8</x:f>
        <x:v>140509209600</x:v>
      </x:c>
      <x:c r="AA449" s="87" t="n">
        <x:f>Z449*'01 Base Costs'!$B$11</x:f>
        <x:v>7025460480</x:v>
      </x:c>
      <x:c r="AB449" s="87" t="n">
        <x:f>Z449-AA449</x:f>
        <x:v>133483749120</x:v>
      </x:c>
      <x:c r="AC449" s="87" t="n">
        <x:f>O449+Y449</x:f>
        <x:v>150570700800</x:v>
      </x:c>
      <x:c r="AD449" s="87" t="n">
        <x:f>AB449-AC449</x:f>
        <x:v>-17086951680</x:v>
      </x:c>
      <x:c r="AE449" s="87" t="n">
        <x:f>AD449/D449</x:f>
        <x:v>-711956320</x:v>
      </x:c>
      <x:c r="AF449" s="87" t="n">
        <x:f>AD449/P449</x:f>
        <x:v>-355978160</x:v>
      </x:c>
      <x:c r="AG449" s="87" t="n">
        <x:f>IF(T449=0,0,AC449/T449/(1-'01 Base Costs'!$B$11))</x:f>
        <x:v>849277019.7097683</x:v>
      </x:c>
      <x:c r="AH449" s="88" t="str">
        <x:f>IF(AD449&gt;0,"PROFIT","LOSS")</x:f>
        <x:v>LOSS</x:v>
      </x:c>
      <x:c r="AI449" s="89" t="str">
        <x:v>Base 24M Omega. MCT certificate bought with ISK market price. Extractor 2-for-1 sale.</x:v>
      </x:c>
    </x:row>
    <x:row r="450">
      <x:c r="A450" s="86" t="n">
        <x:v>448</x:v>
      </x:c>
      <x:c r="B450" s="88" t="str">
        <x:v>Base</x:v>
      </x:c>
      <x:c r="C450" s="88" t="str">
        <x:v>24M Omega</x:v>
      </x:c>
      <x:c r="D450" s="88" t="n">
        <x:v>24</x:v>
      </x:c>
      <x:c r="E450" s="88" t="n">
        <x:v>2</x:v>
      </x:c>
      <x:c r="F450" s="88" t="str">
        <x:v>Market MCT certificate</x:v>
      </x:c>
      <x:c r="G450" s="88" t="str">
        <x:v>NES 10-pack extractor 20% sale</x:v>
      </x:c>
      <x:c r="H450" s="87" t="n">
        <x:f>'01 Base Costs'!$B$25</x:f>
        <x:v>6600</x:v>
      </x:c>
      <x:c r="I450" s="87" t="n">
        <x:f>0</x:f>
        <x:v>0</x:v>
      </x:c>
      <x:c r="J450" s="87" t="n">
        <x:f>'01 Base Costs'!$B$10</x:f>
        <x:v>2332850000</x:v>
      </x:c>
      <x:c r="K450" s="87" t="n">
        <x:f>D450*(E450-1)*I450</x:f>
        <x:v>0</x:v>
      </x:c>
      <x:c r="L450" s="87" t="n">
        <x:f>D450*(E450-1)*J450</x:f>
        <x:v>55988400000</x:v>
      </x:c>
      <x:c r="M450" s="87" t="n">
        <x:f>0</x:f>
        <x:v>0</x:v>
      </x:c>
      <x:c r="N450" s="87" t="n">
        <x:f>H450+K450+M450</x:f>
        <x:v>6600</x:v>
      </x:c>
      <x:c r="O450" s="87" t="n">
        <x:f>N450*'01 Base Costs'!$B$7+L450</x:f>
        <x:v>87734400000</x:v>
      </x:c>
      <x:c r="P450" s="87" t="n">
        <x:f>D450*E450</x:f>
        <x:v>48</x:v>
      </x:c>
      <x:c r="Q450" s="87" t="n">
        <x:f>P450*'01 Base Costs'!$B$12</x:f>
        <x:v>93312000</x:v>
      </x:c>
      <x:c r="R450" s="87" t="n">
        <x:f>0</x:f>
        <x:v>0</x:v>
      </x:c>
      <x:c r="S450" s="87" t="n">
        <x:f>Q450+R450</x:f>
        <x:v>93312000</x:v>
      </x:c>
      <x:c r="T450" s="141" t="n">
        <x:f>S450/'01 Base Costs'!$B$14</x:f>
        <x:v>186.624</x:v>
      </x:c>
      <x:c r="U450" s="87" t="n">
        <x:f>INT(T450)</x:f>
        <x:v>186</x:v>
      </x:c>
      <x:c r="V450" s="87" t="n">
        <x:f>S450-U450*'01 Base Costs'!$B$14</x:f>
        <x:v>312000</x:v>
      </x:c>
      <x:c r="W450" s="120" t="n">
        <x:f>'01 Base Costs'!$B$19*0.8/10</x:f>
        <x:v>95.2</x:v>
      </x:c>
      <x:c r="X450" s="120" t="n">
        <x:f>0</x:f>
        <x:v>0</x:v>
      </x:c>
      <x:c r="Y450" s="87" t="n">
        <x:f>T450*(W450*'01 Base Costs'!$B$7+X450)</x:f>
        <x:v>85457369088</x:v>
      </x:c>
      <x:c r="Z450" s="87" t="n">
        <x:f>T450*'01 Base Costs'!$B$8</x:f>
        <x:v>140509209600</x:v>
      </x:c>
      <x:c r="AA450" s="87" t="n">
        <x:f>Z450*'01 Base Costs'!$B$11</x:f>
        <x:v>7025460480</x:v>
      </x:c>
      <x:c r="AB450" s="87" t="n">
        <x:f>Z450-AA450</x:f>
        <x:v>133483749120</x:v>
      </x:c>
      <x:c r="AC450" s="87" t="n">
        <x:f>O450+Y450</x:f>
        <x:v>173191769088</x:v>
      </x:c>
      <x:c r="AD450" s="87" t="n">
        <x:f>AB450-AC450</x:f>
        <x:v>-39708019968</x:v>
      </x:c>
      <x:c r="AE450" s="87" t="n">
        <x:f>AD450/D450</x:f>
        <x:v>-1654500832</x:v>
      </x:c>
      <x:c r="AF450" s="87" t="n">
        <x:f>AD450/P450</x:f>
        <x:v>-827250416</x:v>
      </x:c>
      <x:c r="AG450" s="87" t="n">
        <x:f>IF(T450=0,0,AC450/T450/(1-'01 Base Costs'!$B$11))</x:f>
        <x:v>976868598.6571368</x:v>
      </x:c>
      <x:c r="AH450" s="88" t="str">
        <x:f>IF(AD450&gt;0,"PROFIT","LOSS")</x:f>
        <x:v>LOSS</x:v>
      </x:c>
      <x:c r="AI450" s="89" t="str">
        <x:v>Base 24M Omega. MCT certificate bought with ISK market price. 10-pack at 20% off.</x:v>
      </x:c>
    </x:row>
    <x:row r="451">
      <x:c r="A451" s="86" t="n">
        <x:v>449</x:v>
      </x:c>
      <x:c r="B451" s="88" t="str">
        <x:v>Base</x:v>
      </x:c>
      <x:c r="C451" s="88" t="str">
        <x:v>24M Omega</x:v>
      </x:c>
      <x:c r="D451" s="88" t="n">
        <x:v>24</x:v>
      </x:c>
      <x:c r="E451" s="88" t="n">
        <x:v>2</x:v>
      </x:c>
      <x:c r="F451" s="88" t="str">
        <x:v>Market MCT certificate</x:v>
      </x:c>
      <x:c r="G451" s="88" t="str">
        <x:v>NES 50-pack extractor 20% sale</x:v>
      </x:c>
      <x:c r="H451" s="87" t="n">
        <x:f>'01 Base Costs'!$B$25</x:f>
        <x:v>6600</x:v>
      </x:c>
      <x:c r="I451" s="87" t="n">
        <x:f>0</x:f>
        <x:v>0</x:v>
      </x:c>
      <x:c r="J451" s="87" t="n">
        <x:f>'01 Base Costs'!$B$10</x:f>
        <x:v>2332850000</x:v>
      </x:c>
      <x:c r="K451" s="87" t="n">
        <x:f>D451*(E451-1)*I451</x:f>
        <x:v>0</x:v>
      </x:c>
      <x:c r="L451" s="87" t="n">
        <x:f>D451*(E451-1)*J451</x:f>
        <x:v>55988400000</x:v>
      </x:c>
      <x:c r="M451" s="87" t="n">
        <x:f>0</x:f>
        <x:v>0</x:v>
      </x:c>
      <x:c r="N451" s="87" t="n">
        <x:f>H451+K451+M451</x:f>
        <x:v>6600</x:v>
      </x:c>
      <x:c r="O451" s="87" t="n">
        <x:f>N451*'01 Base Costs'!$B$7+L451</x:f>
        <x:v>87734400000</x:v>
      </x:c>
      <x:c r="P451" s="87" t="n">
        <x:f>D451*E451</x:f>
        <x:v>48</x:v>
      </x:c>
      <x:c r="Q451" s="87" t="n">
        <x:f>P451*'01 Base Costs'!$B$12</x:f>
        <x:v>93312000</x:v>
      </x:c>
      <x:c r="R451" s="87" t="n">
        <x:f>0</x:f>
        <x:v>0</x:v>
      </x:c>
      <x:c r="S451" s="87" t="n">
        <x:f>Q451+R451</x:f>
        <x:v>93312000</x:v>
      </x:c>
      <x:c r="T451" s="141" t="n">
        <x:f>S451/'01 Base Costs'!$B$14</x:f>
        <x:v>186.624</x:v>
      </x:c>
      <x:c r="U451" s="87" t="n">
        <x:f>INT(T451)</x:f>
        <x:v>186</x:v>
      </x:c>
      <x:c r="V451" s="87" t="n">
        <x:f>S451-U451*'01 Base Costs'!$B$14</x:f>
        <x:v>312000</x:v>
      </x:c>
      <x:c r="W451" s="120" t="n">
        <x:f>'01 Base Costs'!$B$20*0.8/50</x:f>
        <x:v>89.6</x:v>
      </x:c>
      <x:c r="X451" s="120" t="n">
        <x:f>0</x:f>
        <x:v>0</x:v>
      </x:c>
      <x:c r="Y451" s="87" t="n">
        <x:f>T451*(W451*'01 Base Costs'!$B$7+X451)</x:f>
        <x:v>80430465024</x:v>
      </x:c>
      <x:c r="Z451" s="87" t="n">
        <x:f>T451*'01 Base Costs'!$B$8</x:f>
        <x:v>140509209600</x:v>
      </x:c>
      <x:c r="AA451" s="87" t="n">
        <x:f>Z451*'01 Base Costs'!$B$11</x:f>
        <x:v>7025460480</x:v>
      </x:c>
      <x:c r="AB451" s="87" t="n">
        <x:f>Z451-AA451</x:f>
        <x:v>133483749120</x:v>
      </x:c>
      <x:c r="AC451" s="87" t="n">
        <x:f>O451+Y451</x:f>
        <x:v>168164865024</x:v>
      </x:c>
      <x:c r="AD451" s="87" t="n">
        <x:f>AB451-AC451</x:f>
        <x:v>-34681115904</x:v>
      </x:c>
      <x:c r="AE451" s="87" t="n">
        <x:f>AD451/D451</x:f>
        <x:v>-1445046496</x:v>
      </x:c>
      <x:c r="AF451" s="87" t="n">
        <x:f>AD451/P451</x:f>
        <x:v>-722523248</x:v>
      </x:c>
      <x:c r="AG451" s="87" t="n">
        <x:f>IF(T451=0,0,AC451/T451/(1-'01 Base Costs'!$B$11))</x:f>
        <x:v>948514914.4466105</x:v>
      </x:c>
      <x:c r="AH451" s="88" t="str">
        <x:f>IF(AD451&gt;0,"PROFIT","LOSS")</x:f>
        <x:v>LOSS</x:v>
      </x:c>
      <x:c r="AI451" s="89" t="str">
        <x:v>Base 24M Omega. MCT certificate bought with ISK market price. 50-pack at 20% off.</x:v>
      </x:c>
    </x:row>
    <x:row r="452">
      <x:c r="A452" s="86" t="n">
        <x:v>450</x:v>
      </x:c>
      <x:c r="B452" s="88" t="str">
        <x:v>Base</x:v>
      </x:c>
      <x:c r="C452" s="88" t="str">
        <x:v>24M Omega</x:v>
      </x:c>
      <x:c r="D452" s="88" t="n">
        <x:v>24</x:v>
      </x:c>
      <x:c r="E452" s="88" t="n">
        <x:v>2</x:v>
      </x:c>
      <x:c r="F452" s="88" t="str">
        <x:v>Market MCT certificate</x:v>
      </x:c>
      <x:c r="G452" s="88" t="str">
        <x:v>Market Skill Extractor</x:v>
      </x:c>
      <x:c r="H452" s="87" t="n">
        <x:f>'01 Base Costs'!$B$25</x:f>
        <x:v>6600</x:v>
      </x:c>
      <x:c r="I452" s="87" t="n">
        <x:f>0</x:f>
        <x:v>0</x:v>
      </x:c>
      <x:c r="J452" s="87" t="n">
        <x:f>'01 Base Costs'!$B$10</x:f>
        <x:v>2332850000</x:v>
      </x:c>
      <x:c r="K452" s="87" t="n">
        <x:f>D452*(E452-1)*I452</x:f>
        <x:v>0</x:v>
      </x:c>
      <x:c r="L452" s="87" t="n">
        <x:f>D452*(E452-1)*J452</x:f>
        <x:v>55988400000</x:v>
      </x:c>
      <x:c r="M452" s="87" t="n">
        <x:f>0</x:f>
        <x:v>0</x:v>
      </x:c>
      <x:c r="N452" s="87" t="n">
        <x:f>H452+K452+M452</x:f>
        <x:v>6600</x:v>
      </x:c>
      <x:c r="O452" s="87" t="n">
        <x:f>N452*'01 Base Costs'!$B$7+L452</x:f>
        <x:v>87734400000</x:v>
      </x:c>
      <x:c r="P452" s="87" t="n">
        <x:f>D452*E452</x:f>
        <x:v>48</x:v>
      </x:c>
      <x:c r="Q452" s="87" t="n">
        <x:f>P452*'01 Base Costs'!$B$12</x:f>
        <x:v>93312000</x:v>
      </x:c>
      <x:c r="R452" s="87" t="n">
        <x:f>0</x:f>
        <x:v>0</x:v>
      </x:c>
      <x:c r="S452" s="87" t="n">
        <x:f>Q452+R452</x:f>
        <x:v>93312000</x:v>
      </x:c>
      <x:c r="T452" s="141" t="n">
        <x:f>S452/'01 Base Costs'!$B$14</x:f>
        <x:v>186.624</x:v>
      </x:c>
      <x:c r="U452" s="87" t="n">
        <x:f>INT(T452)</x:f>
        <x:v>186</x:v>
      </x:c>
      <x:c r="V452" s="87" t="n">
        <x:f>S452-U452*'01 Base Costs'!$B$14</x:f>
        <x:v>312000</x:v>
      </x:c>
      <x:c r="W452" s="120" t="n">
        <x:f>0</x:f>
        <x:v>0</x:v>
      </x:c>
      <x:c r="X452" s="120" t="n">
        <x:f>'01 Base Costs'!$B$9</x:f>
        <x:v>463500000</x:v>
      </x:c>
      <x:c r="Y452" s="87" t="n">
        <x:f>T452*(W452*'01 Base Costs'!$B$7+X452)</x:f>
        <x:v>86500224000</x:v>
      </x:c>
      <x:c r="Z452" s="87" t="n">
        <x:f>T452*'01 Base Costs'!$B$8</x:f>
        <x:v>140509209600</x:v>
      </x:c>
      <x:c r="AA452" s="87" t="n">
        <x:f>Z452*'01 Base Costs'!$B$11</x:f>
        <x:v>7025460480</x:v>
      </x:c>
      <x:c r="AB452" s="87" t="n">
        <x:f>Z452-AA452</x:f>
        <x:v>133483749120</x:v>
      </x:c>
      <x:c r="AC452" s="87" t="n">
        <x:f>O452+Y452</x:f>
        <x:v>174234624000</x:v>
      </x:c>
      <x:c r="AD452" s="87" t="n">
        <x:f>AB452-AC452</x:f>
        <x:v>-40750874880</x:v>
      </x:c>
      <x:c r="AE452" s="87" t="n">
        <x:f>AD452/D452</x:f>
        <x:v>-1697953120</x:v>
      </x:c>
      <x:c r="AF452" s="87" t="n">
        <x:f>AD452/P452</x:f>
        <x:v>-848976560</x:v>
      </x:c>
      <x:c r="AG452" s="87" t="n">
        <x:f>IF(T452=0,0,AC452/T452/(1-'01 Base Costs'!$B$11))</x:f>
        <x:v>982750703.9202946</x:v>
      </x:c>
      <x:c r="AH452" s="88" t="str">
        <x:f>IF(AD452&gt;0,"PROFIT","LOSS")</x:f>
        <x:v>LOSS</x:v>
      </x:c>
      <x:c r="AI452" s="89" t="str">
        <x:v>Base 24M Omega. MCT certificate bought with ISK market price. Extractor bought on market with ISK.</x:v>
      </x:c>
    </x:row>
    <x:row r="453">
      <x:c r="A453" s="86" t="n">
        <x:v>451</x:v>
      </x:c>
      <x:c r="B453" s="88" t="str">
        <x:v>Base</x:v>
      </x:c>
      <x:c r="C453" s="88" t="str">
        <x:v>24M Omega</x:v>
      </x:c>
      <x:c r="D453" s="88" t="n">
        <x:v>24</x:v>
      </x:c>
      <x:c r="E453" s="88" t="n">
        <x:v>3</x:v>
      </x:c>
      <x:c r="F453" s="88" t="str">
        <x:v>NES base MCT</x:v>
      </x:c>
      <x:c r="G453" s="88" t="str">
        <x:v>NES single extractor</x:v>
      </x:c>
      <x:c r="H453" s="87" t="n">
        <x:f>'01 Base Costs'!$B$25</x:f>
        <x:v>6600</x:v>
      </x:c>
      <x:c r="I453" s="87" t="n">
        <x:f>'01 Base Costs'!$B$16</x:f>
        <x:v>485</x:v>
      </x:c>
      <x:c r="J453" s="87" t="n">
        <x:f>0</x:f>
        <x:v>0</x:v>
      </x:c>
      <x:c r="K453" s="87" t="n">
        <x:f>D453*(E453-1)*I453</x:f>
        <x:v>23280</x:v>
      </x:c>
      <x:c r="L453" s="87" t="n">
        <x:f>D453*(E453-1)*J453</x:f>
        <x:v>0</x:v>
      </x:c>
      <x:c r="M453" s="87" t="n">
        <x:f>0</x:f>
        <x:v>0</x:v>
      </x:c>
      <x:c r="N453" s="87" t="n">
        <x:f>H453+K453+M453</x:f>
        <x:v>29880</x:v>
      </x:c>
      <x:c r="O453" s="87" t="n">
        <x:f>N453*'01 Base Costs'!$B$7+L453</x:f>
        <x:v>143722800000</x:v>
      </x:c>
      <x:c r="P453" s="87" t="n">
        <x:f>D453*E453</x:f>
        <x:v>72</x:v>
      </x:c>
      <x:c r="Q453" s="87" t="n">
        <x:f>P453*'01 Base Costs'!$B$12</x:f>
        <x:v>139968000</x:v>
      </x:c>
      <x:c r="R453" s="87" t="n">
        <x:f>0</x:f>
        <x:v>0</x:v>
      </x:c>
      <x:c r="S453" s="87" t="n">
        <x:f>Q453+R453</x:f>
        <x:v>139968000</x:v>
      </x:c>
      <x:c r="T453" s="141" t="n">
        <x:f>S453/'01 Base Costs'!$B$14</x:f>
        <x:v>279.936</x:v>
      </x:c>
      <x:c r="U453" s="87" t="n">
        <x:f>INT(T453)</x:f>
        <x:v>279</x:v>
      </x:c>
      <x:c r="V453" s="87" t="n">
        <x:f>S453-U453*'01 Base Costs'!$B$14</x:f>
        <x:v>468000</x:v>
      </x:c>
      <x:c r="W453" s="120" t="n">
        <x:f>'01 Base Costs'!$B$17</x:f>
        <x:v>140</x:v>
      </x:c>
      <x:c r="X453" s="120" t="n">
        <x:f>0</x:f>
        <x:v>0</x:v>
      </x:c>
      <x:c r="Y453" s="87" t="n">
        <x:f>T453*(W453*'01 Base Costs'!$B$7+X453)</x:f>
        <x:v>188508902400</x:v>
      </x:c>
      <x:c r="Z453" s="87" t="n">
        <x:f>T453*'01 Base Costs'!$B$8</x:f>
        <x:v>210763814399.99997</x:v>
      </x:c>
      <x:c r="AA453" s="87" t="n">
        <x:f>Z453*'01 Base Costs'!$B$11</x:f>
        <x:v>10538190720</x:v>
      </x:c>
      <x:c r="AB453" s="87" t="n">
        <x:f>Z453-AA453</x:f>
        <x:v>200225623679.99997</x:v>
      </x:c>
      <x:c r="AC453" s="87" t="n">
        <x:f>O453+Y453</x:f>
        <x:v>332231702400</x:v>
      </x:c>
      <x:c r="AD453" s="87" t="n">
        <x:f>AB453-AC453</x:f>
        <x:v>-132006078720.00003</x:v>
      </x:c>
      <x:c r="AE453" s="87" t="n">
        <x:f>AD453/D453</x:f>
        <x:v>-5500253280.000001</x:v>
      </x:c>
      <x:c r="AF453" s="87" t="n">
        <x:f>AD453/P453</x:f>
        <x:v>-1833417760.0000005</x:v>
      </x:c>
      <x:c r="AG453" s="87" t="n">
        <x:f>IF(T453=0,0,AC453/T453/(1-'01 Base Costs'!$B$11))</x:f>
        <x:v>1249276911.4143386</x:v>
      </x:c>
      <x:c r="AH453" s="88" t="str">
        <x:f>IF(AD453&gt;0,"PROFIT","LOSS")</x:f>
        <x:v>LOSS</x:v>
      </x:c>
      <x:c r="AI453" s="89" t="str">
        <x:v>Base 24M Omega. MCT purchased with PLEX in NES. Base single extractor.</x:v>
      </x:c>
    </x:row>
    <x:row r="454">
      <x:c r="A454" s="86" t="n">
        <x:v>452</x:v>
      </x:c>
      <x:c r="B454" s="88" t="str">
        <x:v>Base</x:v>
      </x:c>
      <x:c r="C454" s="88" t="str">
        <x:v>24M Omega</x:v>
      </x:c>
      <x:c r="D454" s="88" t="n">
        <x:v>24</x:v>
      </x:c>
      <x:c r="E454" s="88" t="n">
        <x:v>3</x:v>
      </x:c>
      <x:c r="F454" s="88" t="str">
        <x:v>NES base MCT</x:v>
      </x:c>
      <x:c r="G454" s="88" t="str">
        <x:v>NES 5-pack extractor</x:v>
      </x:c>
      <x:c r="H454" s="87" t="n">
        <x:f>'01 Base Costs'!$B$25</x:f>
        <x:v>6600</x:v>
      </x:c>
      <x:c r="I454" s="87" t="n">
        <x:f>'01 Base Costs'!$B$16</x:f>
        <x:v>485</x:v>
      </x:c>
      <x:c r="J454" s="87" t="n">
        <x:f>0</x:f>
        <x:v>0</x:v>
      </x:c>
      <x:c r="K454" s="87" t="n">
        <x:f>D454*(E454-1)*I454</x:f>
        <x:v>23280</x:v>
      </x:c>
      <x:c r="L454" s="87" t="n">
        <x:f>D454*(E454-1)*J454</x:f>
        <x:v>0</x:v>
      </x:c>
      <x:c r="M454" s="87" t="n">
        <x:f>0</x:f>
        <x:v>0</x:v>
      </x:c>
      <x:c r="N454" s="87" t="n">
        <x:f>H454+K454+M454</x:f>
        <x:v>29880</x:v>
      </x:c>
      <x:c r="O454" s="87" t="n">
        <x:f>N454*'01 Base Costs'!$B$7+L454</x:f>
        <x:v>143722800000</x:v>
      </x:c>
      <x:c r="P454" s="87" t="n">
        <x:f>D454*E454</x:f>
        <x:v>72</x:v>
      </x:c>
      <x:c r="Q454" s="87" t="n">
        <x:f>P454*'01 Base Costs'!$B$12</x:f>
        <x:v>139968000</x:v>
      </x:c>
      <x:c r="R454" s="87" t="n">
        <x:f>0</x:f>
        <x:v>0</x:v>
      </x:c>
      <x:c r="S454" s="87" t="n">
        <x:f>Q454+R454</x:f>
        <x:v>139968000</x:v>
      </x:c>
      <x:c r="T454" s="141" t="n">
        <x:f>S454/'01 Base Costs'!$B$14</x:f>
        <x:v>279.936</x:v>
      </x:c>
      <x:c r="U454" s="87" t="n">
        <x:f>INT(T454)</x:f>
        <x:v>279</x:v>
      </x:c>
      <x:c r="V454" s="87" t="n">
        <x:f>S454-U454*'01 Base Costs'!$B$14</x:f>
        <x:v>468000</x:v>
      </x:c>
      <x:c r="W454" s="120" t="n">
        <x:f>'01 Base Costs'!$B$18/5</x:f>
        <x:v>126</x:v>
      </x:c>
      <x:c r="X454" s="120" t="n">
        <x:f>0</x:f>
        <x:v>0</x:v>
      </x:c>
      <x:c r="Y454" s="87" t="n">
        <x:f>T454*(W454*'01 Base Costs'!$B$7+X454)</x:f>
        <x:v>169658012160</x:v>
      </x:c>
      <x:c r="Z454" s="87" t="n">
        <x:f>T454*'01 Base Costs'!$B$8</x:f>
        <x:v>210763814399.99997</x:v>
      </x:c>
      <x:c r="AA454" s="87" t="n">
        <x:f>Z454*'01 Base Costs'!$B$11</x:f>
        <x:v>10538190720</x:v>
      </x:c>
      <x:c r="AB454" s="87" t="n">
        <x:f>Z454-AA454</x:f>
        <x:v>200225623679.99997</x:v>
      </x:c>
      <x:c r="AC454" s="87" t="n">
        <x:f>O454+Y454</x:f>
        <x:v>313380812160</x:v>
      </x:c>
      <x:c r="AD454" s="87" t="n">
        <x:f>AB454-AC454</x:f>
        <x:v>-113155188480.00003</x:v>
      </x:c>
      <x:c r="AE454" s="87" t="n">
        <x:f>AD454/D454</x:f>
        <x:v>-4714799520.000001</x:v>
      </x:c>
      <x:c r="AF454" s="87" t="n">
        <x:f>AD454/P454</x:f>
        <x:v>-1571599840.0000005</x:v>
      </x:c>
      <x:c r="AG454" s="87" t="n">
        <x:f>IF(T454=0,0,AC454/T454/(1-'01 Base Costs'!$B$11))</x:f>
        <x:v>1178392700.8880227</x:v>
      </x:c>
      <x:c r="AH454" s="88" t="str">
        <x:f>IF(AD454&gt;0,"PROFIT","LOSS")</x:f>
        <x:v>LOSS</x:v>
      </x:c>
      <x:c r="AI454" s="89" t="str">
        <x:v>Base 24M Omega. MCT purchased with PLEX in NES. Base 5-pack average.</x:v>
      </x:c>
    </x:row>
    <x:row r="455">
      <x:c r="A455" s="86" t="n">
        <x:v>453</x:v>
      </x:c>
      <x:c r="B455" s="88" t="str">
        <x:v>Base</x:v>
      </x:c>
      <x:c r="C455" s="88" t="str">
        <x:v>24M Omega</x:v>
      </x:c>
      <x:c r="D455" s="88" t="n">
        <x:v>24</x:v>
      </x:c>
      <x:c r="E455" s="88" t="n">
        <x:v>3</x:v>
      </x:c>
      <x:c r="F455" s="88" t="str">
        <x:v>NES base MCT</x:v>
      </x:c>
      <x:c r="G455" s="88" t="str">
        <x:v>NES 10-pack extractor</x:v>
      </x:c>
      <x:c r="H455" s="87" t="n">
        <x:f>'01 Base Costs'!$B$25</x:f>
        <x:v>6600</x:v>
      </x:c>
      <x:c r="I455" s="87" t="n">
        <x:f>'01 Base Costs'!$B$16</x:f>
        <x:v>485</x:v>
      </x:c>
      <x:c r="J455" s="87" t="n">
        <x:f>0</x:f>
        <x:v>0</x:v>
      </x:c>
      <x:c r="K455" s="87" t="n">
        <x:f>D455*(E455-1)*I455</x:f>
        <x:v>23280</x:v>
      </x:c>
      <x:c r="L455" s="87" t="n">
        <x:f>D455*(E455-1)*J455</x:f>
        <x:v>0</x:v>
      </x:c>
      <x:c r="M455" s="87" t="n">
        <x:f>0</x:f>
        <x:v>0</x:v>
      </x:c>
      <x:c r="N455" s="87" t="n">
        <x:f>H455+K455+M455</x:f>
        <x:v>29880</x:v>
      </x:c>
      <x:c r="O455" s="87" t="n">
        <x:f>N455*'01 Base Costs'!$B$7+L455</x:f>
        <x:v>143722800000</x:v>
      </x:c>
      <x:c r="P455" s="87" t="n">
        <x:f>D455*E455</x:f>
        <x:v>72</x:v>
      </x:c>
      <x:c r="Q455" s="87" t="n">
        <x:f>P455*'01 Base Costs'!$B$12</x:f>
        <x:v>139968000</x:v>
      </x:c>
      <x:c r="R455" s="87" t="n">
        <x:f>0</x:f>
        <x:v>0</x:v>
      </x:c>
      <x:c r="S455" s="87" t="n">
        <x:f>Q455+R455</x:f>
        <x:v>139968000</x:v>
      </x:c>
      <x:c r="T455" s="141" t="n">
        <x:f>S455/'01 Base Costs'!$B$14</x:f>
        <x:v>279.936</x:v>
      </x:c>
      <x:c r="U455" s="87" t="n">
        <x:f>INT(T455)</x:f>
        <x:v>279</x:v>
      </x:c>
      <x:c r="V455" s="87" t="n">
        <x:f>S455-U455*'01 Base Costs'!$B$14</x:f>
        <x:v>468000</x:v>
      </x:c>
      <x:c r="W455" s="120" t="n">
        <x:f>'01 Base Costs'!$B$19/10</x:f>
        <x:v>119</x:v>
      </x:c>
      <x:c r="X455" s="120" t="n">
        <x:f>0</x:f>
        <x:v>0</x:v>
      </x:c>
      <x:c r="Y455" s="87" t="n">
        <x:f>T455*(W455*'01 Base Costs'!$B$7+X455)</x:f>
        <x:v>160232567040</x:v>
      </x:c>
      <x:c r="Z455" s="87" t="n">
        <x:f>T455*'01 Base Costs'!$B$8</x:f>
        <x:v>210763814399.99997</x:v>
      </x:c>
      <x:c r="AA455" s="87" t="n">
        <x:f>Z455*'01 Base Costs'!$B$11</x:f>
        <x:v>10538190720</x:v>
      </x:c>
      <x:c r="AB455" s="87" t="n">
        <x:f>Z455-AA455</x:f>
        <x:v>200225623679.99997</x:v>
      </x:c>
      <x:c r="AC455" s="87" t="n">
        <x:f>O455+Y455</x:f>
        <x:v>303955367040</x:v>
      </x:c>
      <x:c r="AD455" s="87" t="n">
        <x:f>AB455-AC455</x:f>
        <x:v>-103729743360.00003</x:v>
      </x:c>
      <x:c r="AE455" s="87" t="n">
        <x:f>AD455/D455</x:f>
        <x:v>-4322072640.000001</x:v>
      </x:c>
      <x:c r="AF455" s="87" t="n">
        <x:f>AD455/P455</x:f>
        <x:v>-1440690880.0000005</x:v>
      </x:c>
      <x:c r="AG455" s="87" t="n">
        <x:f>IF(T455=0,0,AC455/T455/(1-'01 Base Costs'!$B$11))</x:f>
        <x:v>1142950595.6248648</x:v>
      </x:c>
      <x:c r="AH455" s="88" t="str">
        <x:f>IF(AD455&gt;0,"PROFIT","LOSS")</x:f>
        <x:v>LOSS</x:v>
      </x:c>
      <x:c r="AI455" s="89" t="str">
        <x:v>Base 24M Omega. MCT purchased with PLEX in NES. Base 10-pack average.</x:v>
      </x:c>
    </x:row>
    <x:row r="456">
      <x:c r="A456" s="86" t="n">
        <x:v>454</x:v>
      </x:c>
      <x:c r="B456" s="88" t="str">
        <x:v>Base</x:v>
      </x:c>
      <x:c r="C456" s="88" t="str">
        <x:v>24M Omega</x:v>
      </x:c>
      <x:c r="D456" s="88" t="n">
        <x:v>24</x:v>
      </x:c>
      <x:c r="E456" s="88" t="n">
        <x:v>3</x:v>
      </x:c>
      <x:c r="F456" s="88" t="str">
        <x:v>NES base MCT</x:v>
      </x:c>
      <x:c r="G456" s="88" t="str">
        <x:v>NES 50-pack extractor</x:v>
      </x:c>
      <x:c r="H456" s="87" t="n">
        <x:f>'01 Base Costs'!$B$25</x:f>
        <x:v>6600</x:v>
      </x:c>
      <x:c r="I456" s="87" t="n">
        <x:f>'01 Base Costs'!$B$16</x:f>
        <x:v>485</x:v>
      </x:c>
      <x:c r="J456" s="87" t="n">
        <x:f>0</x:f>
        <x:v>0</x:v>
      </x:c>
      <x:c r="K456" s="87" t="n">
        <x:f>D456*(E456-1)*I456</x:f>
        <x:v>23280</x:v>
      </x:c>
      <x:c r="L456" s="87" t="n">
        <x:f>D456*(E456-1)*J456</x:f>
        <x:v>0</x:v>
      </x:c>
      <x:c r="M456" s="87" t="n">
        <x:f>0</x:f>
        <x:v>0</x:v>
      </x:c>
      <x:c r="N456" s="87" t="n">
        <x:f>H456+K456+M456</x:f>
        <x:v>29880</x:v>
      </x:c>
      <x:c r="O456" s="87" t="n">
        <x:f>N456*'01 Base Costs'!$B$7+L456</x:f>
        <x:v>143722800000</x:v>
      </x:c>
      <x:c r="P456" s="87" t="n">
        <x:f>D456*E456</x:f>
        <x:v>72</x:v>
      </x:c>
      <x:c r="Q456" s="87" t="n">
        <x:f>P456*'01 Base Costs'!$B$12</x:f>
        <x:v>139968000</x:v>
      </x:c>
      <x:c r="R456" s="87" t="n">
        <x:f>0</x:f>
        <x:v>0</x:v>
      </x:c>
      <x:c r="S456" s="87" t="n">
        <x:f>Q456+R456</x:f>
        <x:v>139968000</x:v>
      </x:c>
      <x:c r="T456" s="141" t="n">
        <x:f>S456/'01 Base Costs'!$B$14</x:f>
        <x:v>279.936</x:v>
      </x:c>
      <x:c r="U456" s="87" t="n">
        <x:f>INT(T456)</x:f>
        <x:v>279</x:v>
      </x:c>
      <x:c r="V456" s="87" t="n">
        <x:f>S456-U456*'01 Base Costs'!$B$14</x:f>
        <x:v>468000</x:v>
      </x:c>
      <x:c r="W456" s="120" t="n">
        <x:f>'01 Base Costs'!$B$20/50</x:f>
        <x:v>112</x:v>
      </x:c>
      <x:c r="X456" s="120" t="n">
        <x:f>0</x:f>
        <x:v>0</x:v>
      </x:c>
      <x:c r="Y456" s="87" t="n">
        <x:f>T456*(W456*'01 Base Costs'!$B$7+X456)</x:f>
        <x:v>150807121920</x:v>
      </x:c>
      <x:c r="Z456" s="87" t="n">
        <x:f>T456*'01 Base Costs'!$B$8</x:f>
        <x:v>210763814399.99997</x:v>
      </x:c>
      <x:c r="AA456" s="87" t="n">
        <x:f>Z456*'01 Base Costs'!$B$11</x:f>
        <x:v>10538190720</x:v>
      </x:c>
      <x:c r="AB456" s="87" t="n">
        <x:f>Z456-AA456</x:f>
        <x:v>200225623679.99997</x:v>
      </x:c>
      <x:c r="AC456" s="87" t="n">
        <x:f>O456+Y456</x:f>
        <x:v>294529921920</x:v>
      </x:c>
      <x:c r="AD456" s="87" t="n">
        <x:f>AB456-AC456</x:f>
        <x:v>-94304298240.00003</x:v>
      </x:c>
      <x:c r="AE456" s="87" t="n">
        <x:f>AD456/D456</x:f>
        <x:v>-3929345760.0000014</x:v>
      </x:c>
      <x:c r="AF456" s="87" t="n">
        <x:f>AD456/P456</x:f>
        <x:v>-1309781920.0000005</x:v>
      </x:c>
      <x:c r="AG456" s="87" t="n">
        <x:f>IF(T456=0,0,AC456/T456/(1-'01 Base Costs'!$B$11))</x:f>
        <x:v>1107508490.361707</x:v>
      </x:c>
      <x:c r="AH456" s="88" t="str">
        <x:f>IF(AD456&gt;0,"PROFIT","LOSS")</x:f>
        <x:v>LOSS</x:v>
      </x:c>
      <x:c r="AI456" s="89" t="str">
        <x:v>Base 24M Omega. MCT purchased with PLEX in NES. Base 50-pack average.</x:v>
      </x:c>
    </x:row>
    <x:row r="457">
      <x:c r="A457" s="86" t="n">
        <x:v>455</x:v>
      </x:c>
      <x:c r="B457" s="88" t="str">
        <x:v>Base</x:v>
      </x:c>
      <x:c r="C457" s="88" t="str">
        <x:v>24M Omega</x:v>
      </x:c>
      <x:c r="D457" s="88" t="n">
        <x:v>24</x:v>
      </x:c>
      <x:c r="E457" s="88" t="n">
        <x:v>3</x:v>
      </x:c>
      <x:c r="F457" s="88" t="str">
        <x:v>NES base MCT</x:v>
      </x:c>
      <x:c r="G457" s="88" t="str">
        <x:v>NES 3-for-2 extractor sale</x:v>
      </x:c>
      <x:c r="H457" s="87" t="n">
        <x:f>'01 Base Costs'!$B$25</x:f>
        <x:v>6600</x:v>
      </x:c>
      <x:c r="I457" s="87" t="n">
        <x:f>'01 Base Costs'!$B$16</x:f>
        <x:v>485</x:v>
      </x:c>
      <x:c r="J457" s="87" t="n">
        <x:f>0</x:f>
        <x:v>0</x:v>
      </x:c>
      <x:c r="K457" s="87" t="n">
        <x:f>D457*(E457-1)*I457</x:f>
        <x:v>23280</x:v>
      </x:c>
      <x:c r="L457" s="87" t="n">
        <x:f>D457*(E457-1)*J457</x:f>
        <x:v>0</x:v>
      </x:c>
      <x:c r="M457" s="87" t="n">
        <x:f>0</x:f>
        <x:v>0</x:v>
      </x:c>
      <x:c r="N457" s="87" t="n">
        <x:f>H457+K457+M457</x:f>
        <x:v>29880</x:v>
      </x:c>
      <x:c r="O457" s="87" t="n">
        <x:f>N457*'01 Base Costs'!$B$7+L457</x:f>
        <x:v>143722800000</x:v>
      </x:c>
      <x:c r="P457" s="87" t="n">
        <x:f>D457*E457</x:f>
        <x:v>72</x:v>
      </x:c>
      <x:c r="Q457" s="87" t="n">
        <x:f>P457*'01 Base Costs'!$B$12</x:f>
        <x:v>139968000</x:v>
      </x:c>
      <x:c r="R457" s="87" t="n">
        <x:f>0</x:f>
        <x:v>0</x:v>
      </x:c>
      <x:c r="S457" s="87" t="n">
        <x:f>Q457+R457</x:f>
        <x:v>139968000</x:v>
      </x:c>
      <x:c r="T457" s="141" t="n">
        <x:f>S457/'01 Base Costs'!$B$14</x:f>
        <x:v>279.936</x:v>
      </x:c>
      <x:c r="U457" s="87" t="n">
        <x:f>INT(T457)</x:f>
        <x:v>279</x:v>
      </x:c>
      <x:c r="V457" s="87" t="n">
        <x:f>S457-U457*'01 Base Costs'!$B$14</x:f>
        <x:v>468000</x:v>
      </x:c>
      <x:c r="W457" s="120" t="n">
        <x:f>'01 Base Costs'!$B$17*2/3</x:f>
        <x:v>93.33333333333333</x:v>
      </x:c>
      <x:c r="X457" s="120" t="n">
        <x:f>0</x:f>
        <x:v>0</x:v>
      </x:c>
      <x:c r="Y457" s="87" t="n">
        <x:f>T457*(W457*'01 Base Costs'!$B$7+X457)</x:f>
        <x:v>125672601599.99998</x:v>
      </x:c>
      <x:c r="Z457" s="87" t="n">
        <x:f>T457*'01 Base Costs'!$B$8</x:f>
        <x:v>210763814399.99997</x:v>
      </x:c>
      <x:c r="AA457" s="87" t="n">
        <x:f>Z457*'01 Base Costs'!$B$11</x:f>
        <x:v>10538190720</x:v>
      </x:c>
      <x:c r="AB457" s="87" t="n">
        <x:f>Z457-AA457</x:f>
        <x:v>200225623679.99997</x:v>
      </x:c>
      <x:c r="AC457" s="87" t="n">
        <x:f>O457+Y457</x:f>
        <x:v>269395401600</x:v>
      </x:c>
      <x:c r="AD457" s="87" t="n">
        <x:f>AB457-AC457</x:f>
        <x:v>-69169777920.00003</x:v>
      </x:c>
      <x:c r="AE457" s="87" t="n">
        <x:f>AD457/D457</x:f>
        <x:v>-2882074080.0000014</x:v>
      </x:c>
      <x:c r="AF457" s="87" t="n">
        <x:f>AD457/P457</x:f>
        <x:v>-960691360.0000005</x:v>
      </x:c>
      <x:c r="AG457" s="87" t="n">
        <x:f>IF(T457=0,0,AC457/T457/(1-'01 Base Costs'!$B$11))</x:f>
        <x:v>1012996209.6599525</x:v>
      </x:c>
      <x:c r="AH457" s="88" t="str">
        <x:f>IF(AD457&gt;0,"PROFIT","LOSS")</x:f>
        <x:v>LOSS</x:v>
      </x:c>
      <x:c r="AI457" s="89" t="str">
        <x:v>Base 24M Omega. MCT purchased with PLEX in NES. Extractor 3-for-2 sale.</x:v>
      </x:c>
    </x:row>
    <x:row r="458">
      <x:c r="A458" s="86" t="n">
        <x:v>456</x:v>
      </x:c>
      <x:c r="B458" s="88" t="str">
        <x:v>Base</x:v>
      </x:c>
      <x:c r="C458" s="88" t="str">
        <x:v>24M Omega</x:v>
      </x:c>
      <x:c r="D458" s="88" t="n">
        <x:v>24</x:v>
      </x:c>
      <x:c r="E458" s="88" t="n">
        <x:v>3</x:v>
      </x:c>
      <x:c r="F458" s="88" t="str">
        <x:v>NES base MCT</x:v>
      </x:c>
      <x:c r="G458" s="88" t="str">
        <x:v>NES 2-for-1 extractor sale</x:v>
      </x:c>
      <x:c r="H458" s="87" t="n">
        <x:f>'01 Base Costs'!$B$25</x:f>
        <x:v>6600</x:v>
      </x:c>
      <x:c r="I458" s="87" t="n">
        <x:f>'01 Base Costs'!$B$16</x:f>
        <x:v>485</x:v>
      </x:c>
      <x:c r="J458" s="87" t="n">
        <x:f>0</x:f>
        <x:v>0</x:v>
      </x:c>
      <x:c r="K458" s="87" t="n">
        <x:f>D458*(E458-1)*I458</x:f>
        <x:v>23280</x:v>
      </x:c>
      <x:c r="L458" s="87" t="n">
        <x:f>D458*(E458-1)*J458</x:f>
        <x:v>0</x:v>
      </x:c>
      <x:c r="M458" s="87" t="n">
        <x:f>0</x:f>
        <x:v>0</x:v>
      </x:c>
      <x:c r="N458" s="87" t="n">
        <x:f>H458+K458+M458</x:f>
        <x:v>29880</x:v>
      </x:c>
      <x:c r="O458" s="87" t="n">
        <x:f>N458*'01 Base Costs'!$B$7+L458</x:f>
        <x:v>143722800000</x:v>
      </x:c>
      <x:c r="P458" s="87" t="n">
        <x:f>D458*E458</x:f>
        <x:v>72</x:v>
      </x:c>
      <x:c r="Q458" s="87" t="n">
        <x:f>P458*'01 Base Costs'!$B$12</x:f>
        <x:v>139968000</x:v>
      </x:c>
      <x:c r="R458" s="87" t="n">
        <x:f>0</x:f>
        <x:v>0</x:v>
      </x:c>
      <x:c r="S458" s="87" t="n">
        <x:f>Q458+R458</x:f>
        <x:v>139968000</x:v>
      </x:c>
      <x:c r="T458" s="141" t="n">
        <x:f>S458/'01 Base Costs'!$B$14</x:f>
        <x:v>279.936</x:v>
      </x:c>
      <x:c r="U458" s="87" t="n">
        <x:f>INT(T458)</x:f>
        <x:v>279</x:v>
      </x:c>
      <x:c r="V458" s="87" t="n">
        <x:f>S458-U458*'01 Base Costs'!$B$14</x:f>
        <x:v>468000</x:v>
      </x:c>
      <x:c r="W458" s="120" t="n">
        <x:f>'01 Base Costs'!$B$17/2</x:f>
        <x:v>70</x:v>
      </x:c>
      <x:c r="X458" s="120" t="n">
        <x:f>0</x:f>
        <x:v>0</x:v>
      </x:c>
      <x:c r="Y458" s="87" t="n">
        <x:f>T458*(W458*'01 Base Costs'!$B$7+X458)</x:f>
        <x:v>94254451200</x:v>
      </x:c>
      <x:c r="Z458" s="87" t="n">
        <x:f>T458*'01 Base Costs'!$B$8</x:f>
        <x:v>210763814399.99997</x:v>
      </x:c>
      <x:c r="AA458" s="87" t="n">
        <x:f>Z458*'01 Base Costs'!$B$11</x:f>
        <x:v>10538190720</x:v>
      </x:c>
      <x:c r="AB458" s="87" t="n">
        <x:f>Z458-AA458</x:f>
        <x:v>200225623679.99997</x:v>
      </x:c>
      <x:c r="AC458" s="87" t="n">
        <x:f>O458+Y458</x:f>
        <x:v>237977251200</x:v>
      </x:c>
      <x:c r="AD458" s="87" t="n">
        <x:f>AB458-AC458</x:f>
        <x:v>-37751627520.00003</x:v>
      </x:c>
      <x:c r="AE458" s="87" t="n">
        <x:f>AD458/D458</x:f>
        <x:v>-1572984480.0000012</x:v>
      </x:c>
      <x:c r="AF458" s="87" t="n">
        <x:f>AD458/P458</x:f>
        <x:v>-524328160.0000004</x:v>
      </x:c>
      <x:c r="AG458" s="87" t="n">
        <x:f>IF(T458=0,0,AC458/T458/(1-'01 Base Costs'!$B$11))</x:f>
        <x:v>894855858.7827595</x:v>
      </x:c>
      <x:c r="AH458" s="88" t="str">
        <x:f>IF(AD458&gt;0,"PROFIT","LOSS")</x:f>
        <x:v>LOSS</x:v>
      </x:c>
      <x:c r="AI458" s="89" t="str">
        <x:v>Base 24M Omega. MCT purchased with PLEX in NES. Extractor 2-for-1 sale.</x:v>
      </x:c>
    </x:row>
    <x:row r="459">
      <x:c r="A459" s="86" t="n">
        <x:v>457</x:v>
      </x:c>
      <x:c r="B459" s="88" t="str">
        <x:v>Base</x:v>
      </x:c>
      <x:c r="C459" s="88" t="str">
        <x:v>24M Omega</x:v>
      </x:c>
      <x:c r="D459" s="88" t="n">
        <x:v>24</x:v>
      </x:c>
      <x:c r="E459" s="88" t="n">
        <x:v>3</x:v>
      </x:c>
      <x:c r="F459" s="88" t="str">
        <x:v>NES base MCT</x:v>
      </x:c>
      <x:c r="G459" s="88" t="str">
        <x:v>NES 10-pack extractor 20% sale</x:v>
      </x:c>
      <x:c r="H459" s="87" t="n">
        <x:f>'01 Base Costs'!$B$25</x:f>
        <x:v>6600</x:v>
      </x:c>
      <x:c r="I459" s="87" t="n">
        <x:f>'01 Base Costs'!$B$16</x:f>
        <x:v>485</x:v>
      </x:c>
      <x:c r="J459" s="87" t="n">
        <x:f>0</x:f>
        <x:v>0</x:v>
      </x:c>
      <x:c r="K459" s="87" t="n">
        <x:f>D459*(E459-1)*I459</x:f>
        <x:v>23280</x:v>
      </x:c>
      <x:c r="L459" s="87" t="n">
        <x:f>D459*(E459-1)*J459</x:f>
        <x:v>0</x:v>
      </x:c>
      <x:c r="M459" s="87" t="n">
        <x:f>0</x:f>
        <x:v>0</x:v>
      </x:c>
      <x:c r="N459" s="87" t="n">
        <x:f>H459+K459+M459</x:f>
        <x:v>29880</x:v>
      </x:c>
      <x:c r="O459" s="87" t="n">
        <x:f>N459*'01 Base Costs'!$B$7+L459</x:f>
        <x:v>143722800000</x:v>
      </x:c>
      <x:c r="P459" s="87" t="n">
        <x:f>D459*E459</x:f>
        <x:v>72</x:v>
      </x:c>
      <x:c r="Q459" s="87" t="n">
        <x:f>P459*'01 Base Costs'!$B$12</x:f>
        <x:v>139968000</x:v>
      </x:c>
      <x:c r="R459" s="87" t="n">
        <x:f>0</x:f>
        <x:v>0</x:v>
      </x:c>
      <x:c r="S459" s="87" t="n">
        <x:f>Q459+R459</x:f>
        <x:v>139968000</x:v>
      </x:c>
      <x:c r="T459" s="141" t="n">
        <x:f>S459/'01 Base Costs'!$B$14</x:f>
        <x:v>279.936</x:v>
      </x:c>
      <x:c r="U459" s="87" t="n">
        <x:f>INT(T459)</x:f>
        <x:v>279</x:v>
      </x:c>
      <x:c r="V459" s="87" t="n">
        <x:f>S459-U459*'01 Base Costs'!$B$14</x:f>
        <x:v>468000</x:v>
      </x:c>
      <x:c r="W459" s="120" t="n">
        <x:f>'01 Base Costs'!$B$19*0.8/10</x:f>
        <x:v>95.2</x:v>
      </x:c>
      <x:c r="X459" s="120" t="n">
        <x:f>0</x:f>
        <x:v>0</x:v>
      </x:c>
      <x:c r="Y459" s="87" t="n">
        <x:f>T459*(W459*'01 Base Costs'!$B$7+X459)</x:f>
        <x:v>128186053631.99998</x:v>
      </x:c>
      <x:c r="Z459" s="87" t="n">
        <x:f>T459*'01 Base Costs'!$B$8</x:f>
        <x:v>210763814399.99997</x:v>
      </x:c>
      <x:c r="AA459" s="87" t="n">
        <x:f>Z459*'01 Base Costs'!$B$11</x:f>
        <x:v>10538190720</x:v>
      </x:c>
      <x:c r="AB459" s="87" t="n">
        <x:f>Z459-AA459</x:f>
        <x:v>200225623679.99997</x:v>
      </x:c>
      <x:c r="AC459" s="87" t="n">
        <x:f>O459+Y459</x:f>
        <x:v>271908853632</x:v>
      </x:c>
      <x:c r="AD459" s="87" t="n">
        <x:f>AB459-AC459</x:f>
        <x:v>-71683229952.00003</x:v>
      </x:c>
      <x:c r="AE459" s="87" t="n">
        <x:f>AD459/D459</x:f>
        <x:v>-2986801248.0000014</x:v>
      </x:c>
      <x:c r="AF459" s="87" t="n">
        <x:f>AD459/P459</x:f>
        <x:v>-995600416.0000005</x:v>
      </x:c>
      <x:c r="AG459" s="87" t="n">
        <x:f>IF(T459=0,0,AC459/T459/(1-'01 Base Costs'!$B$11))</x:f>
        <x:v>1022447437.7301279</x:v>
      </x:c>
      <x:c r="AH459" s="88" t="str">
        <x:f>IF(AD459&gt;0,"PROFIT","LOSS")</x:f>
        <x:v>LOSS</x:v>
      </x:c>
      <x:c r="AI459" s="89" t="str">
        <x:v>Base 24M Omega. MCT purchased with PLEX in NES. 10-pack at 20% off.</x:v>
      </x:c>
    </x:row>
    <x:row r="460">
      <x:c r="A460" s="86" t="n">
        <x:v>458</x:v>
      </x:c>
      <x:c r="B460" s="88" t="str">
        <x:v>Base</x:v>
      </x:c>
      <x:c r="C460" s="88" t="str">
        <x:v>24M Omega</x:v>
      </x:c>
      <x:c r="D460" s="88" t="n">
        <x:v>24</x:v>
      </x:c>
      <x:c r="E460" s="88" t="n">
        <x:v>3</x:v>
      </x:c>
      <x:c r="F460" s="88" t="str">
        <x:v>NES base MCT</x:v>
      </x:c>
      <x:c r="G460" s="88" t="str">
        <x:v>NES 50-pack extractor 20% sale</x:v>
      </x:c>
      <x:c r="H460" s="87" t="n">
        <x:f>'01 Base Costs'!$B$25</x:f>
        <x:v>6600</x:v>
      </x:c>
      <x:c r="I460" s="87" t="n">
        <x:f>'01 Base Costs'!$B$16</x:f>
        <x:v>485</x:v>
      </x:c>
      <x:c r="J460" s="87" t="n">
        <x:f>0</x:f>
        <x:v>0</x:v>
      </x:c>
      <x:c r="K460" s="87" t="n">
        <x:f>D460*(E460-1)*I460</x:f>
        <x:v>23280</x:v>
      </x:c>
      <x:c r="L460" s="87" t="n">
        <x:f>D460*(E460-1)*J460</x:f>
        <x:v>0</x:v>
      </x:c>
      <x:c r="M460" s="87" t="n">
        <x:f>0</x:f>
        <x:v>0</x:v>
      </x:c>
      <x:c r="N460" s="87" t="n">
        <x:f>H460+K460+M460</x:f>
        <x:v>29880</x:v>
      </x:c>
      <x:c r="O460" s="87" t="n">
        <x:f>N460*'01 Base Costs'!$B$7+L460</x:f>
        <x:v>143722800000</x:v>
      </x:c>
      <x:c r="P460" s="87" t="n">
        <x:f>D460*E460</x:f>
        <x:v>72</x:v>
      </x:c>
      <x:c r="Q460" s="87" t="n">
        <x:f>P460*'01 Base Costs'!$B$12</x:f>
        <x:v>139968000</x:v>
      </x:c>
      <x:c r="R460" s="87" t="n">
        <x:f>0</x:f>
        <x:v>0</x:v>
      </x:c>
      <x:c r="S460" s="87" t="n">
        <x:f>Q460+R460</x:f>
        <x:v>139968000</x:v>
      </x:c>
      <x:c r="T460" s="141" t="n">
        <x:f>S460/'01 Base Costs'!$B$14</x:f>
        <x:v>279.936</x:v>
      </x:c>
      <x:c r="U460" s="87" t="n">
        <x:f>INT(T460)</x:f>
        <x:v>279</x:v>
      </x:c>
      <x:c r="V460" s="87" t="n">
        <x:f>S460-U460*'01 Base Costs'!$B$14</x:f>
        <x:v>468000</x:v>
      </x:c>
      <x:c r="W460" s="120" t="n">
        <x:f>'01 Base Costs'!$B$20*0.8/50</x:f>
        <x:v>89.6</x:v>
      </x:c>
      <x:c r="X460" s="120" t="n">
        <x:f>0</x:f>
        <x:v>0</x:v>
      </x:c>
      <x:c r="Y460" s="87" t="n">
        <x:f>T460*(W460*'01 Base Costs'!$B$7+X460)</x:f>
        <x:v>120645697535.99998</x:v>
      </x:c>
      <x:c r="Z460" s="87" t="n">
        <x:f>T460*'01 Base Costs'!$B$8</x:f>
        <x:v>210763814399.99997</x:v>
      </x:c>
      <x:c r="AA460" s="87" t="n">
        <x:f>Z460*'01 Base Costs'!$B$11</x:f>
        <x:v>10538190720</x:v>
      </x:c>
      <x:c r="AB460" s="87" t="n">
        <x:f>Z460-AA460</x:f>
        <x:v>200225623679.99997</x:v>
      </x:c>
      <x:c r="AC460" s="87" t="n">
        <x:f>O460+Y460</x:f>
        <x:v>264368497536</x:v>
      </x:c>
      <x:c r="AD460" s="87" t="n">
        <x:f>AB460-AC460</x:f>
        <x:v>-64142873856.00003</x:v>
      </x:c>
      <x:c r="AE460" s="87" t="n">
        <x:f>AD460/D460</x:f>
        <x:v>-2672619744.0000014</x:v>
      </x:c>
      <x:c r="AF460" s="87" t="n">
        <x:f>AD460/P460</x:f>
        <x:v>-890873248.0000005</x:v>
      </x:c>
      <x:c r="AG460" s="87" t="n">
        <x:f>IF(T460=0,0,AC460/T460/(1-'01 Base Costs'!$B$11))</x:f>
        <x:v>994093753.5196016</x:v>
      </x:c>
      <x:c r="AH460" s="88" t="str">
        <x:f>IF(AD460&gt;0,"PROFIT","LOSS")</x:f>
        <x:v>LOSS</x:v>
      </x:c>
      <x:c r="AI460" s="89" t="str">
        <x:v>Base 24M Omega. MCT purchased with PLEX in NES. 50-pack at 20% off.</x:v>
      </x:c>
    </x:row>
    <x:row r="461">
      <x:c r="A461" s="86" t="n">
        <x:v>459</x:v>
      </x:c>
      <x:c r="B461" s="88" t="str">
        <x:v>Base</x:v>
      </x:c>
      <x:c r="C461" s="88" t="str">
        <x:v>24M Omega</x:v>
      </x:c>
      <x:c r="D461" s="88" t="n">
        <x:v>24</x:v>
      </x:c>
      <x:c r="E461" s="88" t="n">
        <x:v>3</x:v>
      </x:c>
      <x:c r="F461" s="88" t="str">
        <x:v>NES base MCT</x:v>
      </x:c>
      <x:c r="G461" s="88" t="str">
        <x:v>Market Skill Extractor</x:v>
      </x:c>
      <x:c r="H461" s="87" t="n">
        <x:f>'01 Base Costs'!$B$25</x:f>
        <x:v>6600</x:v>
      </x:c>
      <x:c r="I461" s="87" t="n">
        <x:f>'01 Base Costs'!$B$16</x:f>
        <x:v>485</x:v>
      </x:c>
      <x:c r="J461" s="87" t="n">
        <x:f>0</x:f>
        <x:v>0</x:v>
      </x:c>
      <x:c r="K461" s="87" t="n">
        <x:f>D461*(E461-1)*I461</x:f>
        <x:v>23280</x:v>
      </x:c>
      <x:c r="L461" s="87" t="n">
        <x:f>D461*(E461-1)*J461</x:f>
        <x:v>0</x:v>
      </x:c>
      <x:c r="M461" s="87" t="n">
        <x:f>0</x:f>
        <x:v>0</x:v>
      </x:c>
      <x:c r="N461" s="87" t="n">
        <x:f>H461+K461+M461</x:f>
        <x:v>29880</x:v>
      </x:c>
      <x:c r="O461" s="87" t="n">
        <x:f>N461*'01 Base Costs'!$B$7+L461</x:f>
        <x:v>143722800000</x:v>
      </x:c>
      <x:c r="P461" s="87" t="n">
        <x:f>D461*E461</x:f>
        <x:v>72</x:v>
      </x:c>
      <x:c r="Q461" s="87" t="n">
        <x:f>P461*'01 Base Costs'!$B$12</x:f>
        <x:v>139968000</x:v>
      </x:c>
      <x:c r="R461" s="87" t="n">
        <x:f>0</x:f>
        <x:v>0</x:v>
      </x:c>
      <x:c r="S461" s="87" t="n">
        <x:f>Q461+R461</x:f>
        <x:v>139968000</x:v>
      </x:c>
      <x:c r="T461" s="141" t="n">
        <x:f>S461/'01 Base Costs'!$B$14</x:f>
        <x:v>279.936</x:v>
      </x:c>
      <x:c r="U461" s="87" t="n">
        <x:f>INT(T461)</x:f>
        <x:v>279</x:v>
      </x:c>
      <x:c r="V461" s="87" t="n">
        <x:f>S461-U461*'01 Base Costs'!$B$14</x:f>
        <x:v>468000</x:v>
      </x:c>
      <x:c r="W461" s="120" t="n">
        <x:f>0</x:f>
        <x:v>0</x:v>
      </x:c>
      <x:c r="X461" s="120" t="n">
        <x:f>'01 Base Costs'!$B$9</x:f>
        <x:v>463500000</x:v>
      </x:c>
      <x:c r="Y461" s="87" t="n">
        <x:f>T461*(W461*'01 Base Costs'!$B$7+X461)</x:f>
        <x:v>129750335999.99998</x:v>
      </x:c>
      <x:c r="Z461" s="87" t="n">
        <x:f>T461*'01 Base Costs'!$B$8</x:f>
        <x:v>210763814399.99997</x:v>
      </x:c>
      <x:c r="AA461" s="87" t="n">
        <x:f>Z461*'01 Base Costs'!$B$11</x:f>
        <x:v>10538190720</x:v>
      </x:c>
      <x:c r="AB461" s="87" t="n">
        <x:f>Z461-AA461</x:f>
        <x:v>200225623679.99997</x:v>
      </x:c>
      <x:c r="AC461" s="87" t="n">
        <x:f>O461+Y461</x:f>
        <x:v>273473136000</x:v>
      </x:c>
      <x:c r="AD461" s="87" t="n">
        <x:f>AB461-AC461</x:f>
        <x:v>-73247512320.00003</x:v>
      </x:c>
      <x:c r="AE461" s="87" t="n">
        <x:f>AD461/D461</x:f>
        <x:v>-3051979680.0000014</x:v>
      </x:c>
      <x:c r="AF461" s="87" t="n">
        <x:f>AD461/P461</x:f>
        <x:v>-1017326560.0000005</x:v>
      </x:c>
      <x:c r="AG461" s="87" t="n">
        <x:f>IF(T461=0,0,AC461/T461/(1-'01 Base Costs'!$B$11))</x:f>
        <x:v>1028329542.9932858</x:v>
      </x:c>
      <x:c r="AH461" s="88" t="str">
        <x:f>IF(AD461&gt;0,"PROFIT","LOSS")</x:f>
        <x:v>LOSS</x:v>
      </x:c>
      <x:c r="AI461" s="89" t="str">
        <x:v>Base 24M Omega. MCT purchased with PLEX in NES. Extractor bought on market with ISK.</x:v>
      </x:c>
    </x:row>
    <x:row r="462">
      <x:c r="A462" s="86" t="n">
        <x:v>460</x:v>
      </x:c>
      <x:c r="B462" s="88" t="str">
        <x:v>Base</x:v>
      </x:c>
      <x:c r="C462" s="88" t="str">
        <x:v>24M Omega</x:v>
      </x:c>
      <x:c r="D462" s="88" t="n">
        <x:v>24</x:v>
      </x:c>
      <x:c r="E462" s="88" t="n">
        <x:v>3</x:v>
      </x:c>
      <x:c r="F462" s="88" t="str">
        <x:v>NES MCT 20% sale</x:v>
      </x:c>
      <x:c r="G462" s="88" t="str">
        <x:v>NES single extractor</x:v>
      </x:c>
      <x:c r="H462" s="87" t="n">
        <x:f>'01 Base Costs'!$B$25</x:f>
        <x:v>6600</x:v>
      </x:c>
      <x:c r="I462" s="87" t="n">
        <x:f>'01 Base Costs'!$B$16*0.8</x:f>
        <x:v>388</x:v>
      </x:c>
      <x:c r="J462" s="87" t="n">
        <x:f>0</x:f>
        <x:v>0</x:v>
      </x:c>
      <x:c r="K462" s="87" t="n">
        <x:f>D462*(E462-1)*I462</x:f>
        <x:v>18624</x:v>
      </x:c>
      <x:c r="L462" s="87" t="n">
        <x:f>D462*(E462-1)*J462</x:f>
        <x:v>0</x:v>
      </x:c>
      <x:c r="M462" s="87" t="n">
        <x:f>0</x:f>
        <x:v>0</x:v>
      </x:c>
      <x:c r="N462" s="87" t="n">
        <x:f>H462+K462+M462</x:f>
        <x:v>25224</x:v>
      </x:c>
      <x:c r="O462" s="87" t="n">
        <x:f>N462*'01 Base Costs'!$B$7+L462</x:f>
        <x:v>121327440000</x:v>
      </x:c>
      <x:c r="P462" s="87" t="n">
        <x:f>D462*E462</x:f>
        <x:v>72</x:v>
      </x:c>
      <x:c r="Q462" s="87" t="n">
        <x:f>P462*'01 Base Costs'!$B$12</x:f>
        <x:v>139968000</x:v>
      </x:c>
      <x:c r="R462" s="87" t="n">
        <x:f>0</x:f>
        <x:v>0</x:v>
      </x:c>
      <x:c r="S462" s="87" t="n">
        <x:f>Q462+R462</x:f>
        <x:v>139968000</x:v>
      </x:c>
      <x:c r="T462" s="141" t="n">
        <x:f>S462/'01 Base Costs'!$B$14</x:f>
        <x:v>279.936</x:v>
      </x:c>
      <x:c r="U462" s="87" t="n">
        <x:f>INT(T462)</x:f>
        <x:v>279</x:v>
      </x:c>
      <x:c r="V462" s="87" t="n">
        <x:f>S462-U462*'01 Base Costs'!$B$14</x:f>
        <x:v>468000</x:v>
      </x:c>
      <x:c r="W462" s="120" t="n">
        <x:f>'01 Base Costs'!$B$17</x:f>
        <x:v>140</x:v>
      </x:c>
      <x:c r="X462" s="120" t="n">
        <x:f>0</x:f>
        <x:v>0</x:v>
      </x:c>
      <x:c r="Y462" s="87" t="n">
        <x:f>T462*(W462*'01 Base Costs'!$B$7+X462)</x:f>
        <x:v>188508902400</x:v>
      </x:c>
      <x:c r="Z462" s="87" t="n">
        <x:f>T462*'01 Base Costs'!$B$8</x:f>
        <x:v>210763814399.99997</x:v>
      </x:c>
      <x:c r="AA462" s="87" t="n">
        <x:f>Z462*'01 Base Costs'!$B$11</x:f>
        <x:v>10538190720</x:v>
      </x:c>
      <x:c r="AB462" s="87" t="n">
        <x:f>Z462-AA462</x:f>
        <x:v>200225623679.99997</x:v>
      </x:c>
      <x:c r="AC462" s="87" t="n">
        <x:f>O462+Y462</x:f>
        <x:v>309836342400</x:v>
      </x:c>
      <x:c r="AD462" s="87" t="n">
        <x:f>AB462-AC462</x:f>
        <x:v>-109610718720.00003</x:v>
      </x:c>
      <x:c r="AE462" s="87" t="n">
        <x:f>AD462/D462</x:f>
        <x:v>-4567113280.000001</x:v>
      </x:c>
      <x:c r="AF462" s="87" t="n">
        <x:f>AD462/P462</x:f>
        <x:v>-1522371093.3333337</x:v>
      </x:c>
      <x:c r="AG462" s="87" t="n">
        <x:f>IF(T462=0,0,AC462/T462/(1-'01 Base Costs'!$B$11))</x:f>
        <x:v>1165064580.1747167</x:v>
      </x:c>
      <x:c r="AH462" s="88" t="str">
        <x:f>IF(AD462&gt;0,"PROFIT","LOSS")</x:f>
        <x:v>LOSS</x:v>
      </x:c>
      <x:c r="AI462" s="89" t="str">
        <x:v>Base 24M Omega. MCT sale 20% off. Base single extractor.</x:v>
      </x:c>
    </x:row>
    <x:row r="463">
      <x:c r="A463" s="86" t="n">
        <x:v>461</x:v>
      </x:c>
      <x:c r="B463" s="88" t="str">
        <x:v>Base</x:v>
      </x:c>
      <x:c r="C463" s="88" t="str">
        <x:v>24M Omega</x:v>
      </x:c>
      <x:c r="D463" s="88" t="n">
        <x:v>24</x:v>
      </x:c>
      <x:c r="E463" s="88" t="n">
        <x:v>3</x:v>
      </x:c>
      <x:c r="F463" s="88" t="str">
        <x:v>NES MCT 20% sale</x:v>
      </x:c>
      <x:c r="G463" s="88" t="str">
        <x:v>NES 5-pack extractor</x:v>
      </x:c>
      <x:c r="H463" s="87" t="n">
        <x:f>'01 Base Costs'!$B$25</x:f>
        <x:v>6600</x:v>
      </x:c>
      <x:c r="I463" s="87" t="n">
        <x:f>'01 Base Costs'!$B$16*0.8</x:f>
        <x:v>388</x:v>
      </x:c>
      <x:c r="J463" s="87" t="n">
        <x:f>0</x:f>
        <x:v>0</x:v>
      </x:c>
      <x:c r="K463" s="87" t="n">
        <x:f>D463*(E463-1)*I463</x:f>
        <x:v>18624</x:v>
      </x:c>
      <x:c r="L463" s="87" t="n">
        <x:f>D463*(E463-1)*J463</x:f>
        <x:v>0</x:v>
      </x:c>
      <x:c r="M463" s="87" t="n">
        <x:f>0</x:f>
        <x:v>0</x:v>
      </x:c>
      <x:c r="N463" s="87" t="n">
        <x:f>H463+K463+M463</x:f>
        <x:v>25224</x:v>
      </x:c>
      <x:c r="O463" s="87" t="n">
        <x:f>N463*'01 Base Costs'!$B$7+L463</x:f>
        <x:v>121327440000</x:v>
      </x:c>
      <x:c r="P463" s="87" t="n">
        <x:f>D463*E463</x:f>
        <x:v>72</x:v>
      </x:c>
      <x:c r="Q463" s="87" t="n">
        <x:f>P463*'01 Base Costs'!$B$12</x:f>
        <x:v>139968000</x:v>
      </x:c>
      <x:c r="R463" s="87" t="n">
        <x:f>0</x:f>
        <x:v>0</x:v>
      </x:c>
      <x:c r="S463" s="87" t="n">
        <x:f>Q463+R463</x:f>
        <x:v>139968000</x:v>
      </x:c>
      <x:c r="T463" s="141" t="n">
        <x:f>S463/'01 Base Costs'!$B$14</x:f>
        <x:v>279.936</x:v>
      </x:c>
      <x:c r="U463" s="87" t="n">
        <x:f>INT(T463)</x:f>
        <x:v>279</x:v>
      </x:c>
      <x:c r="V463" s="87" t="n">
        <x:f>S463-U463*'01 Base Costs'!$B$14</x:f>
        <x:v>468000</x:v>
      </x:c>
      <x:c r="W463" s="120" t="n">
        <x:f>'01 Base Costs'!$B$18/5</x:f>
        <x:v>126</x:v>
      </x:c>
      <x:c r="X463" s="120" t="n">
        <x:f>0</x:f>
        <x:v>0</x:v>
      </x:c>
      <x:c r="Y463" s="87" t="n">
        <x:f>T463*(W463*'01 Base Costs'!$B$7+X463)</x:f>
        <x:v>169658012160</x:v>
      </x:c>
      <x:c r="Z463" s="87" t="n">
        <x:f>T463*'01 Base Costs'!$B$8</x:f>
        <x:v>210763814399.99997</x:v>
      </x:c>
      <x:c r="AA463" s="87" t="n">
        <x:f>Z463*'01 Base Costs'!$B$11</x:f>
        <x:v>10538190720</x:v>
      </x:c>
      <x:c r="AB463" s="87" t="n">
        <x:f>Z463-AA463</x:f>
        <x:v>200225623679.99997</x:v>
      </x:c>
      <x:c r="AC463" s="87" t="n">
        <x:f>O463+Y463</x:f>
        <x:v>290985452160</x:v>
      </x:c>
      <x:c r="AD463" s="87" t="n">
        <x:f>AB463-AC463</x:f>
        <x:v>-90759828480.00003</x:v>
      </x:c>
      <x:c r="AE463" s="87" t="n">
        <x:f>AD463/D463</x:f>
        <x:v>-3781659520.0000014</x:v>
      </x:c>
      <x:c r="AF463" s="87" t="n">
        <x:f>AD463/P463</x:f>
        <x:v>-1260553173.3333337</x:v>
      </x:c>
      <x:c r="AG463" s="87" t="n">
        <x:f>IF(T463=0,0,AC463/T463/(1-'01 Base Costs'!$B$11))</x:f>
        <x:v>1094180369.648401</x:v>
      </x:c>
      <x:c r="AH463" s="88" t="str">
        <x:f>IF(AD463&gt;0,"PROFIT","LOSS")</x:f>
        <x:v>LOSS</x:v>
      </x:c>
      <x:c r="AI463" s="89" t="str">
        <x:v>Base 24M Omega. MCT sale 20% off. Base 5-pack average.</x:v>
      </x:c>
    </x:row>
    <x:row r="464">
      <x:c r="A464" s="86" t="n">
        <x:v>462</x:v>
      </x:c>
      <x:c r="B464" s="88" t="str">
        <x:v>Base</x:v>
      </x:c>
      <x:c r="C464" s="88" t="str">
        <x:v>24M Omega</x:v>
      </x:c>
      <x:c r="D464" s="88" t="n">
        <x:v>24</x:v>
      </x:c>
      <x:c r="E464" s="88" t="n">
        <x:v>3</x:v>
      </x:c>
      <x:c r="F464" s="88" t="str">
        <x:v>NES MCT 20% sale</x:v>
      </x:c>
      <x:c r="G464" s="88" t="str">
        <x:v>NES 10-pack extractor</x:v>
      </x:c>
      <x:c r="H464" s="87" t="n">
        <x:f>'01 Base Costs'!$B$25</x:f>
        <x:v>6600</x:v>
      </x:c>
      <x:c r="I464" s="87" t="n">
        <x:f>'01 Base Costs'!$B$16*0.8</x:f>
        <x:v>388</x:v>
      </x:c>
      <x:c r="J464" s="87" t="n">
        <x:f>0</x:f>
        <x:v>0</x:v>
      </x:c>
      <x:c r="K464" s="87" t="n">
        <x:f>D464*(E464-1)*I464</x:f>
        <x:v>18624</x:v>
      </x:c>
      <x:c r="L464" s="87" t="n">
        <x:f>D464*(E464-1)*J464</x:f>
        <x:v>0</x:v>
      </x:c>
      <x:c r="M464" s="87" t="n">
        <x:f>0</x:f>
        <x:v>0</x:v>
      </x:c>
      <x:c r="N464" s="87" t="n">
        <x:f>H464+K464+M464</x:f>
        <x:v>25224</x:v>
      </x:c>
      <x:c r="O464" s="87" t="n">
        <x:f>N464*'01 Base Costs'!$B$7+L464</x:f>
        <x:v>121327440000</x:v>
      </x:c>
      <x:c r="P464" s="87" t="n">
        <x:f>D464*E464</x:f>
        <x:v>72</x:v>
      </x:c>
      <x:c r="Q464" s="87" t="n">
        <x:f>P464*'01 Base Costs'!$B$12</x:f>
        <x:v>139968000</x:v>
      </x:c>
      <x:c r="R464" s="87" t="n">
        <x:f>0</x:f>
        <x:v>0</x:v>
      </x:c>
      <x:c r="S464" s="87" t="n">
        <x:f>Q464+R464</x:f>
        <x:v>139968000</x:v>
      </x:c>
      <x:c r="T464" s="141" t="n">
        <x:f>S464/'01 Base Costs'!$B$14</x:f>
        <x:v>279.936</x:v>
      </x:c>
      <x:c r="U464" s="87" t="n">
        <x:f>INT(T464)</x:f>
        <x:v>279</x:v>
      </x:c>
      <x:c r="V464" s="87" t="n">
        <x:f>S464-U464*'01 Base Costs'!$B$14</x:f>
        <x:v>468000</x:v>
      </x:c>
      <x:c r="W464" s="120" t="n">
        <x:f>'01 Base Costs'!$B$19/10</x:f>
        <x:v>119</x:v>
      </x:c>
      <x:c r="X464" s="120" t="n">
        <x:f>0</x:f>
        <x:v>0</x:v>
      </x:c>
      <x:c r="Y464" s="87" t="n">
        <x:f>T464*(W464*'01 Base Costs'!$B$7+X464)</x:f>
        <x:v>160232567040</x:v>
      </x:c>
      <x:c r="Z464" s="87" t="n">
        <x:f>T464*'01 Base Costs'!$B$8</x:f>
        <x:v>210763814399.99997</x:v>
      </x:c>
      <x:c r="AA464" s="87" t="n">
        <x:f>Z464*'01 Base Costs'!$B$11</x:f>
        <x:v>10538190720</x:v>
      </x:c>
      <x:c r="AB464" s="87" t="n">
        <x:f>Z464-AA464</x:f>
        <x:v>200225623679.99997</x:v>
      </x:c>
      <x:c r="AC464" s="87" t="n">
        <x:f>O464+Y464</x:f>
        <x:v>281560007040</x:v>
      </x:c>
      <x:c r="AD464" s="87" t="n">
        <x:f>AB464-AC464</x:f>
        <x:v>-81334383360.00003</x:v>
      </x:c>
      <x:c r="AE464" s="87" t="n">
        <x:f>AD464/D464</x:f>
        <x:v>-3388932640.0000014</x:v>
      </x:c>
      <x:c r="AF464" s="87" t="n">
        <x:f>AD464/P464</x:f>
        <x:v>-1129644213.3333337</x:v>
      </x:c>
      <x:c r="AG464" s="87" t="n">
        <x:f>IF(T464=0,0,AC464/T464/(1-'01 Base Costs'!$B$11))</x:f>
        <x:v>1058738264.385243</x:v>
      </x:c>
      <x:c r="AH464" s="88" t="str">
        <x:f>IF(AD464&gt;0,"PROFIT","LOSS")</x:f>
        <x:v>LOSS</x:v>
      </x:c>
      <x:c r="AI464" s="89" t="str">
        <x:v>Base 24M Omega. MCT sale 20% off. Base 10-pack average.</x:v>
      </x:c>
    </x:row>
    <x:row r="465">
      <x:c r="A465" s="86" t="n">
        <x:v>463</x:v>
      </x:c>
      <x:c r="B465" s="88" t="str">
        <x:v>Base</x:v>
      </x:c>
      <x:c r="C465" s="88" t="str">
        <x:v>24M Omega</x:v>
      </x:c>
      <x:c r="D465" s="88" t="n">
        <x:v>24</x:v>
      </x:c>
      <x:c r="E465" s="88" t="n">
        <x:v>3</x:v>
      </x:c>
      <x:c r="F465" s="88" t="str">
        <x:v>NES MCT 20% sale</x:v>
      </x:c>
      <x:c r="G465" s="88" t="str">
        <x:v>NES 50-pack extractor</x:v>
      </x:c>
      <x:c r="H465" s="87" t="n">
        <x:f>'01 Base Costs'!$B$25</x:f>
        <x:v>6600</x:v>
      </x:c>
      <x:c r="I465" s="87" t="n">
        <x:f>'01 Base Costs'!$B$16*0.8</x:f>
        <x:v>388</x:v>
      </x:c>
      <x:c r="J465" s="87" t="n">
        <x:f>0</x:f>
        <x:v>0</x:v>
      </x:c>
      <x:c r="K465" s="87" t="n">
        <x:f>D465*(E465-1)*I465</x:f>
        <x:v>18624</x:v>
      </x:c>
      <x:c r="L465" s="87" t="n">
        <x:f>D465*(E465-1)*J465</x:f>
        <x:v>0</x:v>
      </x:c>
      <x:c r="M465" s="87" t="n">
        <x:f>0</x:f>
        <x:v>0</x:v>
      </x:c>
      <x:c r="N465" s="87" t="n">
        <x:f>H465+K465+M465</x:f>
        <x:v>25224</x:v>
      </x:c>
      <x:c r="O465" s="87" t="n">
        <x:f>N465*'01 Base Costs'!$B$7+L465</x:f>
        <x:v>121327440000</x:v>
      </x:c>
      <x:c r="P465" s="87" t="n">
        <x:f>D465*E465</x:f>
        <x:v>72</x:v>
      </x:c>
      <x:c r="Q465" s="87" t="n">
        <x:f>P465*'01 Base Costs'!$B$12</x:f>
        <x:v>139968000</x:v>
      </x:c>
      <x:c r="R465" s="87" t="n">
        <x:f>0</x:f>
        <x:v>0</x:v>
      </x:c>
      <x:c r="S465" s="87" t="n">
        <x:f>Q465+R465</x:f>
        <x:v>139968000</x:v>
      </x:c>
      <x:c r="T465" s="141" t="n">
        <x:f>S465/'01 Base Costs'!$B$14</x:f>
        <x:v>279.936</x:v>
      </x:c>
      <x:c r="U465" s="87" t="n">
        <x:f>INT(T465)</x:f>
        <x:v>279</x:v>
      </x:c>
      <x:c r="V465" s="87" t="n">
        <x:f>S465-U465*'01 Base Costs'!$B$14</x:f>
        <x:v>468000</x:v>
      </x:c>
      <x:c r="W465" s="120" t="n">
        <x:f>'01 Base Costs'!$B$20/50</x:f>
        <x:v>112</x:v>
      </x:c>
      <x:c r="X465" s="120" t="n">
        <x:f>0</x:f>
        <x:v>0</x:v>
      </x:c>
      <x:c r="Y465" s="87" t="n">
        <x:f>T465*(W465*'01 Base Costs'!$B$7+X465)</x:f>
        <x:v>150807121920</x:v>
      </x:c>
      <x:c r="Z465" s="87" t="n">
        <x:f>T465*'01 Base Costs'!$B$8</x:f>
        <x:v>210763814399.99997</x:v>
      </x:c>
      <x:c r="AA465" s="87" t="n">
        <x:f>Z465*'01 Base Costs'!$B$11</x:f>
        <x:v>10538190720</x:v>
      </x:c>
      <x:c r="AB465" s="87" t="n">
        <x:f>Z465-AA465</x:f>
        <x:v>200225623679.99997</x:v>
      </x:c>
      <x:c r="AC465" s="87" t="n">
        <x:f>O465+Y465</x:f>
        <x:v>272134561920</x:v>
      </x:c>
      <x:c r="AD465" s="87" t="n">
        <x:f>AB465-AC465</x:f>
        <x:v>-71908938240.00003</x:v>
      </x:c>
      <x:c r="AE465" s="87" t="n">
        <x:f>AD465/D465</x:f>
        <x:v>-2996205760.0000014</x:v>
      </x:c>
      <x:c r="AF465" s="87" t="n">
        <x:f>AD465/P465</x:f>
        <x:v>-998735253.3333337</x:v>
      </x:c>
      <x:c r="AG465" s="87" t="n">
        <x:f>IF(T465=0,0,AC465/T465/(1-'01 Base Costs'!$B$11))</x:f>
        <x:v>1023296159.1220851</x:v>
      </x:c>
      <x:c r="AH465" s="88" t="str">
        <x:f>IF(AD465&gt;0,"PROFIT","LOSS")</x:f>
        <x:v>LOSS</x:v>
      </x:c>
      <x:c r="AI465" s="89" t="str">
        <x:v>Base 24M Omega. MCT sale 20% off. Base 50-pack average.</x:v>
      </x:c>
    </x:row>
    <x:row r="466">
      <x:c r="A466" s="86" t="n">
        <x:v>464</x:v>
      </x:c>
      <x:c r="B466" s="88" t="str">
        <x:v>Base</x:v>
      </x:c>
      <x:c r="C466" s="88" t="str">
        <x:v>24M Omega</x:v>
      </x:c>
      <x:c r="D466" s="88" t="n">
        <x:v>24</x:v>
      </x:c>
      <x:c r="E466" s="88" t="n">
        <x:v>3</x:v>
      </x:c>
      <x:c r="F466" s="88" t="str">
        <x:v>NES MCT 20% sale</x:v>
      </x:c>
      <x:c r="G466" s="88" t="str">
        <x:v>NES 3-for-2 extractor sale</x:v>
      </x:c>
      <x:c r="H466" s="87" t="n">
        <x:f>'01 Base Costs'!$B$25</x:f>
        <x:v>6600</x:v>
      </x:c>
      <x:c r="I466" s="87" t="n">
        <x:f>'01 Base Costs'!$B$16*0.8</x:f>
        <x:v>388</x:v>
      </x:c>
      <x:c r="J466" s="87" t="n">
        <x:f>0</x:f>
        <x:v>0</x:v>
      </x:c>
      <x:c r="K466" s="87" t="n">
        <x:f>D466*(E466-1)*I466</x:f>
        <x:v>18624</x:v>
      </x:c>
      <x:c r="L466" s="87" t="n">
        <x:f>D466*(E466-1)*J466</x:f>
        <x:v>0</x:v>
      </x:c>
      <x:c r="M466" s="87" t="n">
        <x:f>0</x:f>
        <x:v>0</x:v>
      </x:c>
      <x:c r="N466" s="87" t="n">
        <x:f>H466+K466+M466</x:f>
        <x:v>25224</x:v>
      </x:c>
      <x:c r="O466" s="87" t="n">
        <x:f>N466*'01 Base Costs'!$B$7+L466</x:f>
        <x:v>121327440000</x:v>
      </x:c>
      <x:c r="P466" s="87" t="n">
        <x:f>D466*E466</x:f>
        <x:v>72</x:v>
      </x:c>
      <x:c r="Q466" s="87" t="n">
        <x:f>P466*'01 Base Costs'!$B$12</x:f>
        <x:v>139968000</x:v>
      </x:c>
      <x:c r="R466" s="87" t="n">
        <x:f>0</x:f>
        <x:v>0</x:v>
      </x:c>
      <x:c r="S466" s="87" t="n">
        <x:f>Q466+R466</x:f>
        <x:v>139968000</x:v>
      </x:c>
      <x:c r="T466" s="141" t="n">
        <x:f>S466/'01 Base Costs'!$B$14</x:f>
        <x:v>279.936</x:v>
      </x:c>
      <x:c r="U466" s="87" t="n">
        <x:f>INT(T466)</x:f>
        <x:v>279</x:v>
      </x:c>
      <x:c r="V466" s="87" t="n">
        <x:f>S466-U466*'01 Base Costs'!$B$14</x:f>
        <x:v>468000</x:v>
      </x:c>
      <x:c r="W466" s="120" t="n">
        <x:f>'01 Base Costs'!$B$17*2/3</x:f>
        <x:v>93.33333333333333</x:v>
      </x:c>
      <x:c r="X466" s="120" t="n">
        <x:f>0</x:f>
        <x:v>0</x:v>
      </x:c>
      <x:c r="Y466" s="87" t="n">
        <x:f>T466*(W466*'01 Base Costs'!$B$7+X466)</x:f>
        <x:v>125672601599.99998</x:v>
      </x:c>
      <x:c r="Z466" s="87" t="n">
        <x:f>T466*'01 Base Costs'!$B$8</x:f>
        <x:v>210763814399.99997</x:v>
      </x:c>
      <x:c r="AA466" s="87" t="n">
        <x:f>Z466*'01 Base Costs'!$B$11</x:f>
        <x:v>10538190720</x:v>
      </x:c>
      <x:c r="AB466" s="87" t="n">
        <x:f>Z466-AA466</x:f>
        <x:v>200225623679.99997</x:v>
      </x:c>
      <x:c r="AC466" s="87" t="n">
        <x:f>O466+Y466</x:f>
        <x:v>247000041600</x:v>
      </x:c>
      <x:c r="AD466" s="87" t="n">
        <x:f>AB466-AC466</x:f>
        <x:v>-46774417920.00003</x:v>
      </x:c>
      <x:c r="AE466" s="87" t="n">
        <x:f>AD466/D466</x:f>
        <x:v>-1948934080.0000012</x:v>
      </x:c>
      <x:c r="AF466" s="87" t="n">
        <x:f>AD466/P466</x:f>
        <x:v>-649644693.3333337</x:v>
      </x:c>
      <x:c r="AG466" s="87" t="n">
        <x:f>IF(T466=0,0,AC466/T466/(1-'01 Base Costs'!$B$11))</x:f>
        <x:v>928783878.4203308</x:v>
      </x:c>
      <x:c r="AH466" s="88" t="str">
        <x:f>IF(AD466&gt;0,"PROFIT","LOSS")</x:f>
        <x:v>LOSS</x:v>
      </x:c>
      <x:c r="AI466" s="89" t="str">
        <x:v>Base 24M Omega. MCT sale 20% off. Extractor 3-for-2 sale.</x:v>
      </x:c>
    </x:row>
    <x:row r="467">
      <x:c r="A467" s="86" t="n">
        <x:v>465</x:v>
      </x:c>
      <x:c r="B467" s="88" t="str">
        <x:v>Base</x:v>
      </x:c>
      <x:c r="C467" s="88" t="str">
        <x:v>24M Omega</x:v>
      </x:c>
      <x:c r="D467" s="88" t="n">
        <x:v>24</x:v>
      </x:c>
      <x:c r="E467" s="88" t="n">
        <x:v>3</x:v>
      </x:c>
      <x:c r="F467" s="88" t="str">
        <x:v>NES MCT 20% sale</x:v>
      </x:c>
      <x:c r="G467" s="88" t="str">
        <x:v>NES 2-for-1 extractor sale</x:v>
      </x:c>
      <x:c r="H467" s="87" t="n">
        <x:f>'01 Base Costs'!$B$25</x:f>
        <x:v>6600</x:v>
      </x:c>
      <x:c r="I467" s="87" t="n">
        <x:f>'01 Base Costs'!$B$16*0.8</x:f>
        <x:v>388</x:v>
      </x:c>
      <x:c r="J467" s="87" t="n">
        <x:f>0</x:f>
        <x:v>0</x:v>
      </x:c>
      <x:c r="K467" s="87" t="n">
        <x:f>D467*(E467-1)*I467</x:f>
        <x:v>18624</x:v>
      </x:c>
      <x:c r="L467" s="87" t="n">
        <x:f>D467*(E467-1)*J467</x:f>
        <x:v>0</x:v>
      </x:c>
      <x:c r="M467" s="87" t="n">
        <x:f>0</x:f>
        <x:v>0</x:v>
      </x:c>
      <x:c r="N467" s="87" t="n">
        <x:f>H467+K467+M467</x:f>
        <x:v>25224</x:v>
      </x:c>
      <x:c r="O467" s="87" t="n">
        <x:f>N467*'01 Base Costs'!$B$7+L467</x:f>
        <x:v>121327440000</x:v>
      </x:c>
      <x:c r="P467" s="87" t="n">
        <x:f>D467*E467</x:f>
        <x:v>72</x:v>
      </x:c>
      <x:c r="Q467" s="87" t="n">
        <x:f>P467*'01 Base Costs'!$B$12</x:f>
        <x:v>139968000</x:v>
      </x:c>
      <x:c r="R467" s="87" t="n">
        <x:f>0</x:f>
        <x:v>0</x:v>
      </x:c>
      <x:c r="S467" s="87" t="n">
        <x:f>Q467+R467</x:f>
        <x:v>139968000</x:v>
      </x:c>
      <x:c r="T467" s="141" t="n">
        <x:f>S467/'01 Base Costs'!$B$14</x:f>
        <x:v>279.936</x:v>
      </x:c>
      <x:c r="U467" s="87" t="n">
        <x:f>INT(T467)</x:f>
        <x:v>279</x:v>
      </x:c>
      <x:c r="V467" s="87" t="n">
        <x:f>S467-U467*'01 Base Costs'!$B$14</x:f>
        <x:v>468000</x:v>
      </x:c>
      <x:c r="W467" s="120" t="n">
        <x:f>'01 Base Costs'!$B$17/2</x:f>
        <x:v>70</x:v>
      </x:c>
      <x:c r="X467" s="120" t="n">
        <x:f>0</x:f>
        <x:v>0</x:v>
      </x:c>
      <x:c r="Y467" s="87" t="n">
        <x:f>T467*(W467*'01 Base Costs'!$B$7+X467)</x:f>
        <x:v>94254451200</x:v>
      </x:c>
      <x:c r="Z467" s="87" t="n">
        <x:f>T467*'01 Base Costs'!$B$8</x:f>
        <x:v>210763814399.99997</x:v>
      </x:c>
      <x:c r="AA467" s="87" t="n">
        <x:f>Z467*'01 Base Costs'!$B$11</x:f>
        <x:v>10538190720</x:v>
      </x:c>
      <x:c r="AB467" s="87" t="n">
        <x:f>Z467-AA467</x:f>
        <x:v>200225623679.99997</x:v>
      </x:c>
      <x:c r="AC467" s="87" t="n">
        <x:f>O467+Y467</x:f>
        <x:v>215581891200</x:v>
      </x:c>
      <x:c r="AD467" s="87" t="n">
        <x:f>AB467-AC467</x:f>
        <x:v>-15356267520.00003</x:v>
      </x:c>
      <x:c r="AE467" s="87" t="n">
        <x:f>AD467/D467</x:f>
        <x:v>-639844480.0000013</x:v>
      </x:c>
      <x:c r="AF467" s="87" t="n">
        <x:f>AD467/P467</x:f>
        <x:v>-213281493.33333376</x:v>
      </x:c>
      <x:c r="AG467" s="87" t="n">
        <x:f>IF(T467=0,0,AC467/T467/(1-'01 Base Costs'!$B$11))</x:f>
        <x:v>810643527.5431378</x:v>
      </x:c>
      <x:c r="AH467" s="88" t="str">
        <x:f>IF(AD467&gt;0,"PROFIT","LOSS")</x:f>
        <x:v>LOSS</x:v>
      </x:c>
      <x:c r="AI467" s="89" t="str">
        <x:v>Base 24M Omega. MCT sale 20% off. Extractor 2-for-1 sale.</x:v>
      </x:c>
    </x:row>
    <x:row r="468">
      <x:c r="A468" s="86" t="n">
        <x:v>466</x:v>
      </x:c>
      <x:c r="B468" s="88" t="str">
        <x:v>Base</x:v>
      </x:c>
      <x:c r="C468" s="88" t="str">
        <x:v>24M Omega</x:v>
      </x:c>
      <x:c r="D468" s="88" t="n">
        <x:v>24</x:v>
      </x:c>
      <x:c r="E468" s="88" t="n">
        <x:v>3</x:v>
      </x:c>
      <x:c r="F468" s="88" t="str">
        <x:v>NES MCT 20% sale</x:v>
      </x:c>
      <x:c r="G468" s="88" t="str">
        <x:v>NES 10-pack extractor 20% sale</x:v>
      </x:c>
      <x:c r="H468" s="87" t="n">
        <x:f>'01 Base Costs'!$B$25</x:f>
        <x:v>6600</x:v>
      </x:c>
      <x:c r="I468" s="87" t="n">
        <x:f>'01 Base Costs'!$B$16*0.8</x:f>
        <x:v>388</x:v>
      </x:c>
      <x:c r="J468" s="87" t="n">
        <x:f>0</x:f>
        <x:v>0</x:v>
      </x:c>
      <x:c r="K468" s="87" t="n">
        <x:f>D468*(E468-1)*I468</x:f>
        <x:v>18624</x:v>
      </x:c>
      <x:c r="L468" s="87" t="n">
        <x:f>D468*(E468-1)*J468</x:f>
        <x:v>0</x:v>
      </x:c>
      <x:c r="M468" s="87" t="n">
        <x:f>0</x:f>
        <x:v>0</x:v>
      </x:c>
      <x:c r="N468" s="87" t="n">
        <x:f>H468+K468+M468</x:f>
        <x:v>25224</x:v>
      </x:c>
      <x:c r="O468" s="87" t="n">
        <x:f>N468*'01 Base Costs'!$B$7+L468</x:f>
        <x:v>121327440000</x:v>
      </x:c>
      <x:c r="P468" s="87" t="n">
        <x:f>D468*E468</x:f>
        <x:v>72</x:v>
      </x:c>
      <x:c r="Q468" s="87" t="n">
        <x:f>P468*'01 Base Costs'!$B$12</x:f>
        <x:v>139968000</x:v>
      </x:c>
      <x:c r="R468" s="87" t="n">
        <x:f>0</x:f>
        <x:v>0</x:v>
      </x:c>
      <x:c r="S468" s="87" t="n">
        <x:f>Q468+R468</x:f>
        <x:v>139968000</x:v>
      </x:c>
      <x:c r="T468" s="141" t="n">
        <x:f>S468/'01 Base Costs'!$B$14</x:f>
        <x:v>279.936</x:v>
      </x:c>
      <x:c r="U468" s="87" t="n">
        <x:f>INT(T468)</x:f>
        <x:v>279</x:v>
      </x:c>
      <x:c r="V468" s="87" t="n">
        <x:f>S468-U468*'01 Base Costs'!$B$14</x:f>
        <x:v>468000</x:v>
      </x:c>
      <x:c r="W468" s="120" t="n">
        <x:f>'01 Base Costs'!$B$19*0.8/10</x:f>
        <x:v>95.2</x:v>
      </x:c>
      <x:c r="X468" s="120" t="n">
        <x:f>0</x:f>
        <x:v>0</x:v>
      </x:c>
      <x:c r="Y468" s="87" t="n">
        <x:f>T468*(W468*'01 Base Costs'!$B$7+X468)</x:f>
        <x:v>128186053631.99998</x:v>
      </x:c>
      <x:c r="Z468" s="87" t="n">
        <x:f>T468*'01 Base Costs'!$B$8</x:f>
        <x:v>210763814399.99997</x:v>
      </x:c>
      <x:c r="AA468" s="87" t="n">
        <x:f>Z468*'01 Base Costs'!$B$11</x:f>
        <x:v>10538190720</x:v>
      </x:c>
      <x:c r="AB468" s="87" t="n">
        <x:f>Z468-AA468</x:f>
        <x:v>200225623679.99997</x:v>
      </x:c>
      <x:c r="AC468" s="87" t="n">
        <x:f>O468+Y468</x:f>
        <x:v>249513493632</x:v>
      </x:c>
      <x:c r="AD468" s="87" t="n">
        <x:f>AB468-AC468</x:f>
        <x:v>-49287869952.00003</x:v>
      </x:c>
      <x:c r="AE468" s="87" t="n">
        <x:f>AD468/D468</x:f>
        <x:v>-2053661248.0000012</x:v>
      </x:c>
      <x:c r="AF468" s="87" t="n">
        <x:f>AD468/P468</x:f>
        <x:v>-684553749.3333337</x:v>
      </x:c>
      <x:c r="AG468" s="87" t="n">
        <x:f>IF(T468=0,0,AC468/T468/(1-'01 Base Costs'!$B$11))</x:f>
        <x:v>938235106.4905062</x:v>
      </x:c>
      <x:c r="AH468" s="88" t="str">
        <x:f>IF(AD468&gt;0,"PROFIT","LOSS")</x:f>
        <x:v>LOSS</x:v>
      </x:c>
      <x:c r="AI468" s="89" t="str">
        <x:v>Base 24M Omega. MCT sale 20% off. 10-pack at 20% off.</x:v>
      </x:c>
    </x:row>
    <x:row r="469">
      <x:c r="A469" s="86" t="n">
        <x:v>467</x:v>
      </x:c>
      <x:c r="B469" s="88" t="str">
        <x:v>Base</x:v>
      </x:c>
      <x:c r="C469" s="88" t="str">
        <x:v>24M Omega</x:v>
      </x:c>
      <x:c r="D469" s="88" t="n">
        <x:v>24</x:v>
      </x:c>
      <x:c r="E469" s="88" t="n">
        <x:v>3</x:v>
      </x:c>
      <x:c r="F469" s="88" t="str">
        <x:v>NES MCT 20% sale</x:v>
      </x:c>
      <x:c r="G469" s="88" t="str">
        <x:v>NES 50-pack extractor 20% sale</x:v>
      </x:c>
      <x:c r="H469" s="87" t="n">
        <x:f>'01 Base Costs'!$B$25</x:f>
        <x:v>6600</x:v>
      </x:c>
      <x:c r="I469" s="87" t="n">
        <x:f>'01 Base Costs'!$B$16*0.8</x:f>
        <x:v>388</x:v>
      </x:c>
      <x:c r="J469" s="87" t="n">
        <x:f>0</x:f>
        <x:v>0</x:v>
      </x:c>
      <x:c r="K469" s="87" t="n">
        <x:f>D469*(E469-1)*I469</x:f>
        <x:v>18624</x:v>
      </x:c>
      <x:c r="L469" s="87" t="n">
        <x:f>D469*(E469-1)*J469</x:f>
        <x:v>0</x:v>
      </x:c>
      <x:c r="M469" s="87" t="n">
        <x:f>0</x:f>
        <x:v>0</x:v>
      </x:c>
      <x:c r="N469" s="87" t="n">
        <x:f>H469+K469+M469</x:f>
        <x:v>25224</x:v>
      </x:c>
      <x:c r="O469" s="87" t="n">
        <x:f>N469*'01 Base Costs'!$B$7+L469</x:f>
        <x:v>121327440000</x:v>
      </x:c>
      <x:c r="P469" s="87" t="n">
        <x:f>D469*E469</x:f>
        <x:v>72</x:v>
      </x:c>
      <x:c r="Q469" s="87" t="n">
        <x:f>P469*'01 Base Costs'!$B$12</x:f>
        <x:v>139968000</x:v>
      </x:c>
      <x:c r="R469" s="87" t="n">
        <x:f>0</x:f>
        <x:v>0</x:v>
      </x:c>
      <x:c r="S469" s="87" t="n">
        <x:f>Q469+R469</x:f>
        <x:v>139968000</x:v>
      </x:c>
      <x:c r="T469" s="141" t="n">
        <x:f>S469/'01 Base Costs'!$B$14</x:f>
        <x:v>279.936</x:v>
      </x:c>
      <x:c r="U469" s="87" t="n">
        <x:f>INT(T469)</x:f>
        <x:v>279</x:v>
      </x:c>
      <x:c r="V469" s="87" t="n">
        <x:f>S469-U469*'01 Base Costs'!$B$14</x:f>
        <x:v>468000</x:v>
      </x:c>
      <x:c r="W469" s="120" t="n">
        <x:f>'01 Base Costs'!$B$20*0.8/50</x:f>
        <x:v>89.6</x:v>
      </x:c>
      <x:c r="X469" s="120" t="n">
        <x:f>0</x:f>
        <x:v>0</x:v>
      </x:c>
      <x:c r="Y469" s="87" t="n">
        <x:f>T469*(W469*'01 Base Costs'!$B$7+X469)</x:f>
        <x:v>120645697535.99998</x:v>
      </x:c>
      <x:c r="Z469" s="87" t="n">
        <x:f>T469*'01 Base Costs'!$B$8</x:f>
        <x:v>210763814399.99997</x:v>
      </x:c>
      <x:c r="AA469" s="87" t="n">
        <x:f>Z469*'01 Base Costs'!$B$11</x:f>
        <x:v>10538190720</x:v>
      </x:c>
      <x:c r="AB469" s="87" t="n">
        <x:f>Z469-AA469</x:f>
        <x:v>200225623679.99997</x:v>
      </x:c>
      <x:c r="AC469" s="87" t="n">
        <x:f>O469+Y469</x:f>
        <x:v>241973137536</x:v>
      </x:c>
      <x:c r="AD469" s="87" t="n">
        <x:f>AB469-AC469</x:f>
        <x:v>-41747513856.00003</x:v>
      </x:c>
      <x:c r="AE469" s="87" t="n">
        <x:f>AD469/D469</x:f>
        <x:v>-1739479744.0000012</x:v>
      </x:c>
      <x:c r="AF469" s="87" t="n">
        <x:f>AD469/P469</x:f>
        <x:v>-579826581.3333337</x:v>
      </x:c>
      <x:c r="AG469" s="87" t="n">
        <x:f>IF(T469=0,0,AC469/T469/(1-'01 Base Costs'!$B$11))</x:f>
        <x:v>909881422.2799798</x:v>
      </x:c>
      <x:c r="AH469" s="88" t="str">
        <x:f>IF(AD469&gt;0,"PROFIT","LOSS")</x:f>
        <x:v>LOSS</x:v>
      </x:c>
      <x:c r="AI469" s="89" t="str">
        <x:v>Base 24M Omega. MCT sale 20% off. 50-pack at 20% off.</x:v>
      </x:c>
    </x:row>
    <x:row r="470">
      <x:c r="A470" s="86" t="n">
        <x:v>468</x:v>
      </x:c>
      <x:c r="B470" s="88" t="str">
        <x:v>Base</x:v>
      </x:c>
      <x:c r="C470" s="88" t="str">
        <x:v>24M Omega</x:v>
      </x:c>
      <x:c r="D470" s="88" t="n">
        <x:v>24</x:v>
      </x:c>
      <x:c r="E470" s="88" t="n">
        <x:v>3</x:v>
      </x:c>
      <x:c r="F470" s="88" t="str">
        <x:v>NES MCT 20% sale</x:v>
      </x:c>
      <x:c r="G470" s="88" t="str">
        <x:v>Market Skill Extractor</x:v>
      </x:c>
      <x:c r="H470" s="87" t="n">
        <x:f>'01 Base Costs'!$B$25</x:f>
        <x:v>6600</x:v>
      </x:c>
      <x:c r="I470" s="87" t="n">
        <x:f>'01 Base Costs'!$B$16*0.8</x:f>
        <x:v>388</x:v>
      </x:c>
      <x:c r="J470" s="87" t="n">
        <x:f>0</x:f>
        <x:v>0</x:v>
      </x:c>
      <x:c r="K470" s="87" t="n">
        <x:f>D470*(E470-1)*I470</x:f>
        <x:v>18624</x:v>
      </x:c>
      <x:c r="L470" s="87" t="n">
        <x:f>D470*(E470-1)*J470</x:f>
        <x:v>0</x:v>
      </x:c>
      <x:c r="M470" s="87" t="n">
        <x:f>0</x:f>
        <x:v>0</x:v>
      </x:c>
      <x:c r="N470" s="87" t="n">
        <x:f>H470+K470+M470</x:f>
        <x:v>25224</x:v>
      </x:c>
      <x:c r="O470" s="87" t="n">
        <x:f>N470*'01 Base Costs'!$B$7+L470</x:f>
        <x:v>121327440000</x:v>
      </x:c>
      <x:c r="P470" s="87" t="n">
        <x:f>D470*E470</x:f>
        <x:v>72</x:v>
      </x:c>
      <x:c r="Q470" s="87" t="n">
        <x:f>P470*'01 Base Costs'!$B$12</x:f>
        <x:v>139968000</x:v>
      </x:c>
      <x:c r="R470" s="87" t="n">
        <x:f>0</x:f>
        <x:v>0</x:v>
      </x:c>
      <x:c r="S470" s="87" t="n">
        <x:f>Q470+R470</x:f>
        <x:v>139968000</x:v>
      </x:c>
      <x:c r="T470" s="141" t="n">
        <x:f>S470/'01 Base Costs'!$B$14</x:f>
        <x:v>279.936</x:v>
      </x:c>
      <x:c r="U470" s="87" t="n">
        <x:f>INT(T470)</x:f>
        <x:v>279</x:v>
      </x:c>
      <x:c r="V470" s="87" t="n">
        <x:f>S470-U470*'01 Base Costs'!$B$14</x:f>
        <x:v>468000</x:v>
      </x:c>
      <x:c r="W470" s="120" t="n">
        <x:f>0</x:f>
        <x:v>0</x:v>
      </x:c>
      <x:c r="X470" s="120" t="n">
        <x:f>'01 Base Costs'!$B$9</x:f>
        <x:v>463500000</x:v>
      </x:c>
      <x:c r="Y470" s="87" t="n">
        <x:f>T470*(W470*'01 Base Costs'!$B$7+X470)</x:f>
        <x:v>129750335999.99998</x:v>
      </x:c>
      <x:c r="Z470" s="87" t="n">
        <x:f>T470*'01 Base Costs'!$B$8</x:f>
        <x:v>210763814399.99997</x:v>
      </x:c>
      <x:c r="AA470" s="87" t="n">
        <x:f>Z470*'01 Base Costs'!$B$11</x:f>
        <x:v>10538190720</x:v>
      </x:c>
      <x:c r="AB470" s="87" t="n">
        <x:f>Z470-AA470</x:f>
        <x:v>200225623679.99997</x:v>
      </x:c>
      <x:c r="AC470" s="87" t="n">
        <x:f>O470+Y470</x:f>
        <x:v>251077776000</x:v>
      </x:c>
      <x:c r="AD470" s="87" t="n">
        <x:f>AB470-AC470</x:f>
        <x:v>-50852152320.00003</x:v>
      </x:c>
      <x:c r="AE470" s="87" t="n">
        <x:f>AD470/D470</x:f>
        <x:v>-2118839680.0000012</x:v>
      </x:c>
      <x:c r="AF470" s="87" t="n">
        <x:f>AD470/P470</x:f>
        <x:v>-706279893.3333337</x:v>
      </x:c>
      <x:c r="AG470" s="87" t="n">
        <x:f>IF(T470=0,0,AC470/T470/(1-'01 Base Costs'!$B$11))</x:f>
        <x:v>944117211.753664</x:v>
      </x:c>
      <x:c r="AH470" s="88" t="str">
        <x:f>IF(AD470&gt;0,"PROFIT","LOSS")</x:f>
        <x:v>LOSS</x:v>
      </x:c>
      <x:c r="AI470" s="89" t="str">
        <x:v>Base 24M Omega. MCT sale 20% off. Extractor bought on market with ISK.</x:v>
      </x:c>
    </x:row>
    <x:row r="471">
      <x:c r="A471" s="86" t="n">
        <x:v>469</x:v>
      </x:c>
      <x:c r="B471" s="88" t="str">
        <x:v>Base</x:v>
      </x:c>
      <x:c r="C471" s="88" t="str">
        <x:v>24M Omega</x:v>
      </x:c>
      <x:c r="D471" s="88" t="n">
        <x:v>24</x:v>
      </x:c>
      <x:c r="E471" s="88" t="n">
        <x:v>3</x:v>
      </x:c>
      <x:c r="F471" s="88" t="str">
        <x:v>NES MCT 30% sale</x:v>
      </x:c>
      <x:c r="G471" s="88" t="str">
        <x:v>NES single extractor</x:v>
      </x:c>
      <x:c r="H471" s="87" t="n">
        <x:f>'01 Base Costs'!$B$25</x:f>
        <x:v>6600</x:v>
      </x:c>
      <x:c r="I471" s="87" t="n">
        <x:f>'01 Base Costs'!$B$16*0.7</x:f>
        <x:v>339.5</x:v>
      </x:c>
      <x:c r="J471" s="87" t="n">
        <x:f>0</x:f>
        <x:v>0</x:v>
      </x:c>
      <x:c r="K471" s="87" t="n">
        <x:f>D471*(E471-1)*I471</x:f>
        <x:v>16296</x:v>
      </x:c>
      <x:c r="L471" s="87" t="n">
        <x:f>D471*(E471-1)*J471</x:f>
        <x:v>0</x:v>
      </x:c>
      <x:c r="M471" s="87" t="n">
        <x:f>0</x:f>
        <x:v>0</x:v>
      </x:c>
      <x:c r="N471" s="87" t="n">
        <x:f>H471+K471+M471</x:f>
        <x:v>22896</x:v>
      </x:c>
      <x:c r="O471" s="87" t="n">
        <x:f>N471*'01 Base Costs'!$B$7+L471</x:f>
        <x:v>110129760000</x:v>
      </x:c>
      <x:c r="P471" s="87" t="n">
        <x:f>D471*E471</x:f>
        <x:v>72</x:v>
      </x:c>
      <x:c r="Q471" s="87" t="n">
        <x:f>P471*'01 Base Costs'!$B$12</x:f>
        <x:v>139968000</x:v>
      </x:c>
      <x:c r="R471" s="87" t="n">
        <x:f>0</x:f>
        <x:v>0</x:v>
      </x:c>
      <x:c r="S471" s="87" t="n">
        <x:f>Q471+R471</x:f>
        <x:v>139968000</x:v>
      </x:c>
      <x:c r="T471" s="141" t="n">
        <x:f>S471/'01 Base Costs'!$B$14</x:f>
        <x:v>279.936</x:v>
      </x:c>
      <x:c r="U471" s="87" t="n">
        <x:f>INT(T471)</x:f>
        <x:v>279</x:v>
      </x:c>
      <x:c r="V471" s="87" t="n">
        <x:f>S471-U471*'01 Base Costs'!$B$14</x:f>
        <x:v>468000</x:v>
      </x:c>
      <x:c r="W471" s="120" t="n">
        <x:f>'01 Base Costs'!$B$17</x:f>
        <x:v>140</x:v>
      </x:c>
      <x:c r="X471" s="120" t="n">
        <x:f>0</x:f>
        <x:v>0</x:v>
      </x:c>
      <x:c r="Y471" s="87" t="n">
        <x:f>T471*(W471*'01 Base Costs'!$B$7+X471)</x:f>
        <x:v>188508902400</x:v>
      </x:c>
      <x:c r="Z471" s="87" t="n">
        <x:f>T471*'01 Base Costs'!$B$8</x:f>
        <x:v>210763814399.99997</x:v>
      </x:c>
      <x:c r="AA471" s="87" t="n">
        <x:f>Z471*'01 Base Costs'!$B$11</x:f>
        <x:v>10538190720</x:v>
      </x:c>
      <x:c r="AB471" s="87" t="n">
        <x:f>Z471-AA471</x:f>
        <x:v>200225623679.99997</x:v>
      </x:c>
      <x:c r="AC471" s="87" t="n">
        <x:f>O471+Y471</x:f>
        <x:v>298638662400</x:v>
      </x:c>
      <x:c r="AD471" s="87" t="n">
        <x:f>AB471-AC471</x:f>
        <x:v>-98413038720.00003</x:v>
      </x:c>
      <x:c r="AE471" s="87" t="n">
        <x:f>AD471/D471</x:f>
        <x:v>-4100543280.0000014</x:v>
      </x:c>
      <x:c r="AF471" s="87" t="n">
        <x:f>AD471/P471</x:f>
        <x:v>-1366847760.0000005</x:v>
      </x:c>
      <x:c r="AG471" s="87" t="n">
        <x:f>IF(T471=0,0,AC471/T471/(1-'01 Base Costs'!$B$11))</x:f>
        <x:v>1122958414.554906</x:v>
      </x:c>
      <x:c r="AH471" s="88" t="str">
        <x:f>IF(AD471&gt;0,"PROFIT","LOSS")</x:f>
        <x:v>LOSS</x:v>
      </x:c>
      <x:c r="AI471" s="89" t="str">
        <x:v>Base 24M Omega. MCT sale 30% off. Base single extractor.</x:v>
      </x:c>
    </x:row>
    <x:row r="472">
      <x:c r="A472" s="86" t="n">
        <x:v>470</x:v>
      </x:c>
      <x:c r="B472" s="88" t="str">
        <x:v>Base</x:v>
      </x:c>
      <x:c r="C472" s="88" t="str">
        <x:v>24M Omega</x:v>
      </x:c>
      <x:c r="D472" s="88" t="n">
        <x:v>24</x:v>
      </x:c>
      <x:c r="E472" s="88" t="n">
        <x:v>3</x:v>
      </x:c>
      <x:c r="F472" s="88" t="str">
        <x:v>NES MCT 30% sale</x:v>
      </x:c>
      <x:c r="G472" s="88" t="str">
        <x:v>NES 5-pack extractor</x:v>
      </x:c>
      <x:c r="H472" s="87" t="n">
        <x:f>'01 Base Costs'!$B$25</x:f>
        <x:v>6600</x:v>
      </x:c>
      <x:c r="I472" s="87" t="n">
        <x:f>'01 Base Costs'!$B$16*0.7</x:f>
        <x:v>339.5</x:v>
      </x:c>
      <x:c r="J472" s="87" t="n">
        <x:f>0</x:f>
        <x:v>0</x:v>
      </x:c>
      <x:c r="K472" s="87" t="n">
        <x:f>D472*(E472-1)*I472</x:f>
        <x:v>16296</x:v>
      </x:c>
      <x:c r="L472" s="87" t="n">
        <x:f>D472*(E472-1)*J472</x:f>
        <x:v>0</x:v>
      </x:c>
      <x:c r="M472" s="87" t="n">
        <x:f>0</x:f>
        <x:v>0</x:v>
      </x:c>
      <x:c r="N472" s="87" t="n">
        <x:f>H472+K472+M472</x:f>
        <x:v>22896</x:v>
      </x:c>
      <x:c r="O472" s="87" t="n">
        <x:f>N472*'01 Base Costs'!$B$7+L472</x:f>
        <x:v>110129760000</x:v>
      </x:c>
      <x:c r="P472" s="87" t="n">
        <x:f>D472*E472</x:f>
        <x:v>72</x:v>
      </x:c>
      <x:c r="Q472" s="87" t="n">
        <x:f>P472*'01 Base Costs'!$B$12</x:f>
        <x:v>139968000</x:v>
      </x:c>
      <x:c r="R472" s="87" t="n">
        <x:f>0</x:f>
        <x:v>0</x:v>
      </x:c>
      <x:c r="S472" s="87" t="n">
        <x:f>Q472+R472</x:f>
        <x:v>139968000</x:v>
      </x:c>
      <x:c r="T472" s="141" t="n">
        <x:f>S472/'01 Base Costs'!$B$14</x:f>
        <x:v>279.936</x:v>
      </x:c>
      <x:c r="U472" s="87" t="n">
        <x:f>INT(T472)</x:f>
        <x:v>279</x:v>
      </x:c>
      <x:c r="V472" s="87" t="n">
        <x:f>S472-U472*'01 Base Costs'!$B$14</x:f>
        <x:v>468000</x:v>
      </x:c>
      <x:c r="W472" s="120" t="n">
        <x:f>'01 Base Costs'!$B$18/5</x:f>
        <x:v>126</x:v>
      </x:c>
      <x:c r="X472" s="120" t="n">
        <x:f>0</x:f>
        <x:v>0</x:v>
      </x:c>
      <x:c r="Y472" s="87" t="n">
        <x:f>T472*(W472*'01 Base Costs'!$B$7+X472)</x:f>
        <x:v>169658012160</x:v>
      </x:c>
      <x:c r="Z472" s="87" t="n">
        <x:f>T472*'01 Base Costs'!$B$8</x:f>
        <x:v>210763814399.99997</x:v>
      </x:c>
      <x:c r="AA472" s="87" t="n">
        <x:f>Z472*'01 Base Costs'!$B$11</x:f>
        <x:v>10538190720</x:v>
      </x:c>
      <x:c r="AB472" s="87" t="n">
        <x:f>Z472-AA472</x:f>
        <x:v>200225623679.99997</x:v>
      </x:c>
      <x:c r="AC472" s="87" t="n">
        <x:f>O472+Y472</x:f>
        <x:v>279787772160</x:v>
      </x:c>
      <x:c r="AD472" s="87" t="n">
        <x:f>AB472-AC472</x:f>
        <x:v>-79562148480.00003</x:v>
      </x:c>
      <x:c r="AE472" s="87" t="n">
        <x:f>AD472/D472</x:f>
        <x:v>-3315089520.0000014</x:v>
      </x:c>
      <x:c r="AF472" s="87" t="n">
        <x:f>AD472/P472</x:f>
        <x:v>-1105029840.0000005</x:v>
      </x:c>
      <x:c r="AG472" s="87" t="n">
        <x:f>IF(T472=0,0,AC472/T472/(1-'01 Base Costs'!$B$11))</x:f>
        <x:v>1052074204.0285902</x:v>
      </x:c>
      <x:c r="AH472" s="88" t="str">
        <x:f>IF(AD472&gt;0,"PROFIT","LOSS")</x:f>
        <x:v>LOSS</x:v>
      </x:c>
      <x:c r="AI472" s="89" t="str">
        <x:v>Base 24M Omega. MCT sale 30% off. Base 5-pack average.</x:v>
      </x:c>
    </x:row>
    <x:row r="473">
      <x:c r="A473" s="86" t="n">
        <x:v>471</x:v>
      </x:c>
      <x:c r="B473" s="88" t="str">
        <x:v>Base</x:v>
      </x:c>
      <x:c r="C473" s="88" t="str">
        <x:v>24M Omega</x:v>
      </x:c>
      <x:c r="D473" s="88" t="n">
        <x:v>24</x:v>
      </x:c>
      <x:c r="E473" s="88" t="n">
        <x:v>3</x:v>
      </x:c>
      <x:c r="F473" s="88" t="str">
        <x:v>NES MCT 30% sale</x:v>
      </x:c>
      <x:c r="G473" s="88" t="str">
        <x:v>NES 10-pack extractor</x:v>
      </x:c>
      <x:c r="H473" s="87" t="n">
        <x:f>'01 Base Costs'!$B$25</x:f>
        <x:v>6600</x:v>
      </x:c>
      <x:c r="I473" s="87" t="n">
        <x:f>'01 Base Costs'!$B$16*0.7</x:f>
        <x:v>339.5</x:v>
      </x:c>
      <x:c r="J473" s="87" t="n">
        <x:f>0</x:f>
        <x:v>0</x:v>
      </x:c>
      <x:c r="K473" s="87" t="n">
        <x:f>D473*(E473-1)*I473</x:f>
        <x:v>16296</x:v>
      </x:c>
      <x:c r="L473" s="87" t="n">
        <x:f>D473*(E473-1)*J473</x:f>
        <x:v>0</x:v>
      </x:c>
      <x:c r="M473" s="87" t="n">
        <x:f>0</x:f>
        <x:v>0</x:v>
      </x:c>
      <x:c r="N473" s="87" t="n">
        <x:f>H473+K473+M473</x:f>
        <x:v>22896</x:v>
      </x:c>
      <x:c r="O473" s="87" t="n">
        <x:f>N473*'01 Base Costs'!$B$7+L473</x:f>
        <x:v>110129760000</x:v>
      </x:c>
      <x:c r="P473" s="87" t="n">
        <x:f>D473*E473</x:f>
        <x:v>72</x:v>
      </x:c>
      <x:c r="Q473" s="87" t="n">
        <x:f>P473*'01 Base Costs'!$B$12</x:f>
        <x:v>139968000</x:v>
      </x:c>
      <x:c r="R473" s="87" t="n">
        <x:f>0</x:f>
        <x:v>0</x:v>
      </x:c>
      <x:c r="S473" s="87" t="n">
        <x:f>Q473+R473</x:f>
        <x:v>139968000</x:v>
      </x:c>
      <x:c r="T473" s="141" t="n">
        <x:f>S473/'01 Base Costs'!$B$14</x:f>
        <x:v>279.936</x:v>
      </x:c>
      <x:c r="U473" s="87" t="n">
        <x:f>INT(T473)</x:f>
        <x:v>279</x:v>
      </x:c>
      <x:c r="V473" s="87" t="n">
        <x:f>S473-U473*'01 Base Costs'!$B$14</x:f>
        <x:v>468000</x:v>
      </x:c>
      <x:c r="W473" s="120" t="n">
        <x:f>'01 Base Costs'!$B$19/10</x:f>
        <x:v>119</x:v>
      </x:c>
      <x:c r="X473" s="120" t="n">
        <x:f>0</x:f>
        <x:v>0</x:v>
      </x:c>
      <x:c r="Y473" s="87" t="n">
        <x:f>T473*(W473*'01 Base Costs'!$B$7+X473)</x:f>
        <x:v>160232567040</x:v>
      </x:c>
      <x:c r="Z473" s="87" t="n">
        <x:f>T473*'01 Base Costs'!$B$8</x:f>
        <x:v>210763814399.99997</x:v>
      </x:c>
      <x:c r="AA473" s="87" t="n">
        <x:f>Z473*'01 Base Costs'!$B$11</x:f>
        <x:v>10538190720</x:v>
      </x:c>
      <x:c r="AB473" s="87" t="n">
        <x:f>Z473-AA473</x:f>
        <x:v>200225623679.99997</x:v>
      </x:c>
      <x:c r="AC473" s="87" t="n">
        <x:f>O473+Y473</x:f>
        <x:v>270362327040</x:v>
      </x:c>
      <x:c r="AD473" s="87" t="n">
        <x:f>AB473-AC473</x:f>
        <x:v>-70136703360.00003</x:v>
      </x:c>
      <x:c r="AE473" s="87" t="n">
        <x:f>AD473/D473</x:f>
        <x:v>-2922362640.0000014</x:v>
      </x:c>
      <x:c r="AF473" s="87" t="n">
        <x:f>AD473/P473</x:f>
        <x:v>-974120880.0000005</x:v>
      </x:c>
      <x:c r="AG473" s="87" t="n">
        <x:f>IF(T473=0,0,AC473/T473/(1-'01 Base Costs'!$B$11))</x:f>
        <x:v>1016632098.7654322</x:v>
      </x:c>
      <x:c r="AH473" s="88" t="str">
        <x:f>IF(AD473&gt;0,"PROFIT","LOSS")</x:f>
        <x:v>LOSS</x:v>
      </x:c>
      <x:c r="AI473" s="89" t="str">
        <x:v>Base 24M Omega. MCT sale 30% off. Base 10-pack average.</x:v>
      </x:c>
    </x:row>
    <x:row r="474">
      <x:c r="A474" s="86" t="n">
        <x:v>472</x:v>
      </x:c>
      <x:c r="B474" s="88" t="str">
        <x:v>Base</x:v>
      </x:c>
      <x:c r="C474" s="88" t="str">
        <x:v>24M Omega</x:v>
      </x:c>
      <x:c r="D474" s="88" t="n">
        <x:v>24</x:v>
      </x:c>
      <x:c r="E474" s="88" t="n">
        <x:v>3</x:v>
      </x:c>
      <x:c r="F474" s="88" t="str">
        <x:v>NES MCT 30% sale</x:v>
      </x:c>
      <x:c r="G474" s="88" t="str">
        <x:v>NES 50-pack extractor</x:v>
      </x:c>
      <x:c r="H474" s="87" t="n">
        <x:f>'01 Base Costs'!$B$25</x:f>
        <x:v>6600</x:v>
      </x:c>
      <x:c r="I474" s="87" t="n">
        <x:f>'01 Base Costs'!$B$16*0.7</x:f>
        <x:v>339.5</x:v>
      </x:c>
      <x:c r="J474" s="87" t="n">
        <x:f>0</x:f>
        <x:v>0</x:v>
      </x:c>
      <x:c r="K474" s="87" t="n">
        <x:f>D474*(E474-1)*I474</x:f>
        <x:v>16296</x:v>
      </x:c>
      <x:c r="L474" s="87" t="n">
        <x:f>D474*(E474-1)*J474</x:f>
        <x:v>0</x:v>
      </x:c>
      <x:c r="M474" s="87" t="n">
        <x:f>0</x:f>
        <x:v>0</x:v>
      </x:c>
      <x:c r="N474" s="87" t="n">
        <x:f>H474+K474+M474</x:f>
        <x:v>22896</x:v>
      </x:c>
      <x:c r="O474" s="87" t="n">
        <x:f>N474*'01 Base Costs'!$B$7+L474</x:f>
        <x:v>110129760000</x:v>
      </x:c>
      <x:c r="P474" s="87" t="n">
        <x:f>D474*E474</x:f>
        <x:v>72</x:v>
      </x:c>
      <x:c r="Q474" s="87" t="n">
        <x:f>P474*'01 Base Costs'!$B$12</x:f>
        <x:v>139968000</x:v>
      </x:c>
      <x:c r="R474" s="87" t="n">
        <x:f>0</x:f>
        <x:v>0</x:v>
      </x:c>
      <x:c r="S474" s="87" t="n">
        <x:f>Q474+R474</x:f>
        <x:v>139968000</x:v>
      </x:c>
      <x:c r="T474" s="141" t="n">
        <x:f>S474/'01 Base Costs'!$B$14</x:f>
        <x:v>279.936</x:v>
      </x:c>
      <x:c r="U474" s="87" t="n">
        <x:f>INT(T474)</x:f>
        <x:v>279</x:v>
      </x:c>
      <x:c r="V474" s="87" t="n">
        <x:f>S474-U474*'01 Base Costs'!$B$14</x:f>
        <x:v>468000</x:v>
      </x:c>
      <x:c r="W474" s="120" t="n">
        <x:f>'01 Base Costs'!$B$20/50</x:f>
        <x:v>112</x:v>
      </x:c>
      <x:c r="X474" s="120" t="n">
        <x:f>0</x:f>
        <x:v>0</x:v>
      </x:c>
      <x:c r="Y474" s="87" t="n">
        <x:f>T474*(W474*'01 Base Costs'!$B$7+X474)</x:f>
        <x:v>150807121920</x:v>
      </x:c>
      <x:c r="Z474" s="87" t="n">
        <x:f>T474*'01 Base Costs'!$B$8</x:f>
        <x:v>210763814399.99997</x:v>
      </x:c>
      <x:c r="AA474" s="87" t="n">
        <x:f>Z474*'01 Base Costs'!$B$11</x:f>
        <x:v>10538190720</x:v>
      </x:c>
      <x:c r="AB474" s="87" t="n">
        <x:f>Z474-AA474</x:f>
        <x:v>200225623679.99997</x:v>
      </x:c>
      <x:c r="AC474" s="87" t="n">
        <x:f>O474+Y474</x:f>
        <x:v>260936881920</x:v>
      </x:c>
      <x:c r="AD474" s="87" t="n">
        <x:f>AB474-AC474</x:f>
        <x:v>-60711258240.00003</x:v>
      </x:c>
      <x:c r="AE474" s="87" t="n">
        <x:f>AD474/D474</x:f>
        <x:v>-2529635760.0000014</x:v>
      </x:c>
      <x:c r="AF474" s="87" t="n">
        <x:f>AD474/P474</x:f>
        <x:v>-843211920.0000005</x:v>
      </x:c>
      <x:c r="AG474" s="87" t="n">
        <x:f>IF(T474=0,0,AC474/T474/(1-'01 Base Costs'!$B$11))</x:f>
        <x:v>981189993.5022744</x:v>
      </x:c>
      <x:c r="AH474" s="88" t="str">
        <x:f>IF(AD474&gt;0,"PROFIT","LOSS")</x:f>
        <x:v>LOSS</x:v>
      </x:c>
      <x:c r="AI474" s="89" t="str">
        <x:v>Base 24M Omega. MCT sale 30% off. Base 50-pack average.</x:v>
      </x:c>
    </x:row>
    <x:row r="475">
      <x:c r="A475" s="86" t="n">
        <x:v>473</x:v>
      </x:c>
      <x:c r="B475" s="88" t="str">
        <x:v>Base</x:v>
      </x:c>
      <x:c r="C475" s="88" t="str">
        <x:v>24M Omega</x:v>
      </x:c>
      <x:c r="D475" s="88" t="n">
        <x:v>24</x:v>
      </x:c>
      <x:c r="E475" s="88" t="n">
        <x:v>3</x:v>
      </x:c>
      <x:c r="F475" s="88" t="str">
        <x:v>NES MCT 30% sale</x:v>
      </x:c>
      <x:c r="G475" s="88" t="str">
        <x:v>NES 3-for-2 extractor sale</x:v>
      </x:c>
      <x:c r="H475" s="87" t="n">
        <x:f>'01 Base Costs'!$B$25</x:f>
        <x:v>6600</x:v>
      </x:c>
      <x:c r="I475" s="87" t="n">
        <x:f>'01 Base Costs'!$B$16*0.7</x:f>
        <x:v>339.5</x:v>
      </x:c>
      <x:c r="J475" s="87" t="n">
        <x:f>0</x:f>
        <x:v>0</x:v>
      </x:c>
      <x:c r="K475" s="87" t="n">
        <x:f>D475*(E475-1)*I475</x:f>
        <x:v>16296</x:v>
      </x:c>
      <x:c r="L475" s="87" t="n">
        <x:f>D475*(E475-1)*J475</x:f>
        <x:v>0</x:v>
      </x:c>
      <x:c r="M475" s="87" t="n">
        <x:f>0</x:f>
        <x:v>0</x:v>
      </x:c>
      <x:c r="N475" s="87" t="n">
        <x:f>H475+K475+M475</x:f>
        <x:v>22896</x:v>
      </x:c>
      <x:c r="O475" s="87" t="n">
        <x:f>N475*'01 Base Costs'!$B$7+L475</x:f>
        <x:v>110129760000</x:v>
      </x:c>
      <x:c r="P475" s="87" t="n">
        <x:f>D475*E475</x:f>
        <x:v>72</x:v>
      </x:c>
      <x:c r="Q475" s="87" t="n">
        <x:f>P475*'01 Base Costs'!$B$12</x:f>
        <x:v>139968000</x:v>
      </x:c>
      <x:c r="R475" s="87" t="n">
        <x:f>0</x:f>
        <x:v>0</x:v>
      </x:c>
      <x:c r="S475" s="87" t="n">
        <x:f>Q475+R475</x:f>
        <x:v>139968000</x:v>
      </x:c>
      <x:c r="T475" s="141" t="n">
        <x:f>S475/'01 Base Costs'!$B$14</x:f>
        <x:v>279.936</x:v>
      </x:c>
      <x:c r="U475" s="87" t="n">
        <x:f>INT(T475)</x:f>
        <x:v>279</x:v>
      </x:c>
      <x:c r="V475" s="87" t="n">
        <x:f>S475-U475*'01 Base Costs'!$B$14</x:f>
        <x:v>468000</x:v>
      </x:c>
      <x:c r="W475" s="120" t="n">
        <x:f>'01 Base Costs'!$B$17*2/3</x:f>
        <x:v>93.33333333333333</x:v>
      </x:c>
      <x:c r="X475" s="120" t="n">
        <x:f>0</x:f>
        <x:v>0</x:v>
      </x:c>
      <x:c r="Y475" s="87" t="n">
        <x:f>T475*(W475*'01 Base Costs'!$B$7+X475)</x:f>
        <x:v>125672601599.99998</x:v>
      </x:c>
      <x:c r="Z475" s="87" t="n">
        <x:f>T475*'01 Base Costs'!$B$8</x:f>
        <x:v>210763814399.99997</x:v>
      </x:c>
      <x:c r="AA475" s="87" t="n">
        <x:f>Z475*'01 Base Costs'!$B$11</x:f>
        <x:v>10538190720</x:v>
      </x:c>
      <x:c r="AB475" s="87" t="n">
        <x:f>Z475-AA475</x:f>
        <x:v>200225623679.99997</x:v>
      </x:c>
      <x:c r="AC475" s="87" t="n">
        <x:f>O475+Y475</x:f>
        <x:v>235802361600</x:v>
      </x:c>
      <x:c r="AD475" s="87" t="n">
        <x:f>AB475-AC475</x:f>
        <x:v>-35576737920.00003</x:v>
      </x:c>
      <x:c r="AE475" s="87" t="n">
        <x:f>AD475/D475</x:f>
        <x:v>-1482364080.0000012</x:v>
      </x:c>
      <x:c r="AF475" s="87" t="n">
        <x:f>AD475/P475</x:f>
        <x:v>-494121360.0000004</x:v>
      </x:c>
      <x:c r="AG475" s="87" t="n">
        <x:f>IF(T475=0,0,AC475/T475/(1-'01 Base Costs'!$B$11))</x:f>
        <x:v>886677712.80052</x:v>
      </x:c>
      <x:c r="AH475" s="88" t="str">
        <x:f>IF(AD475&gt;0,"PROFIT","LOSS")</x:f>
        <x:v>LOSS</x:v>
      </x:c>
      <x:c r="AI475" s="89" t="str">
        <x:v>Base 24M Omega. MCT sale 30% off. Extractor 3-for-2 sale.</x:v>
      </x:c>
    </x:row>
    <x:row r="476">
      <x:c r="A476" s="86" t="n">
        <x:v>474</x:v>
      </x:c>
      <x:c r="B476" s="88" t="str">
        <x:v>Base</x:v>
      </x:c>
      <x:c r="C476" s="88" t="str">
        <x:v>24M Omega</x:v>
      </x:c>
      <x:c r="D476" s="88" t="n">
        <x:v>24</x:v>
      </x:c>
      <x:c r="E476" s="88" t="n">
        <x:v>3</x:v>
      </x:c>
      <x:c r="F476" s="88" t="str">
        <x:v>NES MCT 30% sale</x:v>
      </x:c>
      <x:c r="G476" s="88" t="str">
        <x:v>NES 2-for-1 extractor sale</x:v>
      </x:c>
      <x:c r="H476" s="87" t="n">
        <x:f>'01 Base Costs'!$B$25</x:f>
        <x:v>6600</x:v>
      </x:c>
      <x:c r="I476" s="87" t="n">
        <x:f>'01 Base Costs'!$B$16*0.7</x:f>
        <x:v>339.5</x:v>
      </x:c>
      <x:c r="J476" s="87" t="n">
        <x:f>0</x:f>
        <x:v>0</x:v>
      </x:c>
      <x:c r="K476" s="87" t="n">
        <x:f>D476*(E476-1)*I476</x:f>
        <x:v>16296</x:v>
      </x:c>
      <x:c r="L476" s="87" t="n">
        <x:f>D476*(E476-1)*J476</x:f>
        <x:v>0</x:v>
      </x:c>
      <x:c r="M476" s="87" t="n">
        <x:f>0</x:f>
        <x:v>0</x:v>
      </x:c>
      <x:c r="N476" s="87" t="n">
        <x:f>H476+K476+M476</x:f>
        <x:v>22896</x:v>
      </x:c>
      <x:c r="O476" s="87" t="n">
        <x:f>N476*'01 Base Costs'!$B$7+L476</x:f>
        <x:v>110129760000</x:v>
      </x:c>
      <x:c r="P476" s="87" t="n">
        <x:f>D476*E476</x:f>
        <x:v>72</x:v>
      </x:c>
      <x:c r="Q476" s="87" t="n">
        <x:f>P476*'01 Base Costs'!$B$12</x:f>
        <x:v>139968000</x:v>
      </x:c>
      <x:c r="R476" s="87" t="n">
        <x:f>0</x:f>
        <x:v>0</x:v>
      </x:c>
      <x:c r="S476" s="87" t="n">
        <x:f>Q476+R476</x:f>
        <x:v>139968000</x:v>
      </x:c>
      <x:c r="T476" s="141" t="n">
        <x:f>S476/'01 Base Costs'!$B$14</x:f>
        <x:v>279.936</x:v>
      </x:c>
      <x:c r="U476" s="87" t="n">
        <x:f>INT(T476)</x:f>
        <x:v>279</x:v>
      </x:c>
      <x:c r="V476" s="87" t="n">
        <x:f>S476-U476*'01 Base Costs'!$B$14</x:f>
        <x:v>468000</x:v>
      </x:c>
      <x:c r="W476" s="120" t="n">
        <x:f>'01 Base Costs'!$B$17/2</x:f>
        <x:v>70</x:v>
      </x:c>
      <x:c r="X476" s="120" t="n">
        <x:f>0</x:f>
        <x:v>0</x:v>
      </x:c>
      <x:c r="Y476" s="87" t="n">
        <x:f>T476*(W476*'01 Base Costs'!$B$7+X476)</x:f>
        <x:v>94254451200</x:v>
      </x:c>
      <x:c r="Z476" s="87" t="n">
        <x:f>T476*'01 Base Costs'!$B$8</x:f>
        <x:v>210763814399.99997</x:v>
      </x:c>
      <x:c r="AA476" s="87" t="n">
        <x:f>Z476*'01 Base Costs'!$B$11</x:f>
        <x:v>10538190720</x:v>
      </x:c>
      <x:c r="AB476" s="87" t="n">
        <x:f>Z476-AA476</x:f>
        <x:v>200225623679.99997</x:v>
      </x:c>
      <x:c r="AC476" s="87" t="n">
        <x:f>O476+Y476</x:f>
        <x:v>204384211200</x:v>
      </x:c>
      <x:c r="AD476" s="87" t="n">
        <x:f>AB476-AC476</x:f>
        <x:v>-4158587520.0000305</x:v>
      </x:c>
      <x:c r="AE476" s="87" t="n">
        <x:f>AD476/D476</x:f>
        <x:v>-173274480.00000128</x:v>
      </x:c>
      <x:c r="AF476" s="87" t="n">
        <x:f>AD476/P476</x:f>
        <x:v>-57758160.000000425</x:v>
      </x:c>
      <x:c r="AG476" s="87" t="n">
        <x:f>IF(T476=0,0,AC476/T476/(1-'01 Base Costs'!$B$11))</x:f>
        <x:v>768537361.923327</x:v>
      </x:c>
      <x:c r="AH476" s="88" t="str">
        <x:f>IF(AD476&gt;0,"PROFIT","LOSS")</x:f>
        <x:v>LOSS</x:v>
      </x:c>
      <x:c r="AI476" s="89" t="str">
        <x:v>Base 24M Omega. MCT sale 30% off. Extractor 2-for-1 sale.</x:v>
      </x:c>
    </x:row>
    <x:row r="477">
      <x:c r="A477" s="86" t="n">
        <x:v>475</x:v>
      </x:c>
      <x:c r="B477" s="88" t="str">
        <x:v>Base</x:v>
      </x:c>
      <x:c r="C477" s="88" t="str">
        <x:v>24M Omega</x:v>
      </x:c>
      <x:c r="D477" s="88" t="n">
        <x:v>24</x:v>
      </x:c>
      <x:c r="E477" s="88" t="n">
        <x:v>3</x:v>
      </x:c>
      <x:c r="F477" s="88" t="str">
        <x:v>NES MCT 30% sale</x:v>
      </x:c>
      <x:c r="G477" s="88" t="str">
        <x:v>NES 10-pack extractor 20% sale</x:v>
      </x:c>
      <x:c r="H477" s="87" t="n">
        <x:f>'01 Base Costs'!$B$25</x:f>
        <x:v>6600</x:v>
      </x:c>
      <x:c r="I477" s="87" t="n">
        <x:f>'01 Base Costs'!$B$16*0.7</x:f>
        <x:v>339.5</x:v>
      </x:c>
      <x:c r="J477" s="87" t="n">
        <x:f>0</x:f>
        <x:v>0</x:v>
      </x:c>
      <x:c r="K477" s="87" t="n">
        <x:f>D477*(E477-1)*I477</x:f>
        <x:v>16296</x:v>
      </x:c>
      <x:c r="L477" s="87" t="n">
        <x:f>D477*(E477-1)*J477</x:f>
        <x:v>0</x:v>
      </x:c>
      <x:c r="M477" s="87" t="n">
        <x:f>0</x:f>
        <x:v>0</x:v>
      </x:c>
      <x:c r="N477" s="87" t="n">
        <x:f>H477+K477+M477</x:f>
        <x:v>22896</x:v>
      </x:c>
      <x:c r="O477" s="87" t="n">
        <x:f>N477*'01 Base Costs'!$B$7+L477</x:f>
        <x:v>110129760000</x:v>
      </x:c>
      <x:c r="P477" s="87" t="n">
        <x:f>D477*E477</x:f>
        <x:v>72</x:v>
      </x:c>
      <x:c r="Q477" s="87" t="n">
        <x:f>P477*'01 Base Costs'!$B$12</x:f>
        <x:v>139968000</x:v>
      </x:c>
      <x:c r="R477" s="87" t="n">
        <x:f>0</x:f>
        <x:v>0</x:v>
      </x:c>
      <x:c r="S477" s="87" t="n">
        <x:f>Q477+R477</x:f>
        <x:v>139968000</x:v>
      </x:c>
      <x:c r="T477" s="141" t="n">
        <x:f>S477/'01 Base Costs'!$B$14</x:f>
        <x:v>279.936</x:v>
      </x:c>
      <x:c r="U477" s="87" t="n">
        <x:f>INT(T477)</x:f>
        <x:v>279</x:v>
      </x:c>
      <x:c r="V477" s="87" t="n">
        <x:f>S477-U477*'01 Base Costs'!$B$14</x:f>
        <x:v>468000</x:v>
      </x:c>
      <x:c r="W477" s="120" t="n">
        <x:f>'01 Base Costs'!$B$19*0.8/10</x:f>
        <x:v>95.2</x:v>
      </x:c>
      <x:c r="X477" s="120" t="n">
        <x:f>0</x:f>
        <x:v>0</x:v>
      </x:c>
      <x:c r="Y477" s="87" t="n">
        <x:f>T477*(W477*'01 Base Costs'!$B$7+X477)</x:f>
        <x:v>128186053631.99998</x:v>
      </x:c>
      <x:c r="Z477" s="87" t="n">
        <x:f>T477*'01 Base Costs'!$B$8</x:f>
        <x:v>210763814399.99997</x:v>
      </x:c>
      <x:c r="AA477" s="87" t="n">
        <x:f>Z477*'01 Base Costs'!$B$11</x:f>
        <x:v>10538190720</x:v>
      </x:c>
      <x:c r="AB477" s="87" t="n">
        <x:f>Z477-AA477</x:f>
        <x:v>200225623679.99997</x:v>
      </x:c>
      <x:c r="AC477" s="87" t="n">
        <x:f>O477+Y477</x:f>
        <x:v>238315813632</x:v>
      </x:c>
      <x:c r="AD477" s="87" t="n">
        <x:f>AB477-AC477</x:f>
        <x:v>-38090189952.00003</x:v>
      </x:c>
      <x:c r="AE477" s="87" t="n">
        <x:f>AD477/D477</x:f>
        <x:v>-1587091248.0000012</x:v>
      </x:c>
      <x:c r="AF477" s="87" t="n">
        <x:f>AD477/P477</x:f>
        <x:v>-529030416.0000004</x:v>
      </x:c>
      <x:c r="AG477" s="87" t="n">
        <x:f>IF(T477=0,0,AC477/T477/(1-'01 Base Costs'!$B$11))</x:f>
        <x:v>896128940.8706954</x:v>
      </x:c>
      <x:c r="AH477" s="88" t="str">
        <x:f>IF(AD477&gt;0,"PROFIT","LOSS")</x:f>
        <x:v>LOSS</x:v>
      </x:c>
      <x:c r="AI477" s="89" t="str">
        <x:v>Base 24M Omega. MCT sale 30% off. 10-pack at 20% off.</x:v>
      </x:c>
    </x:row>
    <x:row r="478">
      <x:c r="A478" s="86" t="n">
        <x:v>476</x:v>
      </x:c>
      <x:c r="B478" s="88" t="str">
        <x:v>Base</x:v>
      </x:c>
      <x:c r="C478" s="88" t="str">
        <x:v>24M Omega</x:v>
      </x:c>
      <x:c r="D478" s="88" t="n">
        <x:v>24</x:v>
      </x:c>
      <x:c r="E478" s="88" t="n">
        <x:v>3</x:v>
      </x:c>
      <x:c r="F478" s="88" t="str">
        <x:v>NES MCT 30% sale</x:v>
      </x:c>
      <x:c r="G478" s="88" t="str">
        <x:v>NES 50-pack extractor 20% sale</x:v>
      </x:c>
      <x:c r="H478" s="87" t="n">
        <x:f>'01 Base Costs'!$B$25</x:f>
        <x:v>6600</x:v>
      </x:c>
      <x:c r="I478" s="87" t="n">
        <x:f>'01 Base Costs'!$B$16*0.7</x:f>
        <x:v>339.5</x:v>
      </x:c>
      <x:c r="J478" s="87" t="n">
        <x:f>0</x:f>
        <x:v>0</x:v>
      </x:c>
      <x:c r="K478" s="87" t="n">
        <x:f>D478*(E478-1)*I478</x:f>
        <x:v>16296</x:v>
      </x:c>
      <x:c r="L478" s="87" t="n">
        <x:f>D478*(E478-1)*J478</x:f>
        <x:v>0</x:v>
      </x:c>
      <x:c r="M478" s="87" t="n">
        <x:f>0</x:f>
        <x:v>0</x:v>
      </x:c>
      <x:c r="N478" s="87" t="n">
        <x:f>H478+K478+M478</x:f>
        <x:v>22896</x:v>
      </x:c>
      <x:c r="O478" s="87" t="n">
        <x:f>N478*'01 Base Costs'!$B$7+L478</x:f>
        <x:v>110129760000</x:v>
      </x:c>
      <x:c r="P478" s="87" t="n">
        <x:f>D478*E478</x:f>
        <x:v>72</x:v>
      </x:c>
      <x:c r="Q478" s="87" t="n">
        <x:f>P478*'01 Base Costs'!$B$12</x:f>
        <x:v>139968000</x:v>
      </x:c>
      <x:c r="R478" s="87" t="n">
        <x:f>0</x:f>
        <x:v>0</x:v>
      </x:c>
      <x:c r="S478" s="87" t="n">
        <x:f>Q478+R478</x:f>
        <x:v>139968000</x:v>
      </x:c>
      <x:c r="T478" s="141" t="n">
        <x:f>S478/'01 Base Costs'!$B$14</x:f>
        <x:v>279.936</x:v>
      </x:c>
      <x:c r="U478" s="87" t="n">
        <x:f>INT(T478)</x:f>
        <x:v>279</x:v>
      </x:c>
      <x:c r="V478" s="87" t="n">
        <x:f>S478-U478*'01 Base Costs'!$B$14</x:f>
        <x:v>468000</x:v>
      </x:c>
      <x:c r="W478" s="120" t="n">
        <x:f>'01 Base Costs'!$B$20*0.8/50</x:f>
        <x:v>89.6</x:v>
      </x:c>
      <x:c r="X478" s="120" t="n">
        <x:f>0</x:f>
        <x:v>0</x:v>
      </x:c>
      <x:c r="Y478" s="87" t="n">
        <x:f>T478*(W478*'01 Base Costs'!$B$7+X478)</x:f>
        <x:v>120645697535.99998</x:v>
      </x:c>
      <x:c r="Z478" s="87" t="n">
        <x:f>T478*'01 Base Costs'!$B$8</x:f>
        <x:v>210763814399.99997</x:v>
      </x:c>
      <x:c r="AA478" s="87" t="n">
        <x:f>Z478*'01 Base Costs'!$B$11</x:f>
        <x:v>10538190720</x:v>
      </x:c>
      <x:c r="AB478" s="87" t="n">
        <x:f>Z478-AA478</x:f>
        <x:v>200225623679.99997</x:v>
      </x:c>
      <x:c r="AC478" s="87" t="n">
        <x:f>O478+Y478</x:f>
        <x:v>230775457536</x:v>
      </x:c>
      <x:c r="AD478" s="87" t="n">
        <x:f>AB478-AC478</x:f>
        <x:v>-30549833856.00003</x:v>
      </x:c>
      <x:c r="AE478" s="87" t="n">
        <x:f>AD478/D478</x:f>
        <x:v>-1272909744.0000012</x:v>
      </x:c>
      <x:c r="AF478" s="87" t="n">
        <x:f>AD478/P478</x:f>
        <x:v>-424303248.0000004</x:v>
      </x:c>
      <x:c r="AG478" s="87" t="n">
        <x:f>IF(T478=0,0,AC478/T478/(1-'01 Base Costs'!$B$11))</x:f>
        <x:v>867775256.6601691</x:v>
      </x:c>
      <x:c r="AH478" s="88" t="str">
        <x:f>IF(AD478&gt;0,"PROFIT","LOSS")</x:f>
        <x:v>LOSS</x:v>
      </x:c>
      <x:c r="AI478" s="89" t="str">
        <x:v>Base 24M Omega. MCT sale 30% off. 50-pack at 20% off.</x:v>
      </x:c>
    </x:row>
    <x:row r="479">
      <x:c r="A479" s="86" t="n">
        <x:v>477</x:v>
      </x:c>
      <x:c r="B479" s="88" t="str">
        <x:v>Base</x:v>
      </x:c>
      <x:c r="C479" s="88" t="str">
        <x:v>24M Omega</x:v>
      </x:c>
      <x:c r="D479" s="88" t="n">
        <x:v>24</x:v>
      </x:c>
      <x:c r="E479" s="88" t="n">
        <x:v>3</x:v>
      </x:c>
      <x:c r="F479" s="88" t="str">
        <x:v>NES MCT 30% sale</x:v>
      </x:c>
      <x:c r="G479" s="88" t="str">
        <x:v>Market Skill Extractor</x:v>
      </x:c>
      <x:c r="H479" s="87" t="n">
        <x:f>'01 Base Costs'!$B$25</x:f>
        <x:v>6600</x:v>
      </x:c>
      <x:c r="I479" s="87" t="n">
        <x:f>'01 Base Costs'!$B$16*0.7</x:f>
        <x:v>339.5</x:v>
      </x:c>
      <x:c r="J479" s="87" t="n">
        <x:f>0</x:f>
        <x:v>0</x:v>
      </x:c>
      <x:c r="K479" s="87" t="n">
        <x:f>D479*(E479-1)*I479</x:f>
        <x:v>16296</x:v>
      </x:c>
      <x:c r="L479" s="87" t="n">
        <x:f>D479*(E479-1)*J479</x:f>
        <x:v>0</x:v>
      </x:c>
      <x:c r="M479" s="87" t="n">
        <x:f>0</x:f>
        <x:v>0</x:v>
      </x:c>
      <x:c r="N479" s="87" t="n">
        <x:f>H479+K479+M479</x:f>
        <x:v>22896</x:v>
      </x:c>
      <x:c r="O479" s="87" t="n">
        <x:f>N479*'01 Base Costs'!$B$7+L479</x:f>
        <x:v>110129760000</x:v>
      </x:c>
      <x:c r="P479" s="87" t="n">
        <x:f>D479*E479</x:f>
        <x:v>72</x:v>
      </x:c>
      <x:c r="Q479" s="87" t="n">
        <x:f>P479*'01 Base Costs'!$B$12</x:f>
        <x:v>139968000</x:v>
      </x:c>
      <x:c r="R479" s="87" t="n">
        <x:f>0</x:f>
        <x:v>0</x:v>
      </x:c>
      <x:c r="S479" s="87" t="n">
        <x:f>Q479+R479</x:f>
        <x:v>139968000</x:v>
      </x:c>
      <x:c r="T479" s="141" t="n">
        <x:f>S479/'01 Base Costs'!$B$14</x:f>
        <x:v>279.936</x:v>
      </x:c>
      <x:c r="U479" s="87" t="n">
        <x:f>INT(T479)</x:f>
        <x:v>279</x:v>
      </x:c>
      <x:c r="V479" s="87" t="n">
        <x:f>S479-U479*'01 Base Costs'!$B$14</x:f>
        <x:v>468000</x:v>
      </x:c>
      <x:c r="W479" s="120" t="n">
        <x:f>0</x:f>
        <x:v>0</x:v>
      </x:c>
      <x:c r="X479" s="120" t="n">
        <x:f>'01 Base Costs'!$B$9</x:f>
        <x:v>463500000</x:v>
      </x:c>
      <x:c r="Y479" s="87" t="n">
        <x:f>T479*(W479*'01 Base Costs'!$B$7+X479)</x:f>
        <x:v>129750335999.99998</x:v>
      </x:c>
      <x:c r="Z479" s="87" t="n">
        <x:f>T479*'01 Base Costs'!$B$8</x:f>
        <x:v>210763814399.99997</x:v>
      </x:c>
      <x:c r="AA479" s="87" t="n">
        <x:f>Z479*'01 Base Costs'!$B$11</x:f>
        <x:v>10538190720</x:v>
      </x:c>
      <x:c r="AB479" s="87" t="n">
        <x:f>Z479-AA479</x:f>
        <x:v>200225623679.99997</x:v>
      </x:c>
      <x:c r="AC479" s="87" t="n">
        <x:f>O479+Y479</x:f>
        <x:v>239880096000</x:v>
      </x:c>
      <x:c r="AD479" s="87" t="n">
        <x:f>AB479-AC479</x:f>
        <x:v>-39654472320.00003</x:v>
      </x:c>
      <x:c r="AE479" s="87" t="n">
        <x:f>AD479/D479</x:f>
        <x:v>-1652269680.0000012</x:v>
      </x:c>
      <x:c r="AF479" s="87" t="n">
        <x:f>AD479/P479</x:f>
        <x:v>-550756560.0000005</x:v>
      </x:c>
      <x:c r="AG479" s="87" t="n">
        <x:f>IF(T479=0,0,AC479/T479/(1-'01 Base Costs'!$B$11))</x:f>
        <x:v>902011046.1338533</x:v>
      </x:c>
      <x:c r="AH479" s="88" t="str">
        <x:f>IF(AD479&gt;0,"PROFIT","LOSS")</x:f>
        <x:v>LOSS</x:v>
      </x:c>
      <x:c r="AI479" s="89" t="str">
        <x:v>Base 24M Omega. MCT sale 30% off. Extractor bought on market with ISK.</x:v>
      </x:c>
    </x:row>
    <x:row r="480">
      <x:c r="A480" s="86" t="n">
        <x:v>478</x:v>
      </x:c>
      <x:c r="B480" s="88" t="str">
        <x:v>Base</x:v>
      </x:c>
      <x:c r="C480" s="88" t="str">
        <x:v>24M Omega</x:v>
      </x:c>
      <x:c r="D480" s="88" t="n">
        <x:v>24</x:v>
      </x:c>
      <x:c r="E480" s="88" t="n">
        <x:v>3</x:v>
      </x:c>
      <x:c r="F480" s="88" t="str">
        <x:v>NES MCT 40% sale</x:v>
      </x:c>
      <x:c r="G480" s="88" t="str">
        <x:v>NES single extractor</x:v>
      </x:c>
      <x:c r="H480" s="87" t="n">
        <x:f>'01 Base Costs'!$B$25</x:f>
        <x:v>6600</x:v>
      </x:c>
      <x:c r="I480" s="87" t="n">
        <x:f>'01 Base Costs'!$B$16*0.6</x:f>
        <x:v>291</x:v>
      </x:c>
      <x:c r="J480" s="87" t="n">
        <x:f>0</x:f>
        <x:v>0</x:v>
      </x:c>
      <x:c r="K480" s="87" t="n">
        <x:f>D480*(E480-1)*I480</x:f>
        <x:v>13968</x:v>
      </x:c>
      <x:c r="L480" s="87" t="n">
        <x:f>D480*(E480-1)*J480</x:f>
        <x:v>0</x:v>
      </x:c>
      <x:c r="M480" s="87" t="n">
        <x:f>0</x:f>
        <x:v>0</x:v>
      </x:c>
      <x:c r="N480" s="87" t="n">
        <x:f>H480+K480+M480</x:f>
        <x:v>20568</x:v>
      </x:c>
      <x:c r="O480" s="87" t="n">
        <x:f>N480*'01 Base Costs'!$B$7+L480</x:f>
        <x:v>98932080000</x:v>
      </x:c>
      <x:c r="P480" s="87" t="n">
        <x:f>D480*E480</x:f>
        <x:v>72</x:v>
      </x:c>
      <x:c r="Q480" s="87" t="n">
        <x:f>P480*'01 Base Costs'!$B$12</x:f>
        <x:v>139968000</x:v>
      </x:c>
      <x:c r="R480" s="87" t="n">
        <x:f>0</x:f>
        <x:v>0</x:v>
      </x:c>
      <x:c r="S480" s="87" t="n">
        <x:f>Q480+R480</x:f>
        <x:v>139968000</x:v>
      </x:c>
      <x:c r="T480" s="141" t="n">
        <x:f>S480/'01 Base Costs'!$B$14</x:f>
        <x:v>279.936</x:v>
      </x:c>
      <x:c r="U480" s="87" t="n">
        <x:f>INT(T480)</x:f>
        <x:v>279</x:v>
      </x:c>
      <x:c r="V480" s="87" t="n">
        <x:f>S480-U480*'01 Base Costs'!$B$14</x:f>
        <x:v>468000</x:v>
      </x:c>
      <x:c r="W480" s="120" t="n">
        <x:f>'01 Base Costs'!$B$17</x:f>
        <x:v>140</x:v>
      </x:c>
      <x:c r="X480" s="120" t="n">
        <x:f>0</x:f>
        <x:v>0</x:v>
      </x:c>
      <x:c r="Y480" s="87" t="n">
        <x:f>T480*(W480*'01 Base Costs'!$B$7+X480)</x:f>
        <x:v>188508902400</x:v>
      </x:c>
      <x:c r="Z480" s="87" t="n">
        <x:f>T480*'01 Base Costs'!$B$8</x:f>
        <x:v>210763814399.99997</x:v>
      </x:c>
      <x:c r="AA480" s="87" t="n">
        <x:f>Z480*'01 Base Costs'!$B$11</x:f>
        <x:v>10538190720</x:v>
      </x:c>
      <x:c r="AB480" s="87" t="n">
        <x:f>Z480-AA480</x:f>
        <x:v>200225623679.99997</x:v>
      </x:c>
      <x:c r="AC480" s="87" t="n">
        <x:f>O480+Y480</x:f>
        <x:v>287440982400</x:v>
      </x:c>
      <x:c r="AD480" s="87" t="n">
        <x:f>AB480-AC480</x:f>
        <x:v>-87215358720.00003</x:v>
      </x:c>
      <x:c r="AE480" s="87" t="n">
        <x:f>AD480/D480</x:f>
        <x:v>-3633973280.0000014</x:v>
      </x:c>
      <x:c r="AF480" s="87" t="n">
        <x:f>AD480/P480</x:f>
        <x:v>-1211324426.666667</x:v>
      </x:c>
      <x:c r="AG480" s="87" t="n">
        <x:f>IF(T480=0,0,AC480/T480/(1-'01 Base Costs'!$B$11))</x:f>
        <x:v>1080852248.935095</x:v>
      </x:c>
      <x:c r="AH480" s="88" t="str">
        <x:f>IF(AD480&gt;0,"PROFIT","LOSS")</x:f>
        <x:v>LOSS</x:v>
      </x:c>
      <x:c r="AI480" s="89" t="str">
        <x:v>Base 24M Omega. MCT sale 40% off. Base single extractor.</x:v>
      </x:c>
    </x:row>
    <x:row r="481">
      <x:c r="A481" s="86" t="n">
        <x:v>479</x:v>
      </x:c>
      <x:c r="B481" s="88" t="str">
        <x:v>Base</x:v>
      </x:c>
      <x:c r="C481" s="88" t="str">
        <x:v>24M Omega</x:v>
      </x:c>
      <x:c r="D481" s="88" t="n">
        <x:v>24</x:v>
      </x:c>
      <x:c r="E481" s="88" t="n">
        <x:v>3</x:v>
      </x:c>
      <x:c r="F481" s="88" t="str">
        <x:v>NES MCT 40% sale</x:v>
      </x:c>
      <x:c r="G481" s="88" t="str">
        <x:v>NES 5-pack extractor</x:v>
      </x:c>
      <x:c r="H481" s="87" t="n">
        <x:f>'01 Base Costs'!$B$25</x:f>
        <x:v>6600</x:v>
      </x:c>
      <x:c r="I481" s="87" t="n">
        <x:f>'01 Base Costs'!$B$16*0.6</x:f>
        <x:v>291</x:v>
      </x:c>
      <x:c r="J481" s="87" t="n">
        <x:f>0</x:f>
        <x:v>0</x:v>
      </x:c>
      <x:c r="K481" s="87" t="n">
        <x:f>D481*(E481-1)*I481</x:f>
        <x:v>13968</x:v>
      </x:c>
      <x:c r="L481" s="87" t="n">
        <x:f>D481*(E481-1)*J481</x:f>
        <x:v>0</x:v>
      </x:c>
      <x:c r="M481" s="87" t="n">
        <x:f>0</x:f>
        <x:v>0</x:v>
      </x:c>
      <x:c r="N481" s="87" t="n">
        <x:f>H481+K481+M481</x:f>
        <x:v>20568</x:v>
      </x:c>
      <x:c r="O481" s="87" t="n">
        <x:f>N481*'01 Base Costs'!$B$7+L481</x:f>
        <x:v>98932080000</x:v>
      </x:c>
      <x:c r="P481" s="87" t="n">
        <x:f>D481*E481</x:f>
        <x:v>72</x:v>
      </x:c>
      <x:c r="Q481" s="87" t="n">
        <x:f>P481*'01 Base Costs'!$B$12</x:f>
        <x:v>139968000</x:v>
      </x:c>
      <x:c r="R481" s="87" t="n">
        <x:f>0</x:f>
        <x:v>0</x:v>
      </x:c>
      <x:c r="S481" s="87" t="n">
        <x:f>Q481+R481</x:f>
        <x:v>139968000</x:v>
      </x:c>
      <x:c r="T481" s="141" t="n">
        <x:f>S481/'01 Base Costs'!$B$14</x:f>
        <x:v>279.936</x:v>
      </x:c>
      <x:c r="U481" s="87" t="n">
        <x:f>INT(T481)</x:f>
        <x:v>279</x:v>
      </x:c>
      <x:c r="V481" s="87" t="n">
        <x:f>S481-U481*'01 Base Costs'!$B$14</x:f>
        <x:v>468000</x:v>
      </x:c>
      <x:c r="W481" s="120" t="n">
        <x:f>'01 Base Costs'!$B$18/5</x:f>
        <x:v>126</x:v>
      </x:c>
      <x:c r="X481" s="120" t="n">
        <x:f>0</x:f>
        <x:v>0</x:v>
      </x:c>
      <x:c r="Y481" s="87" t="n">
        <x:f>T481*(W481*'01 Base Costs'!$B$7+X481)</x:f>
        <x:v>169658012160</x:v>
      </x:c>
      <x:c r="Z481" s="87" t="n">
        <x:f>T481*'01 Base Costs'!$B$8</x:f>
        <x:v>210763814399.99997</x:v>
      </x:c>
      <x:c r="AA481" s="87" t="n">
        <x:f>Z481*'01 Base Costs'!$B$11</x:f>
        <x:v>10538190720</x:v>
      </x:c>
      <x:c r="AB481" s="87" t="n">
        <x:f>Z481-AA481</x:f>
        <x:v>200225623679.99997</x:v>
      </x:c>
      <x:c r="AC481" s="87" t="n">
        <x:f>O481+Y481</x:f>
        <x:v>268590092160</x:v>
      </x:c>
      <x:c r="AD481" s="87" t="n">
        <x:f>AB481-AC481</x:f>
        <x:v>-68364468480.00003</x:v>
      </x:c>
      <x:c r="AE481" s="87" t="n">
        <x:f>AD481/D481</x:f>
        <x:v>-2848519520.0000014</x:v>
      </x:c>
      <x:c r="AF481" s="87" t="n">
        <x:f>AD481/P481</x:f>
        <x:v>-949506506.6666671</x:v>
      </x:c>
      <x:c r="AG481" s="87" t="n">
        <x:f>IF(T481=0,0,AC481/T481/(1-'01 Base Costs'!$B$11))</x:f>
        <x:v>1009968038.4087793</x:v>
      </x:c>
      <x:c r="AH481" s="88" t="str">
        <x:f>IF(AD481&gt;0,"PROFIT","LOSS")</x:f>
        <x:v>LOSS</x:v>
      </x:c>
      <x:c r="AI481" s="89" t="str">
        <x:v>Base 24M Omega. MCT sale 40% off. Base 5-pack average.</x:v>
      </x:c>
    </x:row>
    <x:row r="482">
      <x:c r="A482" s="86" t="n">
        <x:v>480</x:v>
      </x:c>
      <x:c r="B482" s="88" t="str">
        <x:v>Base</x:v>
      </x:c>
      <x:c r="C482" s="88" t="str">
        <x:v>24M Omega</x:v>
      </x:c>
      <x:c r="D482" s="88" t="n">
        <x:v>24</x:v>
      </x:c>
      <x:c r="E482" s="88" t="n">
        <x:v>3</x:v>
      </x:c>
      <x:c r="F482" s="88" t="str">
        <x:v>NES MCT 40% sale</x:v>
      </x:c>
      <x:c r="G482" s="88" t="str">
        <x:v>NES 10-pack extractor</x:v>
      </x:c>
      <x:c r="H482" s="87" t="n">
        <x:f>'01 Base Costs'!$B$25</x:f>
        <x:v>6600</x:v>
      </x:c>
      <x:c r="I482" s="87" t="n">
        <x:f>'01 Base Costs'!$B$16*0.6</x:f>
        <x:v>291</x:v>
      </x:c>
      <x:c r="J482" s="87" t="n">
        <x:f>0</x:f>
        <x:v>0</x:v>
      </x:c>
      <x:c r="K482" s="87" t="n">
        <x:f>D482*(E482-1)*I482</x:f>
        <x:v>13968</x:v>
      </x:c>
      <x:c r="L482" s="87" t="n">
        <x:f>D482*(E482-1)*J482</x:f>
        <x:v>0</x:v>
      </x:c>
      <x:c r="M482" s="87" t="n">
        <x:f>0</x:f>
        <x:v>0</x:v>
      </x:c>
      <x:c r="N482" s="87" t="n">
        <x:f>H482+K482+M482</x:f>
        <x:v>20568</x:v>
      </x:c>
      <x:c r="O482" s="87" t="n">
        <x:f>N482*'01 Base Costs'!$B$7+L482</x:f>
        <x:v>98932080000</x:v>
      </x:c>
      <x:c r="P482" s="87" t="n">
        <x:f>D482*E482</x:f>
        <x:v>72</x:v>
      </x:c>
      <x:c r="Q482" s="87" t="n">
        <x:f>P482*'01 Base Costs'!$B$12</x:f>
        <x:v>139968000</x:v>
      </x:c>
      <x:c r="R482" s="87" t="n">
        <x:f>0</x:f>
        <x:v>0</x:v>
      </x:c>
      <x:c r="S482" s="87" t="n">
        <x:f>Q482+R482</x:f>
        <x:v>139968000</x:v>
      </x:c>
      <x:c r="T482" s="141" t="n">
        <x:f>S482/'01 Base Costs'!$B$14</x:f>
        <x:v>279.936</x:v>
      </x:c>
      <x:c r="U482" s="87" t="n">
        <x:f>INT(T482)</x:f>
        <x:v>279</x:v>
      </x:c>
      <x:c r="V482" s="87" t="n">
        <x:f>S482-U482*'01 Base Costs'!$B$14</x:f>
        <x:v>468000</x:v>
      </x:c>
      <x:c r="W482" s="120" t="n">
        <x:f>'01 Base Costs'!$B$19/10</x:f>
        <x:v>119</x:v>
      </x:c>
      <x:c r="X482" s="120" t="n">
        <x:f>0</x:f>
        <x:v>0</x:v>
      </x:c>
      <x:c r="Y482" s="87" t="n">
        <x:f>T482*(W482*'01 Base Costs'!$B$7+X482)</x:f>
        <x:v>160232567040</x:v>
      </x:c>
      <x:c r="Z482" s="87" t="n">
        <x:f>T482*'01 Base Costs'!$B$8</x:f>
        <x:v>210763814399.99997</x:v>
      </x:c>
      <x:c r="AA482" s="87" t="n">
        <x:f>Z482*'01 Base Costs'!$B$11</x:f>
        <x:v>10538190720</x:v>
      </x:c>
      <x:c r="AB482" s="87" t="n">
        <x:f>Z482-AA482</x:f>
        <x:v>200225623679.99997</x:v>
      </x:c>
      <x:c r="AC482" s="87" t="n">
        <x:f>O482+Y482</x:f>
        <x:v>259164647040</x:v>
      </x:c>
      <x:c r="AD482" s="87" t="n">
        <x:f>AB482-AC482</x:f>
        <x:v>-58939023360.00003</x:v>
      </x:c>
      <x:c r="AE482" s="87" t="n">
        <x:f>AD482/D482</x:f>
        <x:v>-2455792640.0000014</x:v>
      </x:c>
      <x:c r="AF482" s="87" t="n">
        <x:f>AD482/P482</x:f>
        <x:v>-818597546.6666671</x:v>
      </x:c>
      <x:c r="AG482" s="87" t="n">
        <x:f>IF(T482=0,0,AC482/T482/(1-'01 Base Costs'!$B$11))</x:f>
        <x:v>974525933.1456214</x:v>
      </x:c>
      <x:c r="AH482" s="88" t="str">
        <x:f>IF(AD482&gt;0,"PROFIT","LOSS")</x:f>
        <x:v>LOSS</x:v>
      </x:c>
      <x:c r="AI482" s="89" t="str">
        <x:v>Base 24M Omega. MCT sale 40% off. Base 10-pack average.</x:v>
      </x:c>
    </x:row>
    <x:row r="483">
      <x:c r="A483" s="86" t="n">
        <x:v>481</x:v>
      </x:c>
      <x:c r="B483" s="88" t="str">
        <x:v>Base</x:v>
      </x:c>
      <x:c r="C483" s="88" t="str">
        <x:v>24M Omega</x:v>
      </x:c>
      <x:c r="D483" s="88" t="n">
        <x:v>24</x:v>
      </x:c>
      <x:c r="E483" s="88" t="n">
        <x:v>3</x:v>
      </x:c>
      <x:c r="F483" s="88" t="str">
        <x:v>NES MCT 40% sale</x:v>
      </x:c>
      <x:c r="G483" s="88" t="str">
        <x:v>NES 50-pack extractor</x:v>
      </x:c>
      <x:c r="H483" s="87" t="n">
        <x:f>'01 Base Costs'!$B$25</x:f>
        <x:v>6600</x:v>
      </x:c>
      <x:c r="I483" s="87" t="n">
        <x:f>'01 Base Costs'!$B$16*0.6</x:f>
        <x:v>291</x:v>
      </x:c>
      <x:c r="J483" s="87" t="n">
        <x:f>0</x:f>
        <x:v>0</x:v>
      </x:c>
      <x:c r="K483" s="87" t="n">
        <x:f>D483*(E483-1)*I483</x:f>
        <x:v>13968</x:v>
      </x:c>
      <x:c r="L483" s="87" t="n">
        <x:f>D483*(E483-1)*J483</x:f>
        <x:v>0</x:v>
      </x:c>
      <x:c r="M483" s="87" t="n">
        <x:f>0</x:f>
        <x:v>0</x:v>
      </x:c>
      <x:c r="N483" s="87" t="n">
        <x:f>H483+K483+M483</x:f>
        <x:v>20568</x:v>
      </x:c>
      <x:c r="O483" s="87" t="n">
        <x:f>N483*'01 Base Costs'!$B$7+L483</x:f>
        <x:v>98932080000</x:v>
      </x:c>
      <x:c r="P483" s="87" t="n">
        <x:f>D483*E483</x:f>
        <x:v>72</x:v>
      </x:c>
      <x:c r="Q483" s="87" t="n">
        <x:f>P483*'01 Base Costs'!$B$12</x:f>
        <x:v>139968000</x:v>
      </x:c>
      <x:c r="R483" s="87" t="n">
        <x:f>0</x:f>
        <x:v>0</x:v>
      </x:c>
      <x:c r="S483" s="87" t="n">
        <x:f>Q483+R483</x:f>
        <x:v>139968000</x:v>
      </x:c>
      <x:c r="T483" s="141" t="n">
        <x:f>S483/'01 Base Costs'!$B$14</x:f>
        <x:v>279.936</x:v>
      </x:c>
      <x:c r="U483" s="87" t="n">
        <x:f>INT(T483)</x:f>
        <x:v>279</x:v>
      </x:c>
      <x:c r="V483" s="87" t="n">
        <x:f>S483-U483*'01 Base Costs'!$B$14</x:f>
        <x:v>468000</x:v>
      </x:c>
      <x:c r="W483" s="120" t="n">
        <x:f>'01 Base Costs'!$B$20/50</x:f>
        <x:v>112</x:v>
      </x:c>
      <x:c r="X483" s="120" t="n">
        <x:f>0</x:f>
        <x:v>0</x:v>
      </x:c>
      <x:c r="Y483" s="87" t="n">
        <x:f>T483*(W483*'01 Base Costs'!$B$7+X483)</x:f>
        <x:v>150807121920</x:v>
      </x:c>
      <x:c r="Z483" s="87" t="n">
        <x:f>T483*'01 Base Costs'!$B$8</x:f>
        <x:v>210763814399.99997</x:v>
      </x:c>
      <x:c r="AA483" s="87" t="n">
        <x:f>Z483*'01 Base Costs'!$B$11</x:f>
        <x:v>10538190720</x:v>
      </x:c>
      <x:c r="AB483" s="87" t="n">
        <x:f>Z483-AA483</x:f>
        <x:v>200225623679.99997</x:v>
      </x:c>
      <x:c r="AC483" s="87" t="n">
        <x:f>O483+Y483</x:f>
        <x:v>249739201920</x:v>
      </x:c>
      <x:c r="AD483" s="87" t="n">
        <x:f>AB483-AC483</x:f>
        <x:v>-49513578240.00003</x:v>
      </x:c>
      <x:c r="AE483" s="87" t="n">
        <x:f>AD483/D483</x:f>
        <x:v>-2063065760.0000012</x:v>
      </x:c>
      <x:c r="AF483" s="87" t="n">
        <x:f>AD483/P483</x:f>
        <x:v>-687688586.6666671</x:v>
      </x:c>
      <x:c r="AG483" s="87" t="n">
        <x:f>IF(T483=0,0,AC483/T483/(1-'01 Base Costs'!$B$11))</x:f>
        <x:v>939083827.8824635</x:v>
      </x:c>
      <x:c r="AH483" s="88" t="str">
        <x:f>IF(AD483&gt;0,"PROFIT","LOSS")</x:f>
        <x:v>LOSS</x:v>
      </x:c>
      <x:c r="AI483" s="89" t="str">
        <x:v>Base 24M Omega. MCT sale 40% off. Base 50-pack average.</x:v>
      </x:c>
    </x:row>
    <x:row r="484">
      <x:c r="A484" s="86" t="n">
        <x:v>482</x:v>
      </x:c>
      <x:c r="B484" s="88" t="str">
        <x:v>Base</x:v>
      </x:c>
      <x:c r="C484" s="88" t="str">
        <x:v>24M Omega</x:v>
      </x:c>
      <x:c r="D484" s="88" t="n">
        <x:v>24</x:v>
      </x:c>
      <x:c r="E484" s="88" t="n">
        <x:v>3</x:v>
      </x:c>
      <x:c r="F484" s="88" t="str">
        <x:v>NES MCT 40% sale</x:v>
      </x:c>
      <x:c r="G484" s="88" t="str">
        <x:v>NES 3-for-2 extractor sale</x:v>
      </x:c>
      <x:c r="H484" s="87" t="n">
        <x:f>'01 Base Costs'!$B$25</x:f>
        <x:v>6600</x:v>
      </x:c>
      <x:c r="I484" s="87" t="n">
        <x:f>'01 Base Costs'!$B$16*0.6</x:f>
        <x:v>291</x:v>
      </x:c>
      <x:c r="J484" s="87" t="n">
        <x:f>0</x:f>
        <x:v>0</x:v>
      </x:c>
      <x:c r="K484" s="87" t="n">
        <x:f>D484*(E484-1)*I484</x:f>
        <x:v>13968</x:v>
      </x:c>
      <x:c r="L484" s="87" t="n">
        <x:f>D484*(E484-1)*J484</x:f>
        <x:v>0</x:v>
      </x:c>
      <x:c r="M484" s="87" t="n">
        <x:f>0</x:f>
        <x:v>0</x:v>
      </x:c>
      <x:c r="N484" s="87" t="n">
        <x:f>H484+K484+M484</x:f>
        <x:v>20568</x:v>
      </x:c>
      <x:c r="O484" s="87" t="n">
        <x:f>N484*'01 Base Costs'!$B$7+L484</x:f>
        <x:v>98932080000</x:v>
      </x:c>
      <x:c r="P484" s="87" t="n">
        <x:f>D484*E484</x:f>
        <x:v>72</x:v>
      </x:c>
      <x:c r="Q484" s="87" t="n">
        <x:f>P484*'01 Base Costs'!$B$12</x:f>
        <x:v>139968000</x:v>
      </x:c>
      <x:c r="R484" s="87" t="n">
        <x:f>0</x:f>
        <x:v>0</x:v>
      </x:c>
      <x:c r="S484" s="87" t="n">
        <x:f>Q484+R484</x:f>
        <x:v>139968000</x:v>
      </x:c>
      <x:c r="T484" s="141" t="n">
        <x:f>S484/'01 Base Costs'!$B$14</x:f>
        <x:v>279.936</x:v>
      </x:c>
      <x:c r="U484" s="87" t="n">
        <x:f>INT(T484)</x:f>
        <x:v>279</x:v>
      </x:c>
      <x:c r="V484" s="87" t="n">
        <x:f>S484-U484*'01 Base Costs'!$B$14</x:f>
        <x:v>468000</x:v>
      </x:c>
      <x:c r="W484" s="120" t="n">
        <x:f>'01 Base Costs'!$B$17*2/3</x:f>
        <x:v>93.33333333333333</x:v>
      </x:c>
      <x:c r="X484" s="120" t="n">
        <x:f>0</x:f>
        <x:v>0</x:v>
      </x:c>
      <x:c r="Y484" s="87" t="n">
        <x:f>T484*(W484*'01 Base Costs'!$B$7+X484)</x:f>
        <x:v>125672601599.99998</x:v>
      </x:c>
      <x:c r="Z484" s="87" t="n">
        <x:f>T484*'01 Base Costs'!$B$8</x:f>
        <x:v>210763814399.99997</x:v>
      </x:c>
      <x:c r="AA484" s="87" t="n">
        <x:f>Z484*'01 Base Costs'!$B$11</x:f>
        <x:v>10538190720</x:v>
      </x:c>
      <x:c r="AB484" s="87" t="n">
        <x:f>Z484-AA484</x:f>
        <x:v>200225623679.99997</x:v>
      </x:c>
      <x:c r="AC484" s="87" t="n">
        <x:f>O484+Y484</x:f>
        <x:v>224604681600</x:v>
      </x:c>
      <x:c r="AD484" s="87" t="n">
        <x:f>AB484-AC484</x:f>
        <x:v>-24379057920.00003</x:v>
      </x:c>
      <x:c r="AE484" s="87" t="n">
        <x:f>AD484/D484</x:f>
        <x:v>-1015794080.0000013</x:v>
      </x:c>
      <x:c r="AF484" s="87" t="n">
        <x:f>AD484/P484</x:f>
        <x:v>-338598026.6666671</x:v>
      </x:c>
      <x:c r="AG484" s="87" t="n">
        <x:f>IF(T484=0,0,AC484/T484/(1-'01 Base Costs'!$B$11))</x:f>
        <x:v>844571547.1807091</x:v>
      </x:c>
      <x:c r="AH484" s="88" t="str">
        <x:f>IF(AD484&gt;0,"PROFIT","LOSS")</x:f>
        <x:v>LOSS</x:v>
      </x:c>
      <x:c r="AI484" s="89" t="str">
        <x:v>Base 24M Omega. MCT sale 40% off. Extractor 3-for-2 sale.</x:v>
      </x:c>
    </x:row>
    <x:row r="485">
      <x:c r="A485" s="86" t="n">
        <x:v>483</x:v>
      </x:c>
      <x:c r="B485" s="88" t="str">
        <x:v>Base</x:v>
      </x:c>
      <x:c r="C485" s="88" t="str">
        <x:v>24M Omega</x:v>
      </x:c>
      <x:c r="D485" s="88" t="n">
        <x:v>24</x:v>
      </x:c>
      <x:c r="E485" s="88" t="n">
        <x:v>3</x:v>
      </x:c>
      <x:c r="F485" s="88" t="str">
        <x:v>NES MCT 40% sale</x:v>
      </x:c>
      <x:c r="G485" s="88" t="str">
        <x:v>NES 2-for-1 extractor sale</x:v>
      </x:c>
      <x:c r="H485" s="87" t="n">
        <x:f>'01 Base Costs'!$B$25</x:f>
        <x:v>6600</x:v>
      </x:c>
      <x:c r="I485" s="87" t="n">
        <x:f>'01 Base Costs'!$B$16*0.6</x:f>
        <x:v>291</x:v>
      </x:c>
      <x:c r="J485" s="87" t="n">
        <x:f>0</x:f>
        <x:v>0</x:v>
      </x:c>
      <x:c r="K485" s="87" t="n">
        <x:f>D485*(E485-1)*I485</x:f>
        <x:v>13968</x:v>
      </x:c>
      <x:c r="L485" s="87" t="n">
        <x:f>D485*(E485-1)*J485</x:f>
        <x:v>0</x:v>
      </x:c>
      <x:c r="M485" s="87" t="n">
        <x:f>0</x:f>
        <x:v>0</x:v>
      </x:c>
      <x:c r="N485" s="87" t="n">
        <x:f>H485+K485+M485</x:f>
        <x:v>20568</x:v>
      </x:c>
      <x:c r="O485" s="87" t="n">
        <x:f>N485*'01 Base Costs'!$B$7+L485</x:f>
        <x:v>98932080000</x:v>
      </x:c>
      <x:c r="P485" s="87" t="n">
        <x:f>D485*E485</x:f>
        <x:v>72</x:v>
      </x:c>
      <x:c r="Q485" s="87" t="n">
        <x:f>P485*'01 Base Costs'!$B$12</x:f>
        <x:v>139968000</x:v>
      </x:c>
      <x:c r="R485" s="87" t="n">
        <x:f>0</x:f>
        <x:v>0</x:v>
      </x:c>
      <x:c r="S485" s="87" t="n">
        <x:f>Q485+R485</x:f>
        <x:v>139968000</x:v>
      </x:c>
      <x:c r="T485" s="141" t="n">
        <x:f>S485/'01 Base Costs'!$B$14</x:f>
        <x:v>279.936</x:v>
      </x:c>
      <x:c r="U485" s="87" t="n">
        <x:f>INT(T485)</x:f>
        <x:v>279</x:v>
      </x:c>
      <x:c r="V485" s="87" t="n">
        <x:f>S485-U485*'01 Base Costs'!$B$14</x:f>
        <x:v>468000</x:v>
      </x:c>
      <x:c r="W485" s="120" t="n">
        <x:f>'01 Base Costs'!$B$17/2</x:f>
        <x:v>70</x:v>
      </x:c>
      <x:c r="X485" s="120" t="n">
        <x:f>0</x:f>
        <x:v>0</x:v>
      </x:c>
      <x:c r="Y485" s="87" t="n">
        <x:f>T485*(W485*'01 Base Costs'!$B$7+X485)</x:f>
        <x:v>94254451200</x:v>
      </x:c>
      <x:c r="Z485" s="87" t="n">
        <x:f>T485*'01 Base Costs'!$B$8</x:f>
        <x:v>210763814399.99997</x:v>
      </x:c>
      <x:c r="AA485" s="87" t="n">
        <x:f>Z485*'01 Base Costs'!$B$11</x:f>
        <x:v>10538190720</x:v>
      </x:c>
      <x:c r="AB485" s="87" t="n">
        <x:f>Z485-AA485</x:f>
        <x:v>200225623679.99997</x:v>
      </x:c>
      <x:c r="AC485" s="87" t="n">
        <x:f>O485+Y485</x:f>
        <x:v>193186531200</x:v>
      </x:c>
      <x:c r="AD485" s="87" t="n">
        <x:f>AB485-AC485</x:f>
        <x:v>7039092479.9999695</x:v>
      </x:c>
      <x:c r="AE485" s="87" t="n">
        <x:f>AD485/D485</x:f>
        <x:v>293295519.99999875</x:v>
      </x:c>
      <x:c r="AF485" s="87" t="n">
        <x:f>AD485/P485</x:f>
        <x:v>97765173.33333291</x:v>
      </x:c>
      <x:c r="AG485" s="87" t="n">
        <x:f>IF(T485=0,0,AC485/T485/(1-'01 Base Costs'!$B$11))</x:f>
        <x:v>726431196.3035161</x:v>
      </x:c>
      <x:c r="AH485" s="88" t="str">
        <x:f>IF(AD485&gt;0,"PROFIT","LOSS")</x:f>
        <x:v>PROFIT</x:v>
      </x:c>
      <x:c r="AI485" s="89" t="str">
        <x:v>Base 24M Omega. MCT sale 40% off. Extractor 2-for-1 sale.</x:v>
      </x:c>
    </x:row>
    <x:row r="486">
      <x:c r="A486" s="86" t="n">
        <x:v>484</x:v>
      </x:c>
      <x:c r="B486" s="88" t="str">
        <x:v>Base</x:v>
      </x:c>
      <x:c r="C486" s="88" t="str">
        <x:v>24M Omega</x:v>
      </x:c>
      <x:c r="D486" s="88" t="n">
        <x:v>24</x:v>
      </x:c>
      <x:c r="E486" s="88" t="n">
        <x:v>3</x:v>
      </x:c>
      <x:c r="F486" s="88" t="str">
        <x:v>NES MCT 40% sale</x:v>
      </x:c>
      <x:c r="G486" s="88" t="str">
        <x:v>NES 10-pack extractor 20% sale</x:v>
      </x:c>
      <x:c r="H486" s="87" t="n">
        <x:f>'01 Base Costs'!$B$25</x:f>
        <x:v>6600</x:v>
      </x:c>
      <x:c r="I486" s="87" t="n">
        <x:f>'01 Base Costs'!$B$16*0.6</x:f>
        <x:v>291</x:v>
      </x:c>
      <x:c r="J486" s="87" t="n">
        <x:f>0</x:f>
        <x:v>0</x:v>
      </x:c>
      <x:c r="K486" s="87" t="n">
        <x:f>D486*(E486-1)*I486</x:f>
        <x:v>13968</x:v>
      </x:c>
      <x:c r="L486" s="87" t="n">
        <x:f>D486*(E486-1)*J486</x:f>
        <x:v>0</x:v>
      </x:c>
      <x:c r="M486" s="87" t="n">
        <x:f>0</x:f>
        <x:v>0</x:v>
      </x:c>
      <x:c r="N486" s="87" t="n">
        <x:f>H486+K486+M486</x:f>
        <x:v>20568</x:v>
      </x:c>
      <x:c r="O486" s="87" t="n">
        <x:f>N486*'01 Base Costs'!$B$7+L486</x:f>
        <x:v>98932080000</x:v>
      </x:c>
      <x:c r="P486" s="87" t="n">
        <x:f>D486*E486</x:f>
        <x:v>72</x:v>
      </x:c>
      <x:c r="Q486" s="87" t="n">
        <x:f>P486*'01 Base Costs'!$B$12</x:f>
        <x:v>139968000</x:v>
      </x:c>
      <x:c r="R486" s="87" t="n">
        <x:f>0</x:f>
        <x:v>0</x:v>
      </x:c>
      <x:c r="S486" s="87" t="n">
        <x:f>Q486+R486</x:f>
        <x:v>139968000</x:v>
      </x:c>
      <x:c r="T486" s="141" t="n">
        <x:f>S486/'01 Base Costs'!$B$14</x:f>
        <x:v>279.936</x:v>
      </x:c>
      <x:c r="U486" s="87" t="n">
        <x:f>INT(T486)</x:f>
        <x:v>279</x:v>
      </x:c>
      <x:c r="V486" s="87" t="n">
        <x:f>S486-U486*'01 Base Costs'!$B$14</x:f>
        <x:v>468000</x:v>
      </x:c>
      <x:c r="W486" s="120" t="n">
        <x:f>'01 Base Costs'!$B$19*0.8/10</x:f>
        <x:v>95.2</x:v>
      </x:c>
      <x:c r="X486" s="120" t="n">
        <x:f>0</x:f>
        <x:v>0</x:v>
      </x:c>
      <x:c r="Y486" s="87" t="n">
        <x:f>T486*(W486*'01 Base Costs'!$B$7+X486)</x:f>
        <x:v>128186053631.99998</x:v>
      </x:c>
      <x:c r="Z486" s="87" t="n">
        <x:f>T486*'01 Base Costs'!$B$8</x:f>
        <x:v>210763814399.99997</x:v>
      </x:c>
      <x:c r="AA486" s="87" t="n">
        <x:f>Z486*'01 Base Costs'!$B$11</x:f>
        <x:v>10538190720</x:v>
      </x:c>
      <x:c r="AB486" s="87" t="n">
        <x:f>Z486-AA486</x:f>
        <x:v>200225623679.99997</x:v>
      </x:c>
      <x:c r="AC486" s="87" t="n">
        <x:f>O486+Y486</x:f>
        <x:v>227118133632</x:v>
      </x:c>
      <x:c r="AD486" s="87" t="n">
        <x:f>AB486-AC486</x:f>
        <x:v>-26892509952.00003</x:v>
      </x:c>
      <x:c r="AE486" s="87" t="n">
        <x:f>AD486/D486</x:f>
        <x:v>-1120521248.0000012</x:v>
      </x:c>
      <x:c r="AF486" s="87" t="n">
        <x:f>AD486/P486</x:f>
        <x:v>-373507082.6666671</x:v>
      </x:c>
      <x:c r="AG486" s="87" t="n">
        <x:f>IF(T486=0,0,AC486/T486/(1-'01 Base Costs'!$B$11))</x:f>
        <x:v>854022775.2508845</x:v>
      </x:c>
      <x:c r="AH486" s="88" t="str">
        <x:f>IF(AD486&gt;0,"PROFIT","LOSS")</x:f>
        <x:v>LOSS</x:v>
      </x:c>
      <x:c r="AI486" s="89" t="str">
        <x:v>Base 24M Omega. MCT sale 40% off. 10-pack at 20% off.</x:v>
      </x:c>
    </x:row>
    <x:row r="487">
      <x:c r="A487" s="86" t="n">
        <x:v>485</x:v>
      </x:c>
      <x:c r="B487" s="88" t="str">
        <x:v>Base</x:v>
      </x:c>
      <x:c r="C487" s="88" t="str">
        <x:v>24M Omega</x:v>
      </x:c>
      <x:c r="D487" s="88" t="n">
        <x:v>24</x:v>
      </x:c>
      <x:c r="E487" s="88" t="n">
        <x:v>3</x:v>
      </x:c>
      <x:c r="F487" s="88" t="str">
        <x:v>NES MCT 40% sale</x:v>
      </x:c>
      <x:c r="G487" s="88" t="str">
        <x:v>NES 50-pack extractor 20% sale</x:v>
      </x:c>
      <x:c r="H487" s="87" t="n">
        <x:f>'01 Base Costs'!$B$25</x:f>
        <x:v>6600</x:v>
      </x:c>
      <x:c r="I487" s="87" t="n">
        <x:f>'01 Base Costs'!$B$16*0.6</x:f>
        <x:v>291</x:v>
      </x:c>
      <x:c r="J487" s="87" t="n">
        <x:f>0</x:f>
        <x:v>0</x:v>
      </x:c>
      <x:c r="K487" s="87" t="n">
        <x:f>D487*(E487-1)*I487</x:f>
        <x:v>13968</x:v>
      </x:c>
      <x:c r="L487" s="87" t="n">
        <x:f>D487*(E487-1)*J487</x:f>
        <x:v>0</x:v>
      </x:c>
      <x:c r="M487" s="87" t="n">
        <x:f>0</x:f>
        <x:v>0</x:v>
      </x:c>
      <x:c r="N487" s="87" t="n">
        <x:f>H487+K487+M487</x:f>
        <x:v>20568</x:v>
      </x:c>
      <x:c r="O487" s="87" t="n">
        <x:f>N487*'01 Base Costs'!$B$7+L487</x:f>
        <x:v>98932080000</x:v>
      </x:c>
      <x:c r="P487" s="87" t="n">
        <x:f>D487*E487</x:f>
        <x:v>72</x:v>
      </x:c>
      <x:c r="Q487" s="87" t="n">
        <x:f>P487*'01 Base Costs'!$B$12</x:f>
        <x:v>139968000</x:v>
      </x:c>
      <x:c r="R487" s="87" t="n">
        <x:f>0</x:f>
        <x:v>0</x:v>
      </x:c>
      <x:c r="S487" s="87" t="n">
        <x:f>Q487+R487</x:f>
        <x:v>139968000</x:v>
      </x:c>
      <x:c r="T487" s="141" t="n">
        <x:f>S487/'01 Base Costs'!$B$14</x:f>
        <x:v>279.936</x:v>
      </x:c>
      <x:c r="U487" s="87" t="n">
        <x:f>INT(T487)</x:f>
        <x:v>279</x:v>
      </x:c>
      <x:c r="V487" s="87" t="n">
        <x:f>S487-U487*'01 Base Costs'!$B$14</x:f>
        <x:v>468000</x:v>
      </x:c>
      <x:c r="W487" s="120" t="n">
        <x:f>'01 Base Costs'!$B$20*0.8/50</x:f>
        <x:v>89.6</x:v>
      </x:c>
      <x:c r="X487" s="120" t="n">
        <x:f>0</x:f>
        <x:v>0</x:v>
      </x:c>
      <x:c r="Y487" s="87" t="n">
        <x:f>T487*(W487*'01 Base Costs'!$B$7+X487)</x:f>
        <x:v>120645697535.99998</x:v>
      </x:c>
      <x:c r="Z487" s="87" t="n">
        <x:f>T487*'01 Base Costs'!$B$8</x:f>
        <x:v>210763814399.99997</x:v>
      </x:c>
      <x:c r="AA487" s="87" t="n">
        <x:f>Z487*'01 Base Costs'!$B$11</x:f>
        <x:v>10538190720</x:v>
      </x:c>
      <x:c r="AB487" s="87" t="n">
        <x:f>Z487-AA487</x:f>
        <x:v>200225623679.99997</x:v>
      </x:c>
      <x:c r="AC487" s="87" t="n">
        <x:f>O487+Y487</x:f>
        <x:v>219577777536</x:v>
      </x:c>
      <x:c r="AD487" s="87" t="n">
        <x:f>AB487-AC487</x:f>
        <x:v>-19352153856.00003</x:v>
      </x:c>
      <x:c r="AE487" s="87" t="n">
        <x:f>AD487/D487</x:f>
        <x:v>-806339744.0000013</x:v>
      </x:c>
      <x:c r="AF487" s="87" t="n">
        <x:f>AD487/P487</x:f>
        <x:v>-268779914.6666671</x:v>
      </x:c>
      <x:c r="AG487" s="87" t="n">
        <x:f>IF(T487=0,0,AC487/T487/(1-'01 Base Costs'!$B$11))</x:f>
        <x:v>825669091.0403582</x:v>
      </x:c>
      <x:c r="AH487" s="88" t="str">
        <x:f>IF(AD487&gt;0,"PROFIT","LOSS")</x:f>
        <x:v>LOSS</x:v>
      </x:c>
      <x:c r="AI487" s="89" t="str">
        <x:v>Base 24M Omega. MCT sale 40% off. 50-pack at 20% off.</x:v>
      </x:c>
    </x:row>
    <x:row r="488">
      <x:c r="A488" s="86" t="n">
        <x:v>486</x:v>
      </x:c>
      <x:c r="B488" s="88" t="str">
        <x:v>Base</x:v>
      </x:c>
      <x:c r="C488" s="88" t="str">
        <x:v>24M Omega</x:v>
      </x:c>
      <x:c r="D488" s="88" t="n">
        <x:v>24</x:v>
      </x:c>
      <x:c r="E488" s="88" t="n">
        <x:v>3</x:v>
      </x:c>
      <x:c r="F488" s="88" t="str">
        <x:v>NES MCT 40% sale</x:v>
      </x:c>
      <x:c r="G488" s="88" t="str">
        <x:v>Market Skill Extractor</x:v>
      </x:c>
      <x:c r="H488" s="87" t="n">
        <x:f>'01 Base Costs'!$B$25</x:f>
        <x:v>6600</x:v>
      </x:c>
      <x:c r="I488" s="87" t="n">
        <x:f>'01 Base Costs'!$B$16*0.6</x:f>
        <x:v>291</x:v>
      </x:c>
      <x:c r="J488" s="87" t="n">
        <x:f>0</x:f>
        <x:v>0</x:v>
      </x:c>
      <x:c r="K488" s="87" t="n">
        <x:f>D488*(E488-1)*I488</x:f>
        <x:v>13968</x:v>
      </x:c>
      <x:c r="L488" s="87" t="n">
        <x:f>D488*(E488-1)*J488</x:f>
        <x:v>0</x:v>
      </x:c>
      <x:c r="M488" s="87" t="n">
        <x:f>0</x:f>
        <x:v>0</x:v>
      </x:c>
      <x:c r="N488" s="87" t="n">
        <x:f>H488+K488+M488</x:f>
        <x:v>20568</x:v>
      </x:c>
      <x:c r="O488" s="87" t="n">
        <x:f>N488*'01 Base Costs'!$B$7+L488</x:f>
        <x:v>98932080000</x:v>
      </x:c>
      <x:c r="P488" s="87" t="n">
        <x:f>D488*E488</x:f>
        <x:v>72</x:v>
      </x:c>
      <x:c r="Q488" s="87" t="n">
        <x:f>P488*'01 Base Costs'!$B$12</x:f>
        <x:v>139968000</x:v>
      </x:c>
      <x:c r="R488" s="87" t="n">
        <x:f>0</x:f>
        <x:v>0</x:v>
      </x:c>
      <x:c r="S488" s="87" t="n">
        <x:f>Q488+R488</x:f>
        <x:v>139968000</x:v>
      </x:c>
      <x:c r="T488" s="141" t="n">
        <x:f>S488/'01 Base Costs'!$B$14</x:f>
        <x:v>279.936</x:v>
      </x:c>
      <x:c r="U488" s="87" t="n">
        <x:f>INT(T488)</x:f>
        <x:v>279</x:v>
      </x:c>
      <x:c r="V488" s="87" t="n">
        <x:f>S488-U488*'01 Base Costs'!$B$14</x:f>
        <x:v>468000</x:v>
      </x:c>
      <x:c r="W488" s="120" t="n">
        <x:f>0</x:f>
        <x:v>0</x:v>
      </x:c>
      <x:c r="X488" s="120" t="n">
        <x:f>'01 Base Costs'!$B$9</x:f>
        <x:v>463500000</x:v>
      </x:c>
      <x:c r="Y488" s="87" t="n">
        <x:f>T488*(W488*'01 Base Costs'!$B$7+X488)</x:f>
        <x:v>129750335999.99998</x:v>
      </x:c>
      <x:c r="Z488" s="87" t="n">
        <x:f>T488*'01 Base Costs'!$B$8</x:f>
        <x:v>210763814399.99997</x:v>
      </x:c>
      <x:c r="AA488" s="87" t="n">
        <x:f>Z488*'01 Base Costs'!$B$11</x:f>
        <x:v>10538190720</x:v>
      </x:c>
      <x:c r="AB488" s="87" t="n">
        <x:f>Z488-AA488</x:f>
        <x:v>200225623679.99997</x:v>
      </x:c>
      <x:c r="AC488" s="87" t="n">
        <x:f>O488+Y488</x:f>
        <x:v>228682416000</x:v>
      </x:c>
      <x:c r="AD488" s="87" t="n">
        <x:f>AB488-AC488</x:f>
        <x:v>-28456792320.00003</x:v>
      </x:c>
      <x:c r="AE488" s="87" t="n">
        <x:f>AD488/D488</x:f>
        <x:v>-1185699680.0000012</x:v>
      </x:c>
      <x:c r="AF488" s="87" t="n">
        <x:f>AD488/P488</x:f>
        <x:v>-395233226.6666671</x:v>
      </x:c>
      <x:c r="AG488" s="87" t="n">
        <x:f>IF(T488=0,0,AC488/T488/(1-'01 Base Costs'!$B$11))</x:f>
        <x:v>859904880.5140424</x:v>
      </x:c>
      <x:c r="AH488" s="88" t="str">
        <x:f>IF(AD488&gt;0,"PROFIT","LOSS")</x:f>
        <x:v>LOSS</x:v>
      </x:c>
      <x:c r="AI488" s="89" t="str">
        <x:v>Base 24M Omega. MCT sale 40% off. Extractor bought on market with ISK.</x:v>
      </x:c>
    </x:row>
    <x:row r="489">
      <x:c r="A489" s="86" t="n">
        <x:v>487</x:v>
      </x:c>
      <x:c r="B489" s="88" t="str">
        <x:v>Base</x:v>
      </x:c>
      <x:c r="C489" s="88" t="str">
        <x:v>24M Omega</x:v>
      </x:c>
      <x:c r="D489" s="88" t="n">
        <x:v>24</x:v>
      </x:c>
      <x:c r="E489" s="88" t="n">
        <x:v>3</x:v>
      </x:c>
      <x:c r="F489" s="88" t="str">
        <x:v>Market MCT certificate</x:v>
      </x:c>
      <x:c r="G489" s="88" t="str">
        <x:v>NES single extractor</x:v>
      </x:c>
      <x:c r="H489" s="87" t="n">
        <x:f>'01 Base Costs'!$B$25</x:f>
        <x:v>6600</x:v>
      </x:c>
      <x:c r="I489" s="87" t="n">
        <x:f>0</x:f>
        <x:v>0</x:v>
      </x:c>
      <x:c r="J489" s="87" t="n">
        <x:f>'01 Base Costs'!$B$10</x:f>
        <x:v>2332850000</x:v>
      </x:c>
      <x:c r="K489" s="87" t="n">
        <x:f>D489*(E489-1)*I489</x:f>
        <x:v>0</x:v>
      </x:c>
      <x:c r="L489" s="87" t="n">
        <x:f>D489*(E489-1)*J489</x:f>
        <x:v>111976800000</x:v>
      </x:c>
      <x:c r="M489" s="87" t="n">
        <x:f>0</x:f>
        <x:v>0</x:v>
      </x:c>
      <x:c r="N489" s="87" t="n">
        <x:f>H489+K489+M489</x:f>
        <x:v>6600</x:v>
      </x:c>
      <x:c r="O489" s="87" t="n">
        <x:f>N489*'01 Base Costs'!$B$7+L489</x:f>
        <x:v>143722800000</x:v>
      </x:c>
      <x:c r="P489" s="87" t="n">
        <x:f>D489*E489</x:f>
        <x:v>72</x:v>
      </x:c>
      <x:c r="Q489" s="87" t="n">
        <x:f>P489*'01 Base Costs'!$B$12</x:f>
        <x:v>139968000</x:v>
      </x:c>
      <x:c r="R489" s="87" t="n">
        <x:f>0</x:f>
        <x:v>0</x:v>
      </x:c>
      <x:c r="S489" s="87" t="n">
        <x:f>Q489+R489</x:f>
        <x:v>139968000</x:v>
      </x:c>
      <x:c r="T489" s="141" t="n">
        <x:f>S489/'01 Base Costs'!$B$14</x:f>
        <x:v>279.936</x:v>
      </x:c>
      <x:c r="U489" s="87" t="n">
        <x:f>INT(T489)</x:f>
        <x:v>279</x:v>
      </x:c>
      <x:c r="V489" s="87" t="n">
        <x:f>S489-U489*'01 Base Costs'!$B$14</x:f>
        <x:v>468000</x:v>
      </x:c>
      <x:c r="W489" s="120" t="n">
        <x:f>'01 Base Costs'!$B$17</x:f>
        <x:v>140</x:v>
      </x:c>
      <x:c r="X489" s="120" t="n">
        <x:f>0</x:f>
        <x:v>0</x:v>
      </x:c>
      <x:c r="Y489" s="87" t="n">
        <x:f>T489*(W489*'01 Base Costs'!$B$7+X489)</x:f>
        <x:v>188508902400</x:v>
      </x:c>
      <x:c r="Z489" s="87" t="n">
        <x:f>T489*'01 Base Costs'!$B$8</x:f>
        <x:v>210763814399.99997</x:v>
      </x:c>
      <x:c r="AA489" s="87" t="n">
        <x:f>Z489*'01 Base Costs'!$B$11</x:f>
        <x:v>10538190720</x:v>
      </x:c>
      <x:c r="AB489" s="87" t="n">
        <x:f>Z489-AA489</x:f>
        <x:v>200225623679.99997</x:v>
      </x:c>
      <x:c r="AC489" s="87" t="n">
        <x:f>O489+Y489</x:f>
        <x:v>332231702400</x:v>
      </x:c>
      <x:c r="AD489" s="87" t="n">
        <x:f>AB489-AC489</x:f>
        <x:v>-132006078720.00003</x:v>
      </x:c>
      <x:c r="AE489" s="87" t="n">
        <x:f>AD489/D489</x:f>
        <x:v>-5500253280.000001</x:v>
      </x:c>
      <x:c r="AF489" s="87" t="n">
        <x:f>AD489/P489</x:f>
        <x:v>-1833417760.0000005</x:v>
      </x:c>
      <x:c r="AG489" s="87" t="n">
        <x:f>IF(T489=0,0,AC489/T489/(1-'01 Base Costs'!$B$11))</x:f>
        <x:v>1249276911.4143386</x:v>
      </x:c>
      <x:c r="AH489" s="88" t="str">
        <x:f>IF(AD489&gt;0,"PROFIT","LOSS")</x:f>
        <x:v>LOSS</x:v>
      </x:c>
      <x:c r="AI489" s="89" t="str">
        <x:v>Base 24M Omega. MCT certificate bought with ISK market price. Base single extractor.</x:v>
      </x:c>
    </x:row>
    <x:row r="490">
      <x:c r="A490" s="86" t="n">
        <x:v>488</x:v>
      </x:c>
      <x:c r="B490" s="88" t="str">
        <x:v>Base</x:v>
      </x:c>
      <x:c r="C490" s="88" t="str">
        <x:v>24M Omega</x:v>
      </x:c>
      <x:c r="D490" s="88" t="n">
        <x:v>24</x:v>
      </x:c>
      <x:c r="E490" s="88" t="n">
        <x:v>3</x:v>
      </x:c>
      <x:c r="F490" s="88" t="str">
        <x:v>Market MCT certificate</x:v>
      </x:c>
      <x:c r="G490" s="88" t="str">
        <x:v>NES 5-pack extractor</x:v>
      </x:c>
      <x:c r="H490" s="87" t="n">
        <x:f>'01 Base Costs'!$B$25</x:f>
        <x:v>6600</x:v>
      </x:c>
      <x:c r="I490" s="87" t="n">
        <x:f>0</x:f>
        <x:v>0</x:v>
      </x:c>
      <x:c r="J490" s="87" t="n">
        <x:f>'01 Base Costs'!$B$10</x:f>
        <x:v>2332850000</x:v>
      </x:c>
      <x:c r="K490" s="87" t="n">
        <x:f>D490*(E490-1)*I490</x:f>
        <x:v>0</x:v>
      </x:c>
      <x:c r="L490" s="87" t="n">
        <x:f>D490*(E490-1)*J490</x:f>
        <x:v>111976800000</x:v>
      </x:c>
      <x:c r="M490" s="87" t="n">
        <x:f>0</x:f>
        <x:v>0</x:v>
      </x:c>
      <x:c r="N490" s="87" t="n">
        <x:f>H490+K490+M490</x:f>
        <x:v>6600</x:v>
      </x:c>
      <x:c r="O490" s="87" t="n">
        <x:f>N490*'01 Base Costs'!$B$7+L490</x:f>
        <x:v>143722800000</x:v>
      </x:c>
      <x:c r="P490" s="87" t="n">
        <x:f>D490*E490</x:f>
        <x:v>72</x:v>
      </x:c>
      <x:c r="Q490" s="87" t="n">
        <x:f>P490*'01 Base Costs'!$B$12</x:f>
        <x:v>139968000</x:v>
      </x:c>
      <x:c r="R490" s="87" t="n">
        <x:f>0</x:f>
        <x:v>0</x:v>
      </x:c>
      <x:c r="S490" s="87" t="n">
        <x:f>Q490+R490</x:f>
        <x:v>139968000</x:v>
      </x:c>
      <x:c r="T490" s="141" t="n">
        <x:f>S490/'01 Base Costs'!$B$14</x:f>
        <x:v>279.936</x:v>
      </x:c>
      <x:c r="U490" s="87" t="n">
        <x:f>INT(T490)</x:f>
        <x:v>279</x:v>
      </x:c>
      <x:c r="V490" s="87" t="n">
        <x:f>S490-U490*'01 Base Costs'!$B$14</x:f>
        <x:v>468000</x:v>
      </x:c>
      <x:c r="W490" s="120" t="n">
        <x:f>'01 Base Costs'!$B$18/5</x:f>
        <x:v>126</x:v>
      </x:c>
      <x:c r="X490" s="120" t="n">
        <x:f>0</x:f>
        <x:v>0</x:v>
      </x:c>
      <x:c r="Y490" s="87" t="n">
        <x:f>T490*(W490*'01 Base Costs'!$B$7+X490)</x:f>
        <x:v>169658012160</x:v>
      </x:c>
      <x:c r="Z490" s="87" t="n">
        <x:f>T490*'01 Base Costs'!$B$8</x:f>
        <x:v>210763814399.99997</x:v>
      </x:c>
      <x:c r="AA490" s="87" t="n">
        <x:f>Z490*'01 Base Costs'!$B$11</x:f>
        <x:v>10538190720</x:v>
      </x:c>
      <x:c r="AB490" s="87" t="n">
        <x:f>Z490-AA490</x:f>
        <x:v>200225623679.99997</x:v>
      </x:c>
      <x:c r="AC490" s="87" t="n">
        <x:f>O490+Y490</x:f>
        <x:v>313380812160</x:v>
      </x:c>
      <x:c r="AD490" s="87" t="n">
        <x:f>AB490-AC490</x:f>
        <x:v>-113155188480.00003</x:v>
      </x:c>
      <x:c r="AE490" s="87" t="n">
        <x:f>AD490/D490</x:f>
        <x:v>-4714799520.000001</x:v>
      </x:c>
      <x:c r="AF490" s="87" t="n">
        <x:f>AD490/P490</x:f>
        <x:v>-1571599840.0000005</x:v>
      </x:c>
      <x:c r="AG490" s="87" t="n">
        <x:f>IF(T490=0,0,AC490/T490/(1-'01 Base Costs'!$B$11))</x:f>
        <x:v>1178392700.8880227</x:v>
      </x:c>
      <x:c r="AH490" s="88" t="str">
        <x:f>IF(AD490&gt;0,"PROFIT","LOSS")</x:f>
        <x:v>LOSS</x:v>
      </x:c>
      <x:c r="AI490" s="89" t="str">
        <x:v>Base 24M Omega. MCT certificate bought with ISK market price. Base 5-pack average.</x:v>
      </x:c>
    </x:row>
    <x:row r="491">
      <x:c r="A491" s="86" t="n">
        <x:v>489</x:v>
      </x:c>
      <x:c r="B491" s="88" t="str">
        <x:v>Base</x:v>
      </x:c>
      <x:c r="C491" s="88" t="str">
        <x:v>24M Omega</x:v>
      </x:c>
      <x:c r="D491" s="88" t="n">
        <x:v>24</x:v>
      </x:c>
      <x:c r="E491" s="88" t="n">
        <x:v>3</x:v>
      </x:c>
      <x:c r="F491" s="88" t="str">
        <x:v>Market MCT certificate</x:v>
      </x:c>
      <x:c r="G491" s="88" t="str">
        <x:v>NES 10-pack extractor</x:v>
      </x:c>
      <x:c r="H491" s="87" t="n">
        <x:f>'01 Base Costs'!$B$25</x:f>
        <x:v>6600</x:v>
      </x:c>
      <x:c r="I491" s="87" t="n">
        <x:f>0</x:f>
        <x:v>0</x:v>
      </x:c>
      <x:c r="J491" s="87" t="n">
        <x:f>'01 Base Costs'!$B$10</x:f>
        <x:v>2332850000</x:v>
      </x:c>
      <x:c r="K491" s="87" t="n">
        <x:f>D491*(E491-1)*I491</x:f>
        <x:v>0</x:v>
      </x:c>
      <x:c r="L491" s="87" t="n">
        <x:f>D491*(E491-1)*J491</x:f>
        <x:v>111976800000</x:v>
      </x:c>
      <x:c r="M491" s="87" t="n">
        <x:f>0</x:f>
        <x:v>0</x:v>
      </x:c>
      <x:c r="N491" s="87" t="n">
        <x:f>H491+K491+M491</x:f>
        <x:v>6600</x:v>
      </x:c>
      <x:c r="O491" s="87" t="n">
        <x:f>N491*'01 Base Costs'!$B$7+L491</x:f>
        <x:v>143722800000</x:v>
      </x:c>
      <x:c r="P491" s="87" t="n">
        <x:f>D491*E491</x:f>
        <x:v>72</x:v>
      </x:c>
      <x:c r="Q491" s="87" t="n">
        <x:f>P491*'01 Base Costs'!$B$12</x:f>
        <x:v>139968000</x:v>
      </x:c>
      <x:c r="R491" s="87" t="n">
        <x:f>0</x:f>
        <x:v>0</x:v>
      </x:c>
      <x:c r="S491" s="87" t="n">
        <x:f>Q491+R491</x:f>
        <x:v>139968000</x:v>
      </x:c>
      <x:c r="T491" s="141" t="n">
        <x:f>S491/'01 Base Costs'!$B$14</x:f>
        <x:v>279.936</x:v>
      </x:c>
      <x:c r="U491" s="87" t="n">
        <x:f>INT(T491)</x:f>
        <x:v>279</x:v>
      </x:c>
      <x:c r="V491" s="87" t="n">
        <x:f>S491-U491*'01 Base Costs'!$B$14</x:f>
        <x:v>468000</x:v>
      </x:c>
      <x:c r="W491" s="120" t="n">
        <x:f>'01 Base Costs'!$B$19/10</x:f>
        <x:v>119</x:v>
      </x:c>
      <x:c r="X491" s="120" t="n">
        <x:f>0</x:f>
        <x:v>0</x:v>
      </x:c>
      <x:c r="Y491" s="87" t="n">
        <x:f>T491*(W491*'01 Base Costs'!$B$7+X491)</x:f>
        <x:v>160232567040</x:v>
      </x:c>
      <x:c r="Z491" s="87" t="n">
        <x:f>T491*'01 Base Costs'!$B$8</x:f>
        <x:v>210763814399.99997</x:v>
      </x:c>
      <x:c r="AA491" s="87" t="n">
        <x:f>Z491*'01 Base Costs'!$B$11</x:f>
        <x:v>10538190720</x:v>
      </x:c>
      <x:c r="AB491" s="87" t="n">
        <x:f>Z491-AA491</x:f>
        <x:v>200225623679.99997</x:v>
      </x:c>
      <x:c r="AC491" s="87" t="n">
        <x:f>O491+Y491</x:f>
        <x:v>303955367040</x:v>
      </x:c>
      <x:c r="AD491" s="87" t="n">
        <x:f>AB491-AC491</x:f>
        <x:v>-103729743360.00003</x:v>
      </x:c>
      <x:c r="AE491" s="87" t="n">
        <x:f>AD491/D491</x:f>
        <x:v>-4322072640.000001</x:v>
      </x:c>
      <x:c r="AF491" s="87" t="n">
        <x:f>AD491/P491</x:f>
        <x:v>-1440690880.0000005</x:v>
      </x:c>
      <x:c r="AG491" s="87" t="n">
        <x:f>IF(T491=0,0,AC491/T491/(1-'01 Base Costs'!$B$11))</x:f>
        <x:v>1142950595.6248648</x:v>
      </x:c>
      <x:c r="AH491" s="88" t="str">
        <x:f>IF(AD491&gt;0,"PROFIT","LOSS")</x:f>
        <x:v>LOSS</x:v>
      </x:c>
      <x:c r="AI491" s="89" t="str">
        <x:v>Base 24M Omega. MCT certificate bought with ISK market price. Base 10-pack average.</x:v>
      </x:c>
    </x:row>
    <x:row r="492">
      <x:c r="A492" s="86" t="n">
        <x:v>490</x:v>
      </x:c>
      <x:c r="B492" s="88" t="str">
        <x:v>Base</x:v>
      </x:c>
      <x:c r="C492" s="88" t="str">
        <x:v>24M Omega</x:v>
      </x:c>
      <x:c r="D492" s="88" t="n">
        <x:v>24</x:v>
      </x:c>
      <x:c r="E492" s="88" t="n">
        <x:v>3</x:v>
      </x:c>
      <x:c r="F492" s="88" t="str">
        <x:v>Market MCT certificate</x:v>
      </x:c>
      <x:c r="G492" s="88" t="str">
        <x:v>NES 50-pack extractor</x:v>
      </x:c>
      <x:c r="H492" s="87" t="n">
        <x:f>'01 Base Costs'!$B$25</x:f>
        <x:v>6600</x:v>
      </x:c>
      <x:c r="I492" s="87" t="n">
        <x:f>0</x:f>
        <x:v>0</x:v>
      </x:c>
      <x:c r="J492" s="87" t="n">
        <x:f>'01 Base Costs'!$B$10</x:f>
        <x:v>2332850000</x:v>
      </x:c>
      <x:c r="K492" s="87" t="n">
        <x:f>D492*(E492-1)*I492</x:f>
        <x:v>0</x:v>
      </x:c>
      <x:c r="L492" s="87" t="n">
        <x:f>D492*(E492-1)*J492</x:f>
        <x:v>111976800000</x:v>
      </x:c>
      <x:c r="M492" s="87" t="n">
        <x:f>0</x:f>
        <x:v>0</x:v>
      </x:c>
      <x:c r="N492" s="87" t="n">
        <x:f>H492+K492+M492</x:f>
        <x:v>6600</x:v>
      </x:c>
      <x:c r="O492" s="87" t="n">
        <x:f>N492*'01 Base Costs'!$B$7+L492</x:f>
        <x:v>143722800000</x:v>
      </x:c>
      <x:c r="P492" s="87" t="n">
        <x:f>D492*E492</x:f>
        <x:v>72</x:v>
      </x:c>
      <x:c r="Q492" s="87" t="n">
        <x:f>P492*'01 Base Costs'!$B$12</x:f>
        <x:v>139968000</x:v>
      </x:c>
      <x:c r="R492" s="87" t="n">
        <x:f>0</x:f>
        <x:v>0</x:v>
      </x:c>
      <x:c r="S492" s="87" t="n">
        <x:f>Q492+R492</x:f>
        <x:v>139968000</x:v>
      </x:c>
      <x:c r="T492" s="141" t="n">
        <x:f>S492/'01 Base Costs'!$B$14</x:f>
        <x:v>279.936</x:v>
      </x:c>
      <x:c r="U492" s="87" t="n">
        <x:f>INT(T492)</x:f>
        <x:v>279</x:v>
      </x:c>
      <x:c r="V492" s="87" t="n">
        <x:f>S492-U492*'01 Base Costs'!$B$14</x:f>
        <x:v>468000</x:v>
      </x:c>
      <x:c r="W492" s="120" t="n">
        <x:f>'01 Base Costs'!$B$20/50</x:f>
        <x:v>112</x:v>
      </x:c>
      <x:c r="X492" s="120" t="n">
        <x:f>0</x:f>
        <x:v>0</x:v>
      </x:c>
      <x:c r="Y492" s="87" t="n">
        <x:f>T492*(W492*'01 Base Costs'!$B$7+X492)</x:f>
        <x:v>150807121920</x:v>
      </x:c>
      <x:c r="Z492" s="87" t="n">
        <x:f>T492*'01 Base Costs'!$B$8</x:f>
        <x:v>210763814399.99997</x:v>
      </x:c>
      <x:c r="AA492" s="87" t="n">
        <x:f>Z492*'01 Base Costs'!$B$11</x:f>
        <x:v>10538190720</x:v>
      </x:c>
      <x:c r="AB492" s="87" t="n">
        <x:f>Z492-AA492</x:f>
        <x:v>200225623679.99997</x:v>
      </x:c>
      <x:c r="AC492" s="87" t="n">
        <x:f>O492+Y492</x:f>
        <x:v>294529921920</x:v>
      </x:c>
      <x:c r="AD492" s="87" t="n">
        <x:f>AB492-AC492</x:f>
        <x:v>-94304298240.00003</x:v>
      </x:c>
      <x:c r="AE492" s="87" t="n">
        <x:f>AD492/D492</x:f>
        <x:v>-3929345760.0000014</x:v>
      </x:c>
      <x:c r="AF492" s="87" t="n">
        <x:f>AD492/P492</x:f>
        <x:v>-1309781920.0000005</x:v>
      </x:c>
      <x:c r="AG492" s="87" t="n">
        <x:f>IF(T492=0,0,AC492/T492/(1-'01 Base Costs'!$B$11))</x:f>
        <x:v>1107508490.361707</x:v>
      </x:c>
      <x:c r="AH492" s="88" t="str">
        <x:f>IF(AD492&gt;0,"PROFIT","LOSS")</x:f>
        <x:v>LOSS</x:v>
      </x:c>
      <x:c r="AI492" s="89" t="str">
        <x:v>Base 24M Omega. MCT certificate bought with ISK market price. Base 50-pack average.</x:v>
      </x:c>
    </x:row>
    <x:row r="493">
      <x:c r="A493" s="86" t="n">
        <x:v>491</x:v>
      </x:c>
      <x:c r="B493" s="88" t="str">
        <x:v>Base</x:v>
      </x:c>
      <x:c r="C493" s="88" t="str">
        <x:v>24M Omega</x:v>
      </x:c>
      <x:c r="D493" s="88" t="n">
        <x:v>24</x:v>
      </x:c>
      <x:c r="E493" s="88" t="n">
        <x:v>3</x:v>
      </x:c>
      <x:c r="F493" s="88" t="str">
        <x:v>Market MCT certificate</x:v>
      </x:c>
      <x:c r="G493" s="88" t="str">
        <x:v>NES 3-for-2 extractor sale</x:v>
      </x:c>
      <x:c r="H493" s="87" t="n">
        <x:f>'01 Base Costs'!$B$25</x:f>
        <x:v>6600</x:v>
      </x:c>
      <x:c r="I493" s="87" t="n">
        <x:f>0</x:f>
        <x:v>0</x:v>
      </x:c>
      <x:c r="J493" s="87" t="n">
        <x:f>'01 Base Costs'!$B$10</x:f>
        <x:v>2332850000</x:v>
      </x:c>
      <x:c r="K493" s="87" t="n">
        <x:f>D493*(E493-1)*I493</x:f>
        <x:v>0</x:v>
      </x:c>
      <x:c r="L493" s="87" t="n">
        <x:f>D493*(E493-1)*J493</x:f>
        <x:v>111976800000</x:v>
      </x:c>
      <x:c r="M493" s="87" t="n">
        <x:f>0</x:f>
        <x:v>0</x:v>
      </x:c>
      <x:c r="N493" s="87" t="n">
        <x:f>H493+K493+M493</x:f>
        <x:v>6600</x:v>
      </x:c>
      <x:c r="O493" s="87" t="n">
        <x:f>N493*'01 Base Costs'!$B$7+L493</x:f>
        <x:v>143722800000</x:v>
      </x:c>
      <x:c r="P493" s="87" t="n">
        <x:f>D493*E493</x:f>
        <x:v>72</x:v>
      </x:c>
      <x:c r="Q493" s="87" t="n">
        <x:f>P493*'01 Base Costs'!$B$12</x:f>
        <x:v>139968000</x:v>
      </x:c>
      <x:c r="R493" s="87" t="n">
        <x:f>0</x:f>
        <x:v>0</x:v>
      </x:c>
      <x:c r="S493" s="87" t="n">
        <x:f>Q493+R493</x:f>
        <x:v>139968000</x:v>
      </x:c>
      <x:c r="T493" s="141" t="n">
        <x:f>S493/'01 Base Costs'!$B$14</x:f>
        <x:v>279.936</x:v>
      </x:c>
      <x:c r="U493" s="87" t="n">
        <x:f>INT(T493)</x:f>
        <x:v>279</x:v>
      </x:c>
      <x:c r="V493" s="87" t="n">
        <x:f>S493-U493*'01 Base Costs'!$B$14</x:f>
        <x:v>468000</x:v>
      </x:c>
      <x:c r="W493" s="120" t="n">
        <x:f>'01 Base Costs'!$B$17*2/3</x:f>
        <x:v>93.33333333333333</x:v>
      </x:c>
      <x:c r="X493" s="120" t="n">
        <x:f>0</x:f>
        <x:v>0</x:v>
      </x:c>
      <x:c r="Y493" s="87" t="n">
        <x:f>T493*(W493*'01 Base Costs'!$B$7+X493)</x:f>
        <x:v>125672601599.99998</x:v>
      </x:c>
      <x:c r="Z493" s="87" t="n">
        <x:f>T493*'01 Base Costs'!$B$8</x:f>
        <x:v>210763814399.99997</x:v>
      </x:c>
      <x:c r="AA493" s="87" t="n">
        <x:f>Z493*'01 Base Costs'!$B$11</x:f>
        <x:v>10538190720</x:v>
      </x:c>
      <x:c r="AB493" s="87" t="n">
        <x:f>Z493-AA493</x:f>
        <x:v>200225623679.99997</x:v>
      </x:c>
      <x:c r="AC493" s="87" t="n">
        <x:f>O493+Y493</x:f>
        <x:v>269395401600</x:v>
      </x:c>
      <x:c r="AD493" s="87" t="n">
        <x:f>AB493-AC493</x:f>
        <x:v>-69169777920.00003</x:v>
      </x:c>
      <x:c r="AE493" s="87" t="n">
        <x:f>AD493/D493</x:f>
        <x:v>-2882074080.0000014</x:v>
      </x:c>
      <x:c r="AF493" s="87" t="n">
        <x:f>AD493/P493</x:f>
        <x:v>-960691360.0000005</x:v>
      </x:c>
      <x:c r="AG493" s="87" t="n">
        <x:f>IF(T493=0,0,AC493/T493/(1-'01 Base Costs'!$B$11))</x:f>
        <x:v>1012996209.6599525</x:v>
      </x:c>
      <x:c r="AH493" s="88" t="str">
        <x:f>IF(AD493&gt;0,"PROFIT","LOSS")</x:f>
        <x:v>LOSS</x:v>
      </x:c>
      <x:c r="AI493" s="89" t="str">
        <x:v>Base 24M Omega. MCT certificate bought with ISK market price. Extractor 3-for-2 sale.</x:v>
      </x:c>
    </x:row>
    <x:row r="494">
      <x:c r="A494" s="86" t="n">
        <x:v>492</x:v>
      </x:c>
      <x:c r="B494" s="88" t="str">
        <x:v>Base</x:v>
      </x:c>
      <x:c r="C494" s="88" t="str">
        <x:v>24M Omega</x:v>
      </x:c>
      <x:c r="D494" s="88" t="n">
        <x:v>24</x:v>
      </x:c>
      <x:c r="E494" s="88" t="n">
        <x:v>3</x:v>
      </x:c>
      <x:c r="F494" s="88" t="str">
        <x:v>Market MCT certificate</x:v>
      </x:c>
      <x:c r="G494" s="88" t="str">
        <x:v>NES 2-for-1 extractor sale</x:v>
      </x:c>
      <x:c r="H494" s="87" t="n">
        <x:f>'01 Base Costs'!$B$25</x:f>
        <x:v>6600</x:v>
      </x:c>
      <x:c r="I494" s="87" t="n">
        <x:f>0</x:f>
        <x:v>0</x:v>
      </x:c>
      <x:c r="J494" s="87" t="n">
        <x:f>'01 Base Costs'!$B$10</x:f>
        <x:v>2332850000</x:v>
      </x:c>
      <x:c r="K494" s="87" t="n">
        <x:f>D494*(E494-1)*I494</x:f>
        <x:v>0</x:v>
      </x:c>
      <x:c r="L494" s="87" t="n">
        <x:f>D494*(E494-1)*J494</x:f>
        <x:v>111976800000</x:v>
      </x:c>
      <x:c r="M494" s="87" t="n">
        <x:f>0</x:f>
        <x:v>0</x:v>
      </x:c>
      <x:c r="N494" s="87" t="n">
        <x:f>H494+K494+M494</x:f>
        <x:v>6600</x:v>
      </x:c>
      <x:c r="O494" s="87" t="n">
        <x:f>N494*'01 Base Costs'!$B$7+L494</x:f>
        <x:v>143722800000</x:v>
      </x:c>
      <x:c r="P494" s="87" t="n">
        <x:f>D494*E494</x:f>
        <x:v>72</x:v>
      </x:c>
      <x:c r="Q494" s="87" t="n">
        <x:f>P494*'01 Base Costs'!$B$12</x:f>
        <x:v>139968000</x:v>
      </x:c>
      <x:c r="R494" s="87" t="n">
        <x:f>0</x:f>
        <x:v>0</x:v>
      </x:c>
      <x:c r="S494" s="87" t="n">
        <x:f>Q494+R494</x:f>
        <x:v>139968000</x:v>
      </x:c>
      <x:c r="T494" s="141" t="n">
        <x:f>S494/'01 Base Costs'!$B$14</x:f>
        <x:v>279.936</x:v>
      </x:c>
      <x:c r="U494" s="87" t="n">
        <x:f>INT(T494)</x:f>
        <x:v>279</x:v>
      </x:c>
      <x:c r="V494" s="87" t="n">
        <x:f>S494-U494*'01 Base Costs'!$B$14</x:f>
        <x:v>468000</x:v>
      </x:c>
      <x:c r="W494" s="120" t="n">
        <x:f>'01 Base Costs'!$B$17/2</x:f>
        <x:v>70</x:v>
      </x:c>
      <x:c r="X494" s="120" t="n">
        <x:f>0</x:f>
        <x:v>0</x:v>
      </x:c>
      <x:c r="Y494" s="87" t="n">
        <x:f>T494*(W494*'01 Base Costs'!$B$7+X494)</x:f>
        <x:v>94254451200</x:v>
      </x:c>
      <x:c r="Z494" s="87" t="n">
        <x:f>T494*'01 Base Costs'!$B$8</x:f>
        <x:v>210763814399.99997</x:v>
      </x:c>
      <x:c r="AA494" s="87" t="n">
        <x:f>Z494*'01 Base Costs'!$B$11</x:f>
        <x:v>10538190720</x:v>
      </x:c>
      <x:c r="AB494" s="87" t="n">
        <x:f>Z494-AA494</x:f>
        <x:v>200225623679.99997</x:v>
      </x:c>
      <x:c r="AC494" s="87" t="n">
        <x:f>O494+Y494</x:f>
        <x:v>237977251200</x:v>
      </x:c>
      <x:c r="AD494" s="87" t="n">
        <x:f>AB494-AC494</x:f>
        <x:v>-37751627520.00003</x:v>
      </x:c>
      <x:c r="AE494" s="87" t="n">
        <x:f>AD494/D494</x:f>
        <x:v>-1572984480.0000012</x:v>
      </x:c>
      <x:c r="AF494" s="87" t="n">
        <x:f>AD494/P494</x:f>
        <x:v>-524328160.0000004</x:v>
      </x:c>
      <x:c r="AG494" s="87" t="n">
        <x:f>IF(T494=0,0,AC494/T494/(1-'01 Base Costs'!$B$11))</x:f>
        <x:v>894855858.7827595</x:v>
      </x:c>
      <x:c r="AH494" s="88" t="str">
        <x:f>IF(AD494&gt;0,"PROFIT","LOSS")</x:f>
        <x:v>LOSS</x:v>
      </x:c>
      <x:c r="AI494" s="89" t="str">
        <x:v>Base 24M Omega. MCT certificate bought with ISK market price. Extractor 2-for-1 sale.</x:v>
      </x:c>
    </x:row>
    <x:row r="495">
      <x:c r="A495" s="86" t="n">
        <x:v>493</x:v>
      </x:c>
      <x:c r="B495" s="88" t="str">
        <x:v>Base</x:v>
      </x:c>
      <x:c r="C495" s="88" t="str">
        <x:v>24M Omega</x:v>
      </x:c>
      <x:c r="D495" s="88" t="n">
        <x:v>24</x:v>
      </x:c>
      <x:c r="E495" s="88" t="n">
        <x:v>3</x:v>
      </x:c>
      <x:c r="F495" s="88" t="str">
        <x:v>Market MCT certificate</x:v>
      </x:c>
      <x:c r="G495" s="88" t="str">
        <x:v>NES 10-pack extractor 20% sale</x:v>
      </x:c>
      <x:c r="H495" s="87" t="n">
        <x:f>'01 Base Costs'!$B$25</x:f>
        <x:v>6600</x:v>
      </x:c>
      <x:c r="I495" s="87" t="n">
        <x:f>0</x:f>
        <x:v>0</x:v>
      </x:c>
      <x:c r="J495" s="87" t="n">
        <x:f>'01 Base Costs'!$B$10</x:f>
        <x:v>2332850000</x:v>
      </x:c>
      <x:c r="K495" s="87" t="n">
        <x:f>D495*(E495-1)*I495</x:f>
        <x:v>0</x:v>
      </x:c>
      <x:c r="L495" s="87" t="n">
        <x:f>D495*(E495-1)*J495</x:f>
        <x:v>111976800000</x:v>
      </x:c>
      <x:c r="M495" s="87" t="n">
        <x:f>0</x:f>
        <x:v>0</x:v>
      </x:c>
      <x:c r="N495" s="87" t="n">
        <x:f>H495+K495+M495</x:f>
        <x:v>6600</x:v>
      </x:c>
      <x:c r="O495" s="87" t="n">
        <x:f>N495*'01 Base Costs'!$B$7+L495</x:f>
        <x:v>143722800000</x:v>
      </x:c>
      <x:c r="P495" s="87" t="n">
        <x:f>D495*E495</x:f>
        <x:v>72</x:v>
      </x:c>
      <x:c r="Q495" s="87" t="n">
        <x:f>P495*'01 Base Costs'!$B$12</x:f>
        <x:v>139968000</x:v>
      </x:c>
      <x:c r="R495" s="87" t="n">
        <x:f>0</x:f>
        <x:v>0</x:v>
      </x:c>
      <x:c r="S495" s="87" t="n">
        <x:f>Q495+R495</x:f>
        <x:v>139968000</x:v>
      </x:c>
      <x:c r="T495" s="141" t="n">
        <x:f>S495/'01 Base Costs'!$B$14</x:f>
        <x:v>279.936</x:v>
      </x:c>
      <x:c r="U495" s="87" t="n">
        <x:f>INT(T495)</x:f>
        <x:v>279</x:v>
      </x:c>
      <x:c r="V495" s="87" t="n">
        <x:f>S495-U495*'01 Base Costs'!$B$14</x:f>
        <x:v>468000</x:v>
      </x:c>
      <x:c r="W495" s="120" t="n">
        <x:f>'01 Base Costs'!$B$19*0.8/10</x:f>
        <x:v>95.2</x:v>
      </x:c>
      <x:c r="X495" s="120" t="n">
        <x:f>0</x:f>
        <x:v>0</x:v>
      </x:c>
      <x:c r="Y495" s="87" t="n">
        <x:f>T495*(W495*'01 Base Costs'!$B$7+X495)</x:f>
        <x:v>128186053631.99998</x:v>
      </x:c>
      <x:c r="Z495" s="87" t="n">
        <x:f>T495*'01 Base Costs'!$B$8</x:f>
        <x:v>210763814399.99997</x:v>
      </x:c>
      <x:c r="AA495" s="87" t="n">
        <x:f>Z495*'01 Base Costs'!$B$11</x:f>
        <x:v>10538190720</x:v>
      </x:c>
      <x:c r="AB495" s="87" t="n">
        <x:f>Z495-AA495</x:f>
        <x:v>200225623679.99997</x:v>
      </x:c>
      <x:c r="AC495" s="87" t="n">
        <x:f>O495+Y495</x:f>
        <x:v>271908853632</x:v>
      </x:c>
      <x:c r="AD495" s="87" t="n">
        <x:f>AB495-AC495</x:f>
        <x:v>-71683229952.00003</x:v>
      </x:c>
      <x:c r="AE495" s="87" t="n">
        <x:f>AD495/D495</x:f>
        <x:v>-2986801248.0000014</x:v>
      </x:c>
      <x:c r="AF495" s="87" t="n">
        <x:f>AD495/P495</x:f>
        <x:v>-995600416.0000005</x:v>
      </x:c>
      <x:c r="AG495" s="87" t="n">
        <x:f>IF(T495=0,0,AC495/T495/(1-'01 Base Costs'!$B$11))</x:f>
        <x:v>1022447437.7301279</x:v>
      </x:c>
      <x:c r="AH495" s="88" t="str">
        <x:f>IF(AD495&gt;0,"PROFIT","LOSS")</x:f>
        <x:v>LOSS</x:v>
      </x:c>
      <x:c r="AI495" s="89" t="str">
        <x:v>Base 24M Omega. MCT certificate bought with ISK market price. 10-pack at 20% off.</x:v>
      </x:c>
    </x:row>
    <x:row r="496">
      <x:c r="A496" s="86" t="n">
        <x:v>494</x:v>
      </x:c>
      <x:c r="B496" s="88" t="str">
        <x:v>Base</x:v>
      </x:c>
      <x:c r="C496" s="88" t="str">
        <x:v>24M Omega</x:v>
      </x:c>
      <x:c r="D496" s="88" t="n">
        <x:v>24</x:v>
      </x:c>
      <x:c r="E496" s="88" t="n">
        <x:v>3</x:v>
      </x:c>
      <x:c r="F496" s="88" t="str">
        <x:v>Market MCT certificate</x:v>
      </x:c>
      <x:c r="G496" s="88" t="str">
        <x:v>NES 50-pack extractor 20% sale</x:v>
      </x:c>
      <x:c r="H496" s="87" t="n">
        <x:f>'01 Base Costs'!$B$25</x:f>
        <x:v>6600</x:v>
      </x:c>
      <x:c r="I496" s="87" t="n">
        <x:f>0</x:f>
        <x:v>0</x:v>
      </x:c>
      <x:c r="J496" s="87" t="n">
        <x:f>'01 Base Costs'!$B$10</x:f>
        <x:v>2332850000</x:v>
      </x:c>
      <x:c r="K496" s="87" t="n">
        <x:f>D496*(E496-1)*I496</x:f>
        <x:v>0</x:v>
      </x:c>
      <x:c r="L496" s="87" t="n">
        <x:f>D496*(E496-1)*J496</x:f>
        <x:v>111976800000</x:v>
      </x:c>
      <x:c r="M496" s="87" t="n">
        <x:f>0</x:f>
        <x:v>0</x:v>
      </x:c>
      <x:c r="N496" s="87" t="n">
        <x:f>H496+K496+M496</x:f>
        <x:v>6600</x:v>
      </x:c>
      <x:c r="O496" s="87" t="n">
        <x:f>N496*'01 Base Costs'!$B$7+L496</x:f>
        <x:v>143722800000</x:v>
      </x:c>
      <x:c r="P496" s="87" t="n">
        <x:f>D496*E496</x:f>
        <x:v>72</x:v>
      </x:c>
      <x:c r="Q496" s="87" t="n">
        <x:f>P496*'01 Base Costs'!$B$12</x:f>
        <x:v>139968000</x:v>
      </x:c>
      <x:c r="R496" s="87" t="n">
        <x:f>0</x:f>
        <x:v>0</x:v>
      </x:c>
      <x:c r="S496" s="87" t="n">
        <x:f>Q496+R496</x:f>
        <x:v>139968000</x:v>
      </x:c>
      <x:c r="T496" s="141" t="n">
        <x:f>S496/'01 Base Costs'!$B$14</x:f>
        <x:v>279.936</x:v>
      </x:c>
      <x:c r="U496" s="87" t="n">
        <x:f>INT(T496)</x:f>
        <x:v>279</x:v>
      </x:c>
      <x:c r="V496" s="87" t="n">
        <x:f>S496-U496*'01 Base Costs'!$B$14</x:f>
        <x:v>468000</x:v>
      </x:c>
      <x:c r="W496" s="120" t="n">
        <x:f>'01 Base Costs'!$B$20*0.8/50</x:f>
        <x:v>89.6</x:v>
      </x:c>
      <x:c r="X496" s="120" t="n">
        <x:f>0</x:f>
        <x:v>0</x:v>
      </x:c>
      <x:c r="Y496" s="87" t="n">
        <x:f>T496*(W496*'01 Base Costs'!$B$7+X496)</x:f>
        <x:v>120645697535.99998</x:v>
      </x:c>
      <x:c r="Z496" s="87" t="n">
        <x:f>T496*'01 Base Costs'!$B$8</x:f>
        <x:v>210763814399.99997</x:v>
      </x:c>
      <x:c r="AA496" s="87" t="n">
        <x:f>Z496*'01 Base Costs'!$B$11</x:f>
        <x:v>10538190720</x:v>
      </x:c>
      <x:c r="AB496" s="87" t="n">
        <x:f>Z496-AA496</x:f>
        <x:v>200225623679.99997</x:v>
      </x:c>
      <x:c r="AC496" s="87" t="n">
        <x:f>O496+Y496</x:f>
        <x:v>264368497536</x:v>
      </x:c>
      <x:c r="AD496" s="87" t="n">
        <x:f>AB496-AC496</x:f>
        <x:v>-64142873856.00003</x:v>
      </x:c>
      <x:c r="AE496" s="87" t="n">
        <x:f>AD496/D496</x:f>
        <x:v>-2672619744.0000014</x:v>
      </x:c>
      <x:c r="AF496" s="87" t="n">
        <x:f>AD496/P496</x:f>
        <x:v>-890873248.0000005</x:v>
      </x:c>
      <x:c r="AG496" s="87" t="n">
        <x:f>IF(T496=0,0,AC496/T496/(1-'01 Base Costs'!$B$11))</x:f>
        <x:v>994093753.5196016</x:v>
      </x:c>
      <x:c r="AH496" s="88" t="str">
        <x:f>IF(AD496&gt;0,"PROFIT","LOSS")</x:f>
        <x:v>LOSS</x:v>
      </x:c>
      <x:c r="AI496" s="89" t="str">
        <x:v>Base 24M Omega. MCT certificate bought with ISK market price. 50-pack at 20% off.</x:v>
      </x:c>
    </x:row>
    <x:row r="497">
      <x:c r="A497" s="86" t="n">
        <x:v>495</x:v>
      </x:c>
      <x:c r="B497" s="88" t="str">
        <x:v>Base</x:v>
      </x:c>
      <x:c r="C497" s="88" t="str">
        <x:v>24M Omega</x:v>
      </x:c>
      <x:c r="D497" s="88" t="n">
        <x:v>24</x:v>
      </x:c>
      <x:c r="E497" s="88" t="n">
        <x:v>3</x:v>
      </x:c>
      <x:c r="F497" s="88" t="str">
        <x:v>Market MCT certificate</x:v>
      </x:c>
      <x:c r="G497" s="88" t="str">
        <x:v>Market Skill Extractor</x:v>
      </x:c>
      <x:c r="H497" s="87" t="n">
        <x:f>'01 Base Costs'!$B$25</x:f>
        <x:v>6600</x:v>
      </x:c>
      <x:c r="I497" s="87" t="n">
        <x:f>0</x:f>
        <x:v>0</x:v>
      </x:c>
      <x:c r="J497" s="87" t="n">
        <x:f>'01 Base Costs'!$B$10</x:f>
        <x:v>2332850000</x:v>
      </x:c>
      <x:c r="K497" s="87" t="n">
        <x:f>D497*(E497-1)*I497</x:f>
        <x:v>0</x:v>
      </x:c>
      <x:c r="L497" s="87" t="n">
        <x:f>D497*(E497-1)*J497</x:f>
        <x:v>111976800000</x:v>
      </x:c>
      <x:c r="M497" s="87" t="n">
        <x:f>0</x:f>
        <x:v>0</x:v>
      </x:c>
      <x:c r="N497" s="87" t="n">
        <x:f>H497+K497+M497</x:f>
        <x:v>6600</x:v>
      </x:c>
      <x:c r="O497" s="87" t="n">
        <x:f>N497*'01 Base Costs'!$B$7+L497</x:f>
        <x:v>143722800000</x:v>
      </x:c>
      <x:c r="P497" s="87" t="n">
        <x:f>D497*E497</x:f>
        <x:v>72</x:v>
      </x:c>
      <x:c r="Q497" s="87" t="n">
        <x:f>P497*'01 Base Costs'!$B$12</x:f>
        <x:v>139968000</x:v>
      </x:c>
      <x:c r="R497" s="87" t="n">
        <x:f>0</x:f>
        <x:v>0</x:v>
      </x:c>
      <x:c r="S497" s="87" t="n">
        <x:f>Q497+R497</x:f>
        <x:v>139968000</x:v>
      </x:c>
      <x:c r="T497" s="141" t="n">
        <x:f>S497/'01 Base Costs'!$B$14</x:f>
        <x:v>279.936</x:v>
      </x:c>
      <x:c r="U497" s="87" t="n">
        <x:f>INT(T497)</x:f>
        <x:v>279</x:v>
      </x:c>
      <x:c r="V497" s="87" t="n">
        <x:f>S497-U497*'01 Base Costs'!$B$14</x:f>
        <x:v>468000</x:v>
      </x:c>
      <x:c r="W497" s="120" t="n">
        <x:f>0</x:f>
        <x:v>0</x:v>
      </x:c>
      <x:c r="X497" s="120" t="n">
        <x:f>'01 Base Costs'!$B$9</x:f>
        <x:v>463500000</x:v>
      </x:c>
      <x:c r="Y497" s="87" t="n">
        <x:f>T497*(W497*'01 Base Costs'!$B$7+X497)</x:f>
        <x:v>129750335999.99998</x:v>
      </x:c>
      <x:c r="Z497" s="87" t="n">
        <x:f>T497*'01 Base Costs'!$B$8</x:f>
        <x:v>210763814399.99997</x:v>
      </x:c>
      <x:c r="AA497" s="87" t="n">
        <x:f>Z497*'01 Base Costs'!$B$11</x:f>
        <x:v>10538190720</x:v>
      </x:c>
      <x:c r="AB497" s="87" t="n">
        <x:f>Z497-AA497</x:f>
        <x:v>200225623679.99997</x:v>
      </x:c>
      <x:c r="AC497" s="87" t="n">
        <x:f>O497+Y497</x:f>
        <x:v>273473136000</x:v>
      </x:c>
      <x:c r="AD497" s="87" t="n">
        <x:f>AB497-AC497</x:f>
        <x:v>-73247512320.00003</x:v>
      </x:c>
      <x:c r="AE497" s="87" t="n">
        <x:f>AD497/D497</x:f>
        <x:v>-3051979680.0000014</x:v>
      </x:c>
      <x:c r="AF497" s="87" t="n">
        <x:f>AD497/P497</x:f>
        <x:v>-1017326560.0000005</x:v>
      </x:c>
      <x:c r="AG497" s="87" t="n">
        <x:f>IF(T497=0,0,AC497/T497/(1-'01 Base Costs'!$B$11))</x:f>
        <x:v>1028329542.9932858</x:v>
      </x:c>
      <x:c r="AH497" s="88" t="str">
        <x:f>IF(AD497&gt;0,"PROFIT","LOSS")</x:f>
        <x:v>LOSS</x:v>
      </x:c>
      <x:c r="AI497" s="89" t="str">
        <x:v>Base 24M Omega. MCT certificate bought with ISK market price. Extractor bought on market with ISK.</x:v>
      </x:c>
    </x:row>
    <x:row r="498">
      <x:c r="A498" s="86" t="n">
        <x:v>496</x:v>
      </x:c>
      <x:c r="B498" s="88" t="str">
        <x:v>Sale/Event</x:v>
      </x:c>
      <x:c r="C498" s="88" t="str">
        <x:v>Capsuleer Day 1M Omega + 100k SP + skin</x:v>
      </x:c>
      <x:c r="D498" s="88" t="n">
        <x:v>1</x:v>
      </x:c>
      <x:c r="E498" s="88" t="n">
        <x:v>1</x:v>
      </x:c>
      <x:c r="F498" s="88" t="str">
        <x:v>No MCT</x:v>
      </x:c>
      <x:c r="G498" s="88" t="str">
        <x:v>NES single extractor</x:v>
      </x:c>
      <x:c r="H498" s="87" t="n">
        <x:f>'01 Base Costs'!$B$26</x:f>
        <x:v>400</x:v>
      </x:c>
      <x:c r="I498" s="87" t="n">
        <x:f>0</x:f>
        <x:v>0</x:v>
      </x:c>
      <x:c r="J498" s="87" t="n">
        <x:f>0</x:f>
        <x:v>0</x:v>
      </x:c>
      <x:c r="K498" s="87" t="n">
        <x:f>D498*(E498-1)*I498</x:f>
        <x:v>0</x:v>
      </x:c>
      <x:c r="L498" s="87" t="n">
        <x:f>D498*(E498-1)*J498</x:f>
        <x:v>0</x:v>
      </x:c>
      <x:c r="M498" s="87" t="n">
        <x:f>0</x:f>
        <x:v>0</x:v>
      </x:c>
      <x:c r="N498" s="87" t="n">
        <x:f>H498+K498+M498</x:f>
        <x:v>400</x:v>
      </x:c>
      <x:c r="O498" s="87" t="n">
        <x:f>N498*'01 Base Costs'!$B$7+L498</x:f>
        <x:v>1924000000</x:v>
      </x:c>
      <x:c r="P498" s="87" t="n">
        <x:f>D498*E498</x:f>
        <x:v>1</x:v>
      </x:c>
      <x:c r="Q498" s="87" t="n">
        <x:f>P498*'01 Base Costs'!$B$12</x:f>
        <x:v>1944000</x:v>
      </x:c>
      <x:c r="R498" s="87" t="n">
        <x:f>'01 Base Costs'!$B$13</x:f>
        <x:v>100000</x:v>
      </x:c>
      <x:c r="S498" s="87" t="n">
        <x:f>Q498+R498</x:f>
        <x:v>2044000</x:v>
      </x:c>
      <x:c r="T498" s="141" t="n">
        <x:f>S498/'01 Base Costs'!$B$14</x:f>
        <x:v>4.088</x:v>
      </x:c>
      <x:c r="U498" s="87" t="n">
        <x:f>INT(T498)</x:f>
        <x:v>4</x:v>
      </x:c>
      <x:c r="V498" s="87" t="n">
        <x:f>S498-U498*'01 Base Costs'!$B$14</x:f>
        <x:v>44000</x:v>
      </x:c>
      <x:c r="W498" s="120" t="n">
        <x:f>'01 Base Costs'!$B$17</x:f>
        <x:v>140</x:v>
      </x:c>
      <x:c r="X498" s="120" t="n">
        <x:f>0</x:f>
        <x:v>0</x:v>
      </x:c>
      <x:c r="Y498" s="87" t="n">
        <x:f>T498*(W498*'01 Base Costs'!$B$7+X498)</x:f>
        <x:v>2752859200</x:v>
      </x:c>
      <x:c r="Z498" s="87" t="n">
        <x:f>T498*'01 Base Costs'!$B$8</x:f>
        <x:v>3077855200</x:v>
      </x:c>
      <x:c r="AA498" s="87" t="n">
        <x:f>Z498*'01 Base Costs'!$B$11</x:f>
        <x:v>153892760</x:v>
      </x:c>
      <x:c r="AB498" s="87" t="n">
        <x:f>Z498-AA498</x:f>
        <x:v>2923962440</x:v>
      </x:c>
      <x:c r="AC498" s="87" t="n">
        <x:f>O498+Y498</x:f>
        <x:v>4676859200</x:v>
      </x:c>
      <x:c r="AD498" s="87" t="n">
        <x:f>AB498-AC498</x:f>
        <x:v>-1752896760</x:v>
      </x:c>
      <x:c r="AE498" s="87" t="n">
        <x:f>AD498/D498</x:f>
        <x:v>-1752896760</x:v>
      </x:c>
      <x:c r="AF498" s="87" t="n">
        <x:f>AD498/P498</x:f>
        <x:v>-1752896760</x:v>
      </x:c>
      <x:c r="AG498" s="87" t="n">
        <x:f>IF(T498=0,0,AC498/T498/(1-'01 Base Costs'!$B$11))</x:f>
        <x:v>1204258729.0143166</x:v>
      </x:c>
      <x:c r="AH498" s="88" t="str">
        <x:f>IF(AD498&gt;0,"PROFIT","LOSS")</x:f>
        <x:v>LOSS</x:v>
      </x:c>
      <x:c r="AI498" s="89" t="str">
        <x:v>Capsuleer Day XXIIII event from screenshot. One training queue only. Base single extractor.</x:v>
      </x:c>
    </x:row>
    <x:row r="499">
      <x:c r="A499" s="86" t="n">
        <x:v>497</x:v>
      </x:c>
      <x:c r="B499" s="88" t="str">
        <x:v>Sale/Event</x:v>
      </x:c>
      <x:c r="C499" s="88" t="str">
        <x:v>Capsuleer Day 1M Omega + 100k SP + skin</x:v>
      </x:c>
      <x:c r="D499" s="88" t="n">
        <x:v>1</x:v>
      </x:c>
      <x:c r="E499" s="88" t="n">
        <x:v>1</x:v>
      </x:c>
      <x:c r="F499" s="88" t="str">
        <x:v>No MCT</x:v>
      </x:c>
      <x:c r="G499" s="88" t="str">
        <x:v>NES 5-pack extractor</x:v>
      </x:c>
      <x:c r="H499" s="87" t="n">
        <x:f>'01 Base Costs'!$B$26</x:f>
        <x:v>400</x:v>
      </x:c>
      <x:c r="I499" s="87" t="n">
        <x:f>0</x:f>
        <x:v>0</x:v>
      </x:c>
      <x:c r="J499" s="87" t="n">
        <x:f>0</x:f>
        <x:v>0</x:v>
      </x:c>
      <x:c r="K499" s="87" t="n">
        <x:f>D499*(E499-1)*I499</x:f>
        <x:v>0</x:v>
      </x:c>
      <x:c r="L499" s="87" t="n">
        <x:f>D499*(E499-1)*J499</x:f>
        <x:v>0</x:v>
      </x:c>
      <x:c r="M499" s="87" t="n">
        <x:f>0</x:f>
        <x:v>0</x:v>
      </x:c>
      <x:c r="N499" s="87" t="n">
        <x:f>H499+K499+M499</x:f>
        <x:v>400</x:v>
      </x:c>
      <x:c r="O499" s="87" t="n">
        <x:f>N499*'01 Base Costs'!$B$7+L499</x:f>
        <x:v>1924000000</x:v>
      </x:c>
      <x:c r="P499" s="87" t="n">
        <x:f>D499*E499</x:f>
        <x:v>1</x:v>
      </x:c>
      <x:c r="Q499" s="87" t="n">
        <x:f>P499*'01 Base Costs'!$B$12</x:f>
        <x:v>1944000</x:v>
      </x:c>
      <x:c r="R499" s="87" t="n">
        <x:f>'01 Base Costs'!$B$13</x:f>
        <x:v>100000</x:v>
      </x:c>
      <x:c r="S499" s="87" t="n">
        <x:f>Q499+R499</x:f>
        <x:v>2044000</x:v>
      </x:c>
      <x:c r="T499" s="141" t="n">
        <x:f>S499/'01 Base Costs'!$B$14</x:f>
        <x:v>4.088</x:v>
      </x:c>
      <x:c r="U499" s="87" t="n">
        <x:f>INT(T499)</x:f>
        <x:v>4</x:v>
      </x:c>
      <x:c r="V499" s="87" t="n">
        <x:f>S499-U499*'01 Base Costs'!$B$14</x:f>
        <x:v>44000</x:v>
      </x:c>
      <x:c r="W499" s="120" t="n">
        <x:f>'01 Base Costs'!$B$18/5</x:f>
        <x:v>126</x:v>
      </x:c>
      <x:c r="X499" s="120" t="n">
        <x:f>0</x:f>
        <x:v>0</x:v>
      </x:c>
      <x:c r="Y499" s="87" t="n">
        <x:f>T499*(W499*'01 Base Costs'!$B$7+X499)</x:f>
        <x:v>2477573280</x:v>
      </x:c>
      <x:c r="Z499" s="87" t="n">
        <x:f>T499*'01 Base Costs'!$B$8</x:f>
        <x:v>3077855200</x:v>
      </x:c>
      <x:c r="AA499" s="87" t="n">
        <x:f>Z499*'01 Base Costs'!$B$11</x:f>
        <x:v>153892760</x:v>
      </x:c>
      <x:c r="AB499" s="87" t="n">
        <x:f>Z499-AA499</x:f>
        <x:v>2923962440</x:v>
      </x:c>
      <x:c r="AC499" s="87" t="n">
        <x:f>O499+Y499</x:f>
        <x:v>4401573280</x:v>
      </x:c>
      <x:c r="AD499" s="87" t="n">
        <x:f>AB499-AC499</x:f>
        <x:v>-1477610840</x:v>
      </x:c>
      <x:c r="AE499" s="87" t="n">
        <x:f>AD499/D499</x:f>
        <x:v>-1477610840</x:v>
      </x:c>
      <x:c r="AF499" s="87" t="n">
        <x:f>AD499/P499</x:f>
        <x:v>-1477610840</x:v>
      </x:c>
      <x:c r="AG499" s="87" t="n">
        <x:f>IF(T499=0,0,AC499/T499/(1-'01 Base Costs'!$B$11))</x:f>
        <x:v>1133374518.4880009</x:v>
      </x:c>
      <x:c r="AH499" s="88" t="str">
        <x:f>IF(AD499&gt;0,"PROFIT","LOSS")</x:f>
        <x:v>LOSS</x:v>
      </x:c>
      <x:c r="AI499" s="89" t="str">
        <x:v>Capsuleer Day XXIIII event from screenshot. One training queue only. Base 5-pack average.</x:v>
      </x:c>
    </x:row>
    <x:row r="500">
      <x:c r="A500" s="86" t="n">
        <x:v>498</x:v>
      </x:c>
      <x:c r="B500" s="88" t="str">
        <x:v>Sale/Event</x:v>
      </x:c>
      <x:c r="C500" s="88" t="str">
        <x:v>Capsuleer Day 1M Omega + 100k SP + skin</x:v>
      </x:c>
      <x:c r="D500" s="88" t="n">
        <x:v>1</x:v>
      </x:c>
      <x:c r="E500" s="88" t="n">
        <x:v>1</x:v>
      </x:c>
      <x:c r="F500" s="88" t="str">
        <x:v>No MCT</x:v>
      </x:c>
      <x:c r="G500" s="88" t="str">
        <x:v>NES 10-pack extractor</x:v>
      </x:c>
      <x:c r="H500" s="87" t="n">
        <x:f>'01 Base Costs'!$B$26</x:f>
        <x:v>400</x:v>
      </x:c>
      <x:c r="I500" s="87" t="n">
        <x:f>0</x:f>
        <x:v>0</x:v>
      </x:c>
      <x:c r="J500" s="87" t="n">
        <x:f>0</x:f>
        <x:v>0</x:v>
      </x:c>
      <x:c r="K500" s="87" t="n">
        <x:f>D500*(E500-1)*I500</x:f>
        <x:v>0</x:v>
      </x:c>
      <x:c r="L500" s="87" t="n">
        <x:f>D500*(E500-1)*J500</x:f>
        <x:v>0</x:v>
      </x:c>
      <x:c r="M500" s="87" t="n">
        <x:f>0</x:f>
        <x:v>0</x:v>
      </x:c>
      <x:c r="N500" s="87" t="n">
        <x:f>H500+K500+M500</x:f>
        <x:v>400</x:v>
      </x:c>
      <x:c r="O500" s="87" t="n">
        <x:f>N500*'01 Base Costs'!$B$7+L500</x:f>
        <x:v>1924000000</x:v>
      </x:c>
      <x:c r="P500" s="87" t="n">
        <x:f>D500*E500</x:f>
        <x:v>1</x:v>
      </x:c>
      <x:c r="Q500" s="87" t="n">
        <x:f>P500*'01 Base Costs'!$B$12</x:f>
        <x:v>1944000</x:v>
      </x:c>
      <x:c r="R500" s="87" t="n">
        <x:f>'01 Base Costs'!$B$13</x:f>
        <x:v>100000</x:v>
      </x:c>
      <x:c r="S500" s="87" t="n">
        <x:f>Q500+R500</x:f>
        <x:v>2044000</x:v>
      </x:c>
      <x:c r="T500" s="141" t="n">
        <x:f>S500/'01 Base Costs'!$B$14</x:f>
        <x:v>4.088</x:v>
      </x:c>
      <x:c r="U500" s="87" t="n">
        <x:f>INT(T500)</x:f>
        <x:v>4</x:v>
      </x:c>
      <x:c r="V500" s="87" t="n">
        <x:f>S500-U500*'01 Base Costs'!$B$14</x:f>
        <x:v>44000</x:v>
      </x:c>
      <x:c r="W500" s="120" t="n">
        <x:f>'01 Base Costs'!$B$19/10</x:f>
        <x:v>119</x:v>
      </x:c>
      <x:c r="X500" s="120" t="n">
        <x:f>0</x:f>
        <x:v>0</x:v>
      </x:c>
      <x:c r="Y500" s="87" t="n">
        <x:f>T500*(W500*'01 Base Costs'!$B$7+X500)</x:f>
        <x:v>2339930320</x:v>
      </x:c>
      <x:c r="Z500" s="87" t="n">
        <x:f>T500*'01 Base Costs'!$B$8</x:f>
        <x:v>3077855200</x:v>
      </x:c>
      <x:c r="AA500" s="87" t="n">
        <x:f>Z500*'01 Base Costs'!$B$11</x:f>
        <x:v>153892760</x:v>
      </x:c>
      <x:c r="AB500" s="87" t="n">
        <x:f>Z500-AA500</x:f>
        <x:v>2923962440</x:v>
      </x:c>
      <x:c r="AC500" s="87" t="n">
        <x:f>O500+Y500</x:f>
        <x:v>4263930320</x:v>
      </x:c>
      <x:c r="AD500" s="87" t="n">
        <x:f>AB500-AC500</x:f>
        <x:v>-1339967880</x:v>
      </x:c>
      <x:c r="AE500" s="87" t="n">
        <x:f>AD500/D500</x:f>
        <x:v>-1339967880</x:v>
      </x:c>
      <x:c r="AF500" s="87" t="n">
        <x:f>AD500/P500</x:f>
        <x:v>-1339967880</x:v>
      </x:c>
      <x:c r="AG500" s="87" t="n">
        <x:f>IF(T500=0,0,AC500/T500/(1-'01 Base Costs'!$B$11))</x:f>
        <x:v>1097932413.224843</x:v>
      </x:c>
      <x:c r="AH500" s="88" t="str">
        <x:f>IF(AD500&gt;0,"PROFIT","LOSS")</x:f>
        <x:v>LOSS</x:v>
      </x:c>
      <x:c r="AI500" s="89" t="str">
        <x:v>Capsuleer Day XXIIII event from screenshot. One training queue only. Base 10-pack average.</x:v>
      </x:c>
    </x:row>
    <x:row r="501">
      <x:c r="A501" s="86" t="n">
        <x:v>499</x:v>
      </x:c>
      <x:c r="B501" s="88" t="str">
        <x:v>Sale/Event</x:v>
      </x:c>
      <x:c r="C501" s="88" t="str">
        <x:v>Capsuleer Day 1M Omega + 100k SP + skin</x:v>
      </x:c>
      <x:c r="D501" s="88" t="n">
        <x:v>1</x:v>
      </x:c>
      <x:c r="E501" s="88" t="n">
        <x:v>1</x:v>
      </x:c>
      <x:c r="F501" s="88" t="str">
        <x:v>No MCT</x:v>
      </x:c>
      <x:c r="G501" s="88" t="str">
        <x:v>NES 50-pack extractor</x:v>
      </x:c>
      <x:c r="H501" s="87" t="n">
        <x:f>'01 Base Costs'!$B$26</x:f>
        <x:v>400</x:v>
      </x:c>
      <x:c r="I501" s="87" t="n">
        <x:f>0</x:f>
        <x:v>0</x:v>
      </x:c>
      <x:c r="J501" s="87" t="n">
        <x:f>0</x:f>
        <x:v>0</x:v>
      </x:c>
      <x:c r="K501" s="87" t="n">
        <x:f>D501*(E501-1)*I501</x:f>
        <x:v>0</x:v>
      </x:c>
      <x:c r="L501" s="87" t="n">
        <x:f>D501*(E501-1)*J501</x:f>
        <x:v>0</x:v>
      </x:c>
      <x:c r="M501" s="87" t="n">
        <x:f>0</x:f>
        <x:v>0</x:v>
      </x:c>
      <x:c r="N501" s="87" t="n">
        <x:f>H501+K501+M501</x:f>
        <x:v>400</x:v>
      </x:c>
      <x:c r="O501" s="87" t="n">
        <x:f>N501*'01 Base Costs'!$B$7+L501</x:f>
        <x:v>1924000000</x:v>
      </x:c>
      <x:c r="P501" s="87" t="n">
        <x:f>D501*E501</x:f>
        <x:v>1</x:v>
      </x:c>
      <x:c r="Q501" s="87" t="n">
        <x:f>P501*'01 Base Costs'!$B$12</x:f>
        <x:v>1944000</x:v>
      </x:c>
      <x:c r="R501" s="87" t="n">
        <x:f>'01 Base Costs'!$B$13</x:f>
        <x:v>100000</x:v>
      </x:c>
      <x:c r="S501" s="87" t="n">
        <x:f>Q501+R501</x:f>
        <x:v>2044000</x:v>
      </x:c>
      <x:c r="T501" s="141" t="n">
        <x:f>S501/'01 Base Costs'!$B$14</x:f>
        <x:v>4.088</x:v>
      </x:c>
      <x:c r="U501" s="87" t="n">
        <x:f>INT(T501)</x:f>
        <x:v>4</x:v>
      </x:c>
      <x:c r="V501" s="87" t="n">
        <x:f>S501-U501*'01 Base Costs'!$B$14</x:f>
        <x:v>44000</x:v>
      </x:c>
      <x:c r="W501" s="120" t="n">
        <x:f>'01 Base Costs'!$B$20/50</x:f>
        <x:v>112</x:v>
      </x:c>
      <x:c r="X501" s="120" t="n">
        <x:f>0</x:f>
        <x:v>0</x:v>
      </x:c>
      <x:c r="Y501" s="87" t="n">
        <x:f>T501*(W501*'01 Base Costs'!$B$7+X501)</x:f>
        <x:v>2202287360</x:v>
      </x:c>
      <x:c r="Z501" s="87" t="n">
        <x:f>T501*'01 Base Costs'!$B$8</x:f>
        <x:v>3077855200</x:v>
      </x:c>
      <x:c r="AA501" s="87" t="n">
        <x:f>Z501*'01 Base Costs'!$B$11</x:f>
        <x:v>153892760</x:v>
      </x:c>
      <x:c r="AB501" s="87" t="n">
        <x:f>Z501-AA501</x:f>
        <x:v>2923962440</x:v>
      </x:c>
      <x:c r="AC501" s="87" t="n">
        <x:f>O501+Y501</x:f>
        <x:v>4126287360</x:v>
      </x:c>
      <x:c r="AD501" s="87" t="n">
        <x:f>AB501-AC501</x:f>
        <x:v>-1202324920</x:v>
      </x:c>
      <x:c r="AE501" s="87" t="n">
        <x:f>AD501/D501</x:f>
        <x:v>-1202324920</x:v>
      </x:c>
      <x:c r="AF501" s="87" t="n">
        <x:f>AD501/P501</x:f>
        <x:v>-1202324920</x:v>
      </x:c>
      <x:c r="AG501" s="87" t="n">
        <x:f>IF(T501=0,0,AC501/T501/(1-'01 Base Costs'!$B$11))</x:f>
        <x:v>1062490307.9616851</x:v>
      </x:c>
      <x:c r="AH501" s="88" t="str">
        <x:f>IF(AD501&gt;0,"PROFIT","LOSS")</x:f>
        <x:v>LOSS</x:v>
      </x:c>
      <x:c r="AI501" s="89" t="str">
        <x:v>Capsuleer Day XXIIII event from screenshot. One training queue only. Base 50-pack average.</x:v>
      </x:c>
    </x:row>
    <x:row r="502">
      <x:c r="A502" s="86" t="n">
        <x:v>500</x:v>
      </x:c>
      <x:c r="B502" s="88" t="str">
        <x:v>Sale/Event</x:v>
      </x:c>
      <x:c r="C502" s="88" t="str">
        <x:v>Capsuleer Day 1M Omega + 100k SP + skin</x:v>
      </x:c>
      <x:c r="D502" s="88" t="n">
        <x:v>1</x:v>
      </x:c>
      <x:c r="E502" s="88" t="n">
        <x:v>1</x:v>
      </x:c>
      <x:c r="F502" s="88" t="str">
        <x:v>No MCT</x:v>
      </x:c>
      <x:c r="G502" s="88" t="str">
        <x:v>NES 3-for-2 extractor sale</x:v>
      </x:c>
      <x:c r="H502" s="87" t="n">
        <x:f>'01 Base Costs'!$B$26</x:f>
        <x:v>400</x:v>
      </x:c>
      <x:c r="I502" s="87" t="n">
        <x:f>0</x:f>
        <x:v>0</x:v>
      </x:c>
      <x:c r="J502" s="87" t="n">
        <x:f>0</x:f>
        <x:v>0</x:v>
      </x:c>
      <x:c r="K502" s="87" t="n">
        <x:f>D502*(E502-1)*I502</x:f>
        <x:v>0</x:v>
      </x:c>
      <x:c r="L502" s="87" t="n">
        <x:f>D502*(E502-1)*J502</x:f>
        <x:v>0</x:v>
      </x:c>
      <x:c r="M502" s="87" t="n">
        <x:f>0</x:f>
        <x:v>0</x:v>
      </x:c>
      <x:c r="N502" s="87" t="n">
        <x:f>H502+K502+M502</x:f>
        <x:v>400</x:v>
      </x:c>
      <x:c r="O502" s="87" t="n">
        <x:f>N502*'01 Base Costs'!$B$7+L502</x:f>
        <x:v>1924000000</x:v>
      </x:c>
      <x:c r="P502" s="87" t="n">
        <x:f>D502*E502</x:f>
        <x:v>1</x:v>
      </x:c>
      <x:c r="Q502" s="87" t="n">
        <x:f>P502*'01 Base Costs'!$B$12</x:f>
        <x:v>1944000</x:v>
      </x:c>
      <x:c r="R502" s="87" t="n">
        <x:f>'01 Base Costs'!$B$13</x:f>
        <x:v>100000</x:v>
      </x:c>
      <x:c r="S502" s="87" t="n">
        <x:f>Q502+R502</x:f>
        <x:v>2044000</x:v>
      </x:c>
      <x:c r="T502" s="141" t="n">
        <x:f>S502/'01 Base Costs'!$B$14</x:f>
        <x:v>4.088</x:v>
      </x:c>
      <x:c r="U502" s="87" t="n">
        <x:f>INT(T502)</x:f>
        <x:v>4</x:v>
      </x:c>
      <x:c r="V502" s="87" t="n">
        <x:f>S502-U502*'01 Base Costs'!$B$14</x:f>
        <x:v>44000</x:v>
      </x:c>
      <x:c r="W502" s="120" t="n">
        <x:f>'01 Base Costs'!$B$17*2/3</x:f>
        <x:v>93.33333333333333</x:v>
      </x:c>
      <x:c r="X502" s="120" t="n">
        <x:f>0</x:f>
        <x:v>0</x:v>
      </x:c>
      <x:c r="Y502" s="87" t="n">
        <x:f>T502*(W502*'01 Base Costs'!$B$7+X502)</x:f>
        <x:v>1835239466.6666665</x:v>
      </x:c>
      <x:c r="Z502" s="87" t="n">
        <x:f>T502*'01 Base Costs'!$B$8</x:f>
        <x:v>3077855200</x:v>
      </x:c>
      <x:c r="AA502" s="87" t="n">
        <x:f>Z502*'01 Base Costs'!$B$11</x:f>
        <x:v>153892760</x:v>
      </x:c>
      <x:c r="AB502" s="87" t="n">
        <x:f>Z502-AA502</x:f>
        <x:v>2923962440</x:v>
      </x:c>
      <x:c r="AC502" s="87" t="n">
        <x:f>O502+Y502</x:f>
        <x:v>3759239466.6666665</x:v>
      </x:c>
      <x:c r="AD502" s="87" t="n">
        <x:f>AB502-AC502</x:f>
        <x:v>-835277026.6666665</x:v>
      </x:c>
      <x:c r="AE502" s="87" t="n">
        <x:f>AD502/D502</x:f>
        <x:v>-835277026.6666665</x:v>
      </x:c>
      <x:c r="AF502" s="87" t="n">
        <x:f>AD502/P502</x:f>
        <x:v>-835277026.6666665</x:v>
      </x:c>
      <x:c r="AG502" s="87" t="n">
        <x:f>IF(T502=0,0,AC502/T502/(1-'01 Base Costs'!$B$11))</x:f>
        <x:v>967978027.2599306</x:v>
      </x:c>
      <x:c r="AH502" s="88" t="str">
        <x:f>IF(AD502&gt;0,"PROFIT","LOSS")</x:f>
        <x:v>LOSS</x:v>
      </x:c>
      <x:c r="AI502" s="89" t="str">
        <x:v>Capsuleer Day XXIIII event from screenshot. One training queue only. Extractor 3-for-2 sale.</x:v>
      </x:c>
    </x:row>
    <x:row r="503">
      <x:c r="A503" s="86" t="n">
        <x:v>501</x:v>
      </x:c>
      <x:c r="B503" s="88" t="str">
        <x:v>Sale/Event</x:v>
      </x:c>
      <x:c r="C503" s="88" t="str">
        <x:v>Capsuleer Day 1M Omega + 100k SP + skin</x:v>
      </x:c>
      <x:c r="D503" s="88" t="n">
        <x:v>1</x:v>
      </x:c>
      <x:c r="E503" s="88" t="n">
        <x:v>1</x:v>
      </x:c>
      <x:c r="F503" s="88" t="str">
        <x:v>No MCT</x:v>
      </x:c>
      <x:c r="G503" s="88" t="str">
        <x:v>NES 2-for-1 extractor sale</x:v>
      </x:c>
      <x:c r="H503" s="87" t="n">
        <x:f>'01 Base Costs'!$B$26</x:f>
        <x:v>400</x:v>
      </x:c>
      <x:c r="I503" s="87" t="n">
        <x:f>0</x:f>
        <x:v>0</x:v>
      </x:c>
      <x:c r="J503" s="87" t="n">
        <x:f>0</x:f>
        <x:v>0</x:v>
      </x:c>
      <x:c r="K503" s="87" t="n">
        <x:f>D503*(E503-1)*I503</x:f>
        <x:v>0</x:v>
      </x:c>
      <x:c r="L503" s="87" t="n">
        <x:f>D503*(E503-1)*J503</x:f>
        <x:v>0</x:v>
      </x:c>
      <x:c r="M503" s="87" t="n">
        <x:f>0</x:f>
        <x:v>0</x:v>
      </x:c>
      <x:c r="N503" s="87" t="n">
        <x:f>H503+K503+M503</x:f>
        <x:v>400</x:v>
      </x:c>
      <x:c r="O503" s="87" t="n">
        <x:f>N503*'01 Base Costs'!$B$7+L503</x:f>
        <x:v>1924000000</x:v>
      </x:c>
      <x:c r="P503" s="87" t="n">
        <x:f>D503*E503</x:f>
        <x:v>1</x:v>
      </x:c>
      <x:c r="Q503" s="87" t="n">
        <x:f>P503*'01 Base Costs'!$B$12</x:f>
        <x:v>1944000</x:v>
      </x:c>
      <x:c r="R503" s="87" t="n">
        <x:f>'01 Base Costs'!$B$13</x:f>
        <x:v>100000</x:v>
      </x:c>
      <x:c r="S503" s="87" t="n">
        <x:f>Q503+R503</x:f>
        <x:v>2044000</x:v>
      </x:c>
      <x:c r="T503" s="141" t="n">
        <x:f>S503/'01 Base Costs'!$B$14</x:f>
        <x:v>4.088</x:v>
      </x:c>
      <x:c r="U503" s="87" t="n">
        <x:f>INT(T503)</x:f>
        <x:v>4</x:v>
      </x:c>
      <x:c r="V503" s="87" t="n">
        <x:f>S503-U503*'01 Base Costs'!$B$14</x:f>
        <x:v>44000</x:v>
      </x:c>
      <x:c r="W503" s="120" t="n">
        <x:f>'01 Base Costs'!$B$17/2</x:f>
        <x:v>70</x:v>
      </x:c>
      <x:c r="X503" s="120" t="n">
        <x:f>0</x:f>
        <x:v>0</x:v>
      </x:c>
      <x:c r="Y503" s="87" t="n">
        <x:f>T503*(W503*'01 Base Costs'!$B$7+X503)</x:f>
        <x:v>1376429600</x:v>
      </x:c>
      <x:c r="Z503" s="87" t="n">
        <x:f>T503*'01 Base Costs'!$B$8</x:f>
        <x:v>3077855200</x:v>
      </x:c>
      <x:c r="AA503" s="87" t="n">
        <x:f>Z503*'01 Base Costs'!$B$11</x:f>
        <x:v>153892760</x:v>
      </x:c>
      <x:c r="AB503" s="87" t="n">
        <x:f>Z503-AA503</x:f>
        <x:v>2923962440</x:v>
      </x:c>
      <x:c r="AC503" s="87" t="n">
        <x:f>O503+Y503</x:f>
        <x:v>3300429600</x:v>
      </x:c>
      <x:c r="AD503" s="87" t="n">
        <x:f>AB503-AC503</x:f>
        <x:v>-376467160</x:v>
      </x:c>
      <x:c r="AE503" s="87" t="n">
        <x:f>AD503/D503</x:f>
        <x:v>-376467160</x:v>
      </x:c>
      <x:c r="AF503" s="87" t="n">
        <x:f>AD503/P503</x:f>
        <x:v>-376467160</x:v>
      </x:c>
      <x:c r="AG503" s="87" t="n">
        <x:f>IF(T503=0,0,AC503/T503/(1-'01 Base Costs'!$B$11))</x:f>
        <x:v>849837676.3827378</x:v>
      </x:c>
      <x:c r="AH503" s="88" t="str">
        <x:f>IF(AD503&gt;0,"PROFIT","LOSS")</x:f>
        <x:v>LOSS</x:v>
      </x:c>
      <x:c r="AI503" s="89" t="str">
        <x:v>Capsuleer Day XXIIII event from screenshot. One training queue only. Extractor 2-for-1 sale.</x:v>
      </x:c>
    </x:row>
    <x:row r="504">
      <x:c r="A504" s="86" t="n">
        <x:v>502</x:v>
      </x:c>
      <x:c r="B504" s="88" t="str">
        <x:v>Sale/Event</x:v>
      </x:c>
      <x:c r="C504" s="88" t="str">
        <x:v>Capsuleer Day 1M Omega + 100k SP + skin</x:v>
      </x:c>
      <x:c r="D504" s="88" t="n">
        <x:v>1</x:v>
      </x:c>
      <x:c r="E504" s="88" t="n">
        <x:v>1</x:v>
      </x:c>
      <x:c r="F504" s="88" t="str">
        <x:v>No MCT</x:v>
      </x:c>
      <x:c r="G504" s="88" t="str">
        <x:v>NES 10-pack extractor 20% sale</x:v>
      </x:c>
      <x:c r="H504" s="87" t="n">
        <x:f>'01 Base Costs'!$B$26</x:f>
        <x:v>400</x:v>
      </x:c>
      <x:c r="I504" s="87" t="n">
        <x:f>0</x:f>
        <x:v>0</x:v>
      </x:c>
      <x:c r="J504" s="87" t="n">
        <x:f>0</x:f>
        <x:v>0</x:v>
      </x:c>
      <x:c r="K504" s="87" t="n">
        <x:f>D504*(E504-1)*I504</x:f>
        <x:v>0</x:v>
      </x:c>
      <x:c r="L504" s="87" t="n">
        <x:f>D504*(E504-1)*J504</x:f>
        <x:v>0</x:v>
      </x:c>
      <x:c r="M504" s="87" t="n">
        <x:f>0</x:f>
        <x:v>0</x:v>
      </x:c>
      <x:c r="N504" s="87" t="n">
        <x:f>H504+K504+M504</x:f>
        <x:v>400</x:v>
      </x:c>
      <x:c r="O504" s="87" t="n">
        <x:f>N504*'01 Base Costs'!$B$7+L504</x:f>
        <x:v>1924000000</x:v>
      </x:c>
      <x:c r="P504" s="87" t="n">
        <x:f>D504*E504</x:f>
        <x:v>1</x:v>
      </x:c>
      <x:c r="Q504" s="87" t="n">
        <x:f>P504*'01 Base Costs'!$B$12</x:f>
        <x:v>1944000</x:v>
      </x:c>
      <x:c r="R504" s="87" t="n">
        <x:f>'01 Base Costs'!$B$13</x:f>
        <x:v>100000</x:v>
      </x:c>
      <x:c r="S504" s="87" t="n">
        <x:f>Q504+R504</x:f>
        <x:v>2044000</x:v>
      </x:c>
      <x:c r="T504" s="141" t="n">
        <x:f>S504/'01 Base Costs'!$B$14</x:f>
        <x:v>4.088</x:v>
      </x:c>
      <x:c r="U504" s="87" t="n">
        <x:f>INT(T504)</x:f>
        <x:v>4</x:v>
      </x:c>
      <x:c r="V504" s="87" t="n">
        <x:f>S504-U504*'01 Base Costs'!$B$14</x:f>
        <x:v>44000</x:v>
      </x:c>
      <x:c r="W504" s="120" t="n">
        <x:f>'01 Base Costs'!$B$19*0.8/10</x:f>
        <x:v>95.2</x:v>
      </x:c>
      <x:c r="X504" s="120" t="n">
        <x:f>0</x:f>
        <x:v>0</x:v>
      </x:c>
      <x:c r="Y504" s="87" t="n">
        <x:f>T504*(W504*'01 Base Costs'!$B$7+X504)</x:f>
        <x:v>1871944256</x:v>
      </x:c>
      <x:c r="Z504" s="87" t="n">
        <x:f>T504*'01 Base Costs'!$B$8</x:f>
        <x:v>3077855200</x:v>
      </x:c>
      <x:c r="AA504" s="87" t="n">
        <x:f>Z504*'01 Base Costs'!$B$11</x:f>
        <x:v>153892760</x:v>
      </x:c>
      <x:c r="AB504" s="87" t="n">
        <x:f>Z504-AA504</x:f>
        <x:v>2923962440</x:v>
      </x:c>
      <x:c r="AC504" s="87" t="n">
        <x:f>O504+Y504</x:f>
        <x:v>3795944256</x:v>
      </x:c>
      <x:c r="AD504" s="87" t="n">
        <x:f>AB504-AC504</x:f>
        <x:v>-871981816</x:v>
      </x:c>
      <x:c r="AE504" s="87" t="n">
        <x:f>AD504/D504</x:f>
        <x:v>-871981816</x:v>
      </x:c>
      <x:c r="AF504" s="87" t="n">
        <x:f>AD504/P504</x:f>
        <x:v>-871981816</x:v>
      </x:c>
      <x:c r="AG504" s="87" t="n">
        <x:f>IF(T504=0,0,AC504/T504/(1-'01 Base Costs'!$B$11))</x:f>
        <x:v>977429255.3301061</x:v>
      </x:c>
      <x:c r="AH504" s="88" t="str">
        <x:f>IF(AD504&gt;0,"PROFIT","LOSS")</x:f>
        <x:v>LOSS</x:v>
      </x:c>
      <x:c r="AI504" s="89" t="str">
        <x:v>Capsuleer Day XXIIII event from screenshot. One training queue only. 10-pack at 20% off.</x:v>
      </x:c>
    </x:row>
    <x:row r="505">
      <x:c r="A505" s="86" t="n">
        <x:v>503</x:v>
      </x:c>
      <x:c r="B505" s="88" t="str">
        <x:v>Sale/Event</x:v>
      </x:c>
      <x:c r="C505" s="88" t="str">
        <x:v>Capsuleer Day 1M Omega + 100k SP + skin</x:v>
      </x:c>
      <x:c r="D505" s="88" t="n">
        <x:v>1</x:v>
      </x:c>
      <x:c r="E505" s="88" t="n">
        <x:v>1</x:v>
      </x:c>
      <x:c r="F505" s="88" t="str">
        <x:v>No MCT</x:v>
      </x:c>
      <x:c r="G505" s="88" t="str">
        <x:v>NES 50-pack extractor 20% sale</x:v>
      </x:c>
      <x:c r="H505" s="87" t="n">
        <x:f>'01 Base Costs'!$B$26</x:f>
        <x:v>400</x:v>
      </x:c>
      <x:c r="I505" s="87" t="n">
        <x:f>0</x:f>
        <x:v>0</x:v>
      </x:c>
      <x:c r="J505" s="87" t="n">
        <x:f>0</x:f>
        <x:v>0</x:v>
      </x:c>
      <x:c r="K505" s="87" t="n">
        <x:f>D505*(E505-1)*I505</x:f>
        <x:v>0</x:v>
      </x:c>
      <x:c r="L505" s="87" t="n">
        <x:f>D505*(E505-1)*J505</x:f>
        <x:v>0</x:v>
      </x:c>
      <x:c r="M505" s="87" t="n">
        <x:f>0</x:f>
        <x:v>0</x:v>
      </x:c>
      <x:c r="N505" s="87" t="n">
        <x:f>H505+K505+M505</x:f>
        <x:v>400</x:v>
      </x:c>
      <x:c r="O505" s="87" t="n">
        <x:f>N505*'01 Base Costs'!$B$7+L505</x:f>
        <x:v>1924000000</x:v>
      </x:c>
      <x:c r="P505" s="87" t="n">
        <x:f>D505*E505</x:f>
        <x:v>1</x:v>
      </x:c>
      <x:c r="Q505" s="87" t="n">
        <x:f>P505*'01 Base Costs'!$B$12</x:f>
        <x:v>1944000</x:v>
      </x:c>
      <x:c r="R505" s="87" t="n">
        <x:f>'01 Base Costs'!$B$13</x:f>
        <x:v>100000</x:v>
      </x:c>
      <x:c r="S505" s="87" t="n">
        <x:f>Q505+R505</x:f>
        <x:v>2044000</x:v>
      </x:c>
      <x:c r="T505" s="141" t="n">
        <x:f>S505/'01 Base Costs'!$B$14</x:f>
        <x:v>4.088</x:v>
      </x:c>
      <x:c r="U505" s="87" t="n">
        <x:f>INT(T505)</x:f>
        <x:v>4</x:v>
      </x:c>
      <x:c r="V505" s="87" t="n">
        <x:f>S505-U505*'01 Base Costs'!$B$14</x:f>
        <x:v>44000</x:v>
      </x:c>
      <x:c r="W505" s="120" t="n">
        <x:f>'01 Base Costs'!$B$20*0.8/50</x:f>
        <x:v>89.6</x:v>
      </x:c>
      <x:c r="X505" s="120" t="n">
        <x:f>0</x:f>
        <x:v>0</x:v>
      </x:c>
      <x:c r="Y505" s="87" t="n">
        <x:f>T505*(W505*'01 Base Costs'!$B$7+X505)</x:f>
        <x:v>1761829888</x:v>
      </x:c>
      <x:c r="Z505" s="87" t="n">
        <x:f>T505*'01 Base Costs'!$B$8</x:f>
        <x:v>3077855200</x:v>
      </x:c>
      <x:c r="AA505" s="87" t="n">
        <x:f>Z505*'01 Base Costs'!$B$11</x:f>
        <x:v>153892760</x:v>
      </x:c>
      <x:c r="AB505" s="87" t="n">
        <x:f>Z505-AA505</x:f>
        <x:v>2923962440</x:v>
      </x:c>
      <x:c r="AC505" s="87" t="n">
        <x:f>O505+Y505</x:f>
        <x:v>3685829888</x:v>
      </x:c>
      <x:c r="AD505" s="87" t="n">
        <x:f>AB505-AC505</x:f>
        <x:v>-761867448</x:v>
      </x:c>
      <x:c r="AE505" s="87" t="n">
        <x:f>AD505/D505</x:f>
        <x:v>-761867448</x:v>
      </x:c>
      <x:c r="AF505" s="87" t="n">
        <x:f>AD505/P505</x:f>
        <x:v>-761867448</x:v>
      </x:c>
      <x:c r="AG505" s="87" t="n">
        <x:f>IF(T505=0,0,AC505/T505/(1-'01 Base Costs'!$B$11))</x:f>
        <x:v>949075571.1195798</x:v>
      </x:c>
      <x:c r="AH505" s="88" t="str">
        <x:f>IF(AD505&gt;0,"PROFIT","LOSS")</x:f>
        <x:v>LOSS</x:v>
      </x:c>
      <x:c r="AI505" s="89" t="str">
        <x:v>Capsuleer Day XXIIII event from screenshot. One training queue only. 50-pack at 20% off.</x:v>
      </x:c>
    </x:row>
    <x:row r="506">
      <x:c r="A506" s="86" t="n">
        <x:v>504</x:v>
      </x:c>
      <x:c r="B506" s="88" t="str">
        <x:v>Sale/Event</x:v>
      </x:c>
      <x:c r="C506" s="88" t="str">
        <x:v>Capsuleer Day 1M Omega + 100k SP + skin</x:v>
      </x:c>
      <x:c r="D506" s="88" t="n">
        <x:v>1</x:v>
      </x:c>
      <x:c r="E506" s="88" t="n">
        <x:v>1</x:v>
      </x:c>
      <x:c r="F506" s="88" t="str">
        <x:v>No MCT</x:v>
      </x:c>
      <x:c r="G506" s="88" t="str">
        <x:v>Market Skill Extractor</x:v>
      </x:c>
      <x:c r="H506" s="87" t="n">
        <x:f>'01 Base Costs'!$B$26</x:f>
        <x:v>400</x:v>
      </x:c>
      <x:c r="I506" s="87" t="n">
        <x:f>0</x:f>
        <x:v>0</x:v>
      </x:c>
      <x:c r="J506" s="87" t="n">
        <x:f>0</x:f>
        <x:v>0</x:v>
      </x:c>
      <x:c r="K506" s="87" t="n">
        <x:f>D506*(E506-1)*I506</x:f>
        <x:v>0</x:v>
      </x:c>
      <x:c r="L506" s="87" t="n">
        <x:f>D506*(E506-1)*J506</x:f>
        <x:v>0</x:v>
      </x:c>
      <x:c r="M506" s="87" t="n">
        <x:f>0</x:f>
        <x:v>0</x:v>
      </x:c>
      <x:c r="N506" s="87" t="n">
        <x:f>H506+K506+M506</x:f>
        <x:v>400</x:v>
      </x:c>
      <x:c r="O506" s="87" t="n">
        <x:f>N506*'01 Base Costs'!$B$7+L506</x:f>
        <x:v>1924000000</x:v>
      </x:c>
      <x:c r="P506" s="87" t="n">
        <x:f>D506*E506</x:f>
        <x:v>1</x:v>
      </x:c>
      <x:c r="Q506" s="87" t="n">
        <x:f>P506*'01 Base Costs'!$B$12</x:f>
        <x:v>1944000</x:v>
      </x:c>
      <x:c r="R506" s="87" t="n">
        <x:f>'01 Base Costs'!$B$13</x:f>
        <x:v>100000</x:v>
      </x:c>
      <x:c r="S506" s="87" t="n">
        <x:f>Q506+R506</x:f>
        <x:v>2044000</x:v>
      </x:c>
      <x:c r="T506" s="141" t="n">
        <x:f>S506/'01 Base Costs'!$B$14</x:f>
        <x:v>4.088</x:v>
      </x:c>
      <x:c r="U506" s="87" t="n">
        <x:f>INT(T506)</x:f>
        <x:v>4</x:v>
      </x:c>
      <x:c r="V506" s="87" t="n">
        <x:f>S506-U506*'01 Base Costs'!$B$14</x:f>
        <x:v>44000</x:v>
      </x:c>
      <x:c r="W506" s="120" t="n">
        <x:f>0</x:f>
        <x:v>0</x:v>
      </x:c>
      <x:c r="X506" s="120" t="n">
        <x:f>'01 Base Costs'!$B$9</x:f>
        <x:v>463500000</x:v>
      </x:c>
      <x:c r="Y506" s="87" t="n">
        <x:f>T506*(W506*'01 Base Costs'!$B$7+X506)</x:f>
        <x:v>1894788000</x:v>
      </x:c>
      <x:c r="Z506" s="87" t="n">
        <x:f>T506*'01 Base Costs'!$B$8</x:f>
        <x:v>3077855200</x:v>
      </x:c>
      <x:c r="AA506" s="87" t="n">
        <x:f>Z506*'01 Base Costs'!$B$11</x:f>
        <x:v>153892760</x:v>
      </x:c>
      <x:c r="AB506" s="87" t="n">
        <x:f>Z506-AA506</x:f>
        <x:v>2923962440</x:v>
      </x:c>
      <x:c r="AC506" s="87" t="n">
        <x:f>O506+Y506</x:f>
        <x:v>3818788000</x:v>
      </x:c>
      <x:c r="AD506" s="87" t="n">
        <x:f>AB506-AC506</x:f>
        <x:v>-894825560</x:v>
      </x:c>
      <x:c r="AE506" s="87" t="n">
        <x:f>AD506/D506</x:f>
        <x:v>-894825560</x:v>
      </x:c>
      <x:c r="AF506" s="87" t="n">
        <x:f>AD506/P506</x:f>
        <x:v>-894825560</x:v>
      </x:c>
      <x:c r="AG506" s="87" t="n">
        <x:f>IF(T506=0,0,AC506/T506/(1-'01 Base Costs'!$B$11))</x:f>
        <x:v>983311360.593264</x:v>
      </x:c>
      <x:c r="AH506" s="88" t="str">
        <x:f>IF(AD506&gt;0,"PROFIT","LOSS")</x:f>
        <x:v>LOSS</x:v>
      </x:c>
      <x:c r="AI506" s="89" t="str">
        <x:v>Capsuleer Day XXIIII event from screenshot. One training queue only. Extractor bought on market with ISK.</x:v>
      </x:c>
    </x:row>
    <x:row r="507">
      <x:c r="A507" s="86" t="n">
        <x:v>505</x:v>
      </x:c>
      <x:c r="B507" s="88" t="str">
        <x:v>Sale/Event</x:v>
      </x:c>
      <x:c r="C507" s="88" t="str">
        <x:v>Capsuleer Day 1M Omega + 100k SP + skin</x:v>
      </x:c>
      <x:c r="D507" s="88" t="n">
        <x:v>1</x:v>
      </x:c>
      <x:c r="E507" s="88" t="n">
        <x:v>2</x:v>
      </x:c>
      <x:c r="F507" s="88" t="str">
        <x:v>NES base MCT</x:v>
      </x:c>
      <x:c r="G507" s="88" t="str">
        <x:v>NES single extractor</x:v>
      </x:c>
      <x:c r="H507" s="87" t="n">
        <x:f>'01 Base Costs'!$B$26</x:f>
        <x:v>400</x:v>
      </x:c>
      <x:c r="I507" s="87" t="n">
        <x:f>'01 Base Costs'!$B$16</x:f>
        <x:v>485</x:v>
      </x:c>
      <x:c r="J507" s="87" t="n">
        <x:f>0</x:f>
        <x:v>0</x:v>
      </x:c>
      <x:c r="K507" s="87" t="n">
        <x:f>D507*(E507-1)*I507</x:f>
        <x:v>485</x:v>
      </x:c>
      <x:c r="L507" s="87" t="n">
        <x:f>D507*(E507-1)*J507</x:f>
        <x:v>0</x:v>
      </x:c>
      <x:c r="M507" s="87" t="n">
        <x:f>0</x:f>
        <x:v>0</x:v>
      </x:c>
      <x:c r="N507" s="87" t="n">
        <x:f>H507+K507+M507</x:f>
        <x:v>885</x:v>
      </x:c>
      <x:c r="O507" s="87" t="n">
        <x:f>N507*'01 Base Costs'!$B$7+L507</x:f>
        <x:v>4256850000</x:v>
      </x:c>
      <x:c r="P507" s="87" t="n">
        <x:f>D507*E507</x:f>
        <x:v>2</x:v>
      </x:c>
      <x:c r="Q507" s="87" t="n">
        <x:f>P507*'01 Base Costs'!$B$12</x:f>
        <x:v>3888000</x:v>
      </x:c>
      <x:c r="R507" s="87" t="n">
        <x:f>'01 Base Costs'!$B$13</x:f>
        <x:v>100000</x:v>
      </x:c>
      <x:c r="S507" s="87" t="n">
        <x:f>Q507+R507</x:f>
        <x:v>3988000</x:v>
      </x:c>
      <x:c r="T507" s="141" t="n">
        <x:f>S507/'01 Base Costs'!$B$14</x:f>
        <x:v>7.976</x:v>
      </x:c>
      <x:c r="U507" s="87" t="n">
        <x:f>INT(T507)</x:f>
        <x:v>7</x:v>
      </x:c>
      <x:c r="V507" s="87" t="n">
        <x:f>S507-U507*'01 Base Costs'!$B$14</x:f>
        <x:v>488000</x:v>
      </x:c>
      <x:c r="W507" s="120" t="n">
        <x:f>'01 Base Costs'!$B$17</x:f>
        <x:v>140</x:v>
      </x:c>
      <x:c r="X507" s="120" t="n">
        <x:f>0</x:f>
        <x:v>0</x:v>
      </x:c>
      <x:c r="Y507" s="87" t="n">
        <x:f>T507*(W507*'01 Base Costs'!$B$7+X507)</x:f>
        <x:v>5371038400</x:v>
      </x:c>
      <x:c r="Z507" s="87" t="n">
        <x:f>T507*'01 Base Costs'!$B$8</x:f>
        <x:v>6005130400</x:v>
      </x:c>
      <x:c r="AA507" s="87" t="n">
        <x:f>Z507*'01 Base Costs'!$B$11</x:f>
        <x:v>300256520</x:v>
      </x:c>
      <x:c r="AB507" s="87" t="n">
        <x:f>Z507-AA507</x:f>
        <x:v>5704873880</x:v>
      </x:c>
      <x:c r="AC507" s="87" t="n">
        <x:f>O507+Y507</x:f>
        <x:v>9627888400</x:v>
      </x:c>
      <x:c r="AD507" s="87" t="n">
        <x:f>AB507-AC507</x:f>
        <x:v>-3923014520</x:v>
      </x:c>
      <x:c r="AE507" s="87" t="n">
        <x:f>AD507/D507</x:f>
        <x:v>-3923014520</x:v>
      </x:c>
      <x:c r="AF507" s="87" t="n">
        <x:f>AD507/P507</x:f>
        <x:v>-1961507260</x:v>
      </x:c>
      <x:c r="AG507" s="87" t="n">
        <x:f>IF(T507=0,0,AC507/T507/(1-'01 Base Costs'!$B$11))</x:f>
        <x:v>1270639339.0698411</x:v>
      </x:c>
      <x:c r="AH507" s="88" t="str">
        <x:f>IF(AD507&gt;0,"PROFIT","LOSS")</x:f>
        <x:v>LOSS</x:v>
      </x:c>
      <x:c r="AI507" s="89" t="str">
        <x:v>Capsuleer Day XXIIII event from screenshot. MCT purchased with PLEX in NES. Base single extractor.</x:v>
      </x:c>
    </x:row>
    <x:row r="508">
      <x:c r="A508" s="86" t="n">
        <x:v>506</x:v>
      </x:c>
      <x:c r="B508" s="88" t="str">
        <x:v>Sale/Event</x:v>
      </x:c>
      <x:c r="C508" s="88" t="str">
        <x:v>Capsuleer Day 1M Omega + 100k SP + skin</x:v>
      </x:c>
      <x:c r="D508" s="88" t="n">
        <x:v>1</x:v>
      </x:c>
      <x:c r="E508" s="88" t="n">
        <x:v>2</x:v>
      </x:c>
      <x:c r="F508" s="88" t="str">
        <x:v>NES base MCT</x:v>
      </x:c>
      <x:c r="G508" s="88" t="str">
        <x:v>NES 5-pack extractor</x:v>
      </x:c>
      <x:c r="H508" s="87" t="n">
        <x:f>'01 Base Costs'!$B$26</x:f>
        <x:v>400</x:v>
      </x:c>
      <x:c r="I508" s="87" t="n">
        <x:f>'01 Base Costs'!$B$16</x:f>
        <x:v>485</x:v>
      </x:c>
      <x:c r="J508" s="87" t="n">
        <x:f>0</x:f>
        <x:v>0</x:v>
      </x:c>
      <x:c r="K508" s="87" t="n">
        <x:f>D508*(E508-1)*I508</x:f>
        <x:v>485</x:v>
      </x:c>
      <x:c r="L508" s="87" t="n">
        <x:f>D508*(E508-1)*J508</x:f>
        <x:v>0</x:v>
      </x:c>
      <x:c r="M508" s="87" t="n">
        <x:f>0</x:f>
        <x:v>0</x:v>
      </x:c>
      <x:c r="N508" s="87" t="n">
        <x:f>H508+K508+M508</x:f>
        <x:v>885</x:v>
      </x:c>
      <x:c r="O508" s="87" t="n">
        <x:f>N508*'01 Base Costs'!$B$7+L508</x:f>
        <x:v>4256850000</x:v>
      </x:c>
      <x:c r="P508" s="87" t="n">
        <x:f>D508*E508</x:f>
        <x:v>2</x:v>
      </x:c>
      <x:c r="Q508" s="87" t="n">
        <x:f>P508*'01 Base Costs'!$B$12</x:f>
        <x:v>3888000</x:v>
      </x:c>
      <x:c r="R508" s="87" t="n">
        <x:f>'01 Base Costs'!$B$13</x:f>
        <x:v>100000</x:v>
      </x:c>
      <x:c r="S508" s="87" t="n">
        <x:f>Q508+R508</x:f>
        <x:v>3988000</x:v>
      </x:c>
      <x:c r="T508" s="141" t="n">
        <x:f>S508/'01 Base Costs'!$B$14</x:f>
        <x:v>7.976</x:v>
      </x:c>
      <x:c r="U508" s="87" t="n">
        <x:f>INT(T508)</x:f>
        <x:v>7</x:v>
      </x:c>
      <x:c r="V508" s="87" t="n">
        <x:f>S508-U508*'01 Base Costs'!$B$14</x:f>
        <x:v>488000</x:v>
      </x:c>
      <x:c r="W508" s="120" t="n">
        <x:f>'01 Base Costs'!$B$18/5</x:f>
        <x:v>126</x:v>
      </x:c>
      <x:c r="X508" s="120" t="n">
        <x:f>0</x:f>
        <x:v>0</x:v>
      </x:c>
      <x:c r="Y508" s="87" t="n">
        <x:f>T508*(W508*'01 Base Costs'!$B$7+X508)</x:f>
        <x:v>4833934560</x:v>
      </x:c>
      <x:c r="Z508" s="87" t="n">
        <x:f>T508*'01 Base Costs'!$B$8</x:f>
        <x:v>6005130400</x:v>
      </x:c>
      <x:c r="AA508" s="87" t="n">
        <x:f>Z508*'01 Base Costs'!$B$11</x:f>
        <x:v>300256520</x:v>
      </x:c>
      <x:c r="AB508" s="87" t="n">
        <x:f>Z508-AA508</x:f>
        <x:v>5704873880</x:v>
      </x:c>
      <x:c r="AC508" s="87" t="n">
        <x:f>O508+Y508</x:f>
        <x:v>9090784560</x:v>
      </x:c>
      <x:c r="AD508" s="87" t="n">
        <x:f>AB508-AC508</x:f>
        <x:v>-3385910680</x:v>
      </x:c>
      <x:c r="AE508" s="87" t="n">
        <x:f>AD508/D508</x:f>
        <x:v>-3385910680</x:v>
      </x:c>
      <x:c r="AF508" s="87" t="n">
        <x:f>AD508/P508</x:f>
        <x:v>-1692955340</x:v>
      </x:c>
      <x:c r="AG508" s="87" t="n">
        <x:f>IF(T508=0,0,AC508/T508/(1-'01 Base Costs'!$B$11))</x:f>
        <x:v>1199755128.5435252</x:v>
      </x:c>
      <x:c r="AH508" s="88" t="str">
        <x:f>IF(AD508&gt;0,"PROFIT","LOSS")</x:f>
        <x:v>LOSS</x:v>
      </x:c>
      <x:c r="AI508" s="89" t="str">
        <x:v>Capsuleer Day XXIIII event from screenshot. MCT purchased with PLEX in NES. Base 5-pack average.</x:v>
      </x:c>
    </x:row>
    <x:row r="509">
      <x:c r="A509" s="86" t="n">
        <x:v>507</x:v>
      </x:c>
      <x:c r="B509" s="88" t="str">
        <x:v>Sale/Event</x:v>
      </x:c>
      <x:c r="C509" s="88" t="str">
        <x:v>Capsuleer Day 1M Omega + 100k SP + skin</x:v>
      </x:c>
      <x:c r="D509" s="88" t="n">
        <x:v>1</x:v>
      </x:c>
      <x:c r="E509" s="88" t="n">
        <x:v>2</x:v>
      </x:c>
      <x:c r="F509" s="88" t="str">
        <x:v>NES base MCT</x:v>
      </x:c>
      <x:c r="G509" s="88" t="str">
        <x:v>NES 10-pack extractor</x:v>
      </x:c>
      <x:c r="H509" s="87" t="n">
        <x:f>'01 Base Costs'!$B$26</x:f>
        <x:v>400</x:v>
      </x:c>
      <x:c r="I509" s="87" t="n">
        <x:f>'01 Base Costs'!$B$16</x:f>
        <x:v>485</x:v>
      </x:c>
      <x:c r="J509" s="87" t="n">
        <x:f>0</x:f>
        <x:v>0</x:v>
      </x:c>
      <x:c r="K509" s="87" t="n">
        <x:f>D509*(E509-1)*I509</x:f>
        <x:v>485</x:v>
      </x:c>
      <x:c r="L509" s="87" t="n">
        <x:f>D509*(E509-1)*J509</x:f>
        <x:v>0</x:v>
      </x:c>
      <x:c r="M509" s="87" t="n">
        <x:f>0</x:f>
        <x:v>0</x:v>
      </x:c>
      <x:c r="N509" s="87" t="n">
        <x:f>H509+K509+M509</x:f>
        <x:v>885</x:v>
      </x:c>
      <x:c r="O509" s="87" t="n">
        <x:f>N509*'01 Base Costs'!$B$7+L509</x:f>
        <x:v>4256850000</x:v>
      </x:c>
      <x:c r="P509" s="87" t="n">
        <x:f>D509*E509</x:f>
        <x:v>2</x:v>
      </x:c>
      <x:c r="Q509" s="87" t="n">
        <x:f>P509*'01 Base Costs'!$B$12</x:f>
        <x:v>3888000</x:v>
      </x:c>
      <x:c r="R509" s="87" t="n">
        <x:f>'01 Base Costs'!$B$13</x:f>
        <x:v>100000</x:v>
      </x:c>
      <x:c r="S509" s="87" t="n">
        <x:f>Q509+R509</x:f>
        <x:v>3988000</x:v>
      </x:c>
      <x:c r="T509" s="141" t="n">
        <x:f>S509/'01 Base Costs'!$B$14</x:f>
        <x:v>7.976</x:v>
      </x:c>
      <x:c r="U509" s="87" t="n">
        <x:f>INT(T509)</x:f>
        <x:v>7</x:v>
      </x:c>
      <x:c r="V509" s="87" t="n">
        <x:f>S509-U509*'01 Base Costs'!$B$14</x:f>
        <x:v>488000</x:v>
      </x:c>
      <x:c r="W509" s="120" t="n">
        <x:f>'01 Base Costs'!$B$19/10</x:f>
        <x:v>119</x:v>
      </x:c>
      <x:c r="X509" s="120" t="n">
        <x:f>0</x:f>
        <x:v>0</x:v>
      </x:c>
      <x:c r="Y509" s="87" t="n">
        <x:f>T509*(W509*'01 Base Costs'!$B$7+X509)</x:f>
        <x:v>4565382640</x:v>
      </x:c>
      <x:c r="Z509" s="87" t="n">
        <x:f>T509*'01 Base Costs'!$B$8</x:f>
        <x:v>6005130400</x:v>
      </x:c>
      <x:c r="AA509" s="87" t="n">
        <x:f>Z509*'01 Base Costs'!$B$11</x:f>
        <x:v>300256520</x:v>
      </x:c>
      <x:c r="AB509" s="87" t="n">
        <x:f>Z509-AA509</x:f>
        <x:v>5704873880</x:v>
      </x:c>
      <x:c r="AC509" s="87" t="n">
        <x:f>O509+Y509</x:f>
        <x:v>8822232640</x:v>
      </x:c>
      <x:c r="AD509" s="87" t="n">
        <x:f>AB509-AC509</x:f>
        <x:v>-3117358760</x:v>
      </x:c>
      <x:c r="AE509" s="87" t="n">
        <x:f>AD509/D509</x:f>
        <x:v>-3117358760</x:v>
      </x:c>
      <x:c r="AF509" s="87" t="n">
        <x:f>AD509/P509</x:f>
        <x:v>-1558679380</x:v>
      </x:c>
      <x:c r="AG509" s="87" t="n">
        <x:f>IF(T509=0,0,AC509/T509/(1-'01 Base Costs'!$B$11))</x:f>
        <x:v>1164313023.2803674</x:v>
      </x:c>
      <x:c r="AH509" s="88" t="str">
        <x:f>IF(AD509&gt;0,"PROFIT","LOSS")</x:f>
        <x:v>LOSS</x:v>
      </x:c>
      <x:c r="AI509" s="89" t="str">
        <x:v>Capsuleer Day XXIIII event from screenshot. MCT purchased with PLEX in NES. Base 10-pack average.</x:v>
      </x:c>
    </x:row>
    <x:row r="510">
      <x:c r="A510" s="86" t="n">
        <x:v>508</x:v>
      </x:c>
      <x:c r="B510" s="88" t="str">
        <x:v>Sale/Event</x:v>
      </x:c>
      <x:c r="C510" s="88" t="str">
        <x:v>Capsuleer Day 1M Omega + 100k SP + skin</x:v>
      </x:c>
      <x:c r="D510" s="88" t="n">
        <x:v>1</x:v>
      </x:c>
      <x:c r="E510" s="88" t="n">
        <x:v>2</x:v>
      </x:c>
      <x:c r="F510" s="88" t="str">
        <x:v>NES base MCT</x:v>
      </x:c>
      <x:c r="G510" s="88" t="str">
        <x:v>NES 50-pack extractor</x:v>
      </x:c>
      <x:c r="H510" s="87" t="n">
        <x:f>'01 Base Costs'!$B$26</x:f>
        <x:v>400</x:v>
      </x:c>
      <x:c r="I510" s="87" t="n">
        <x:f>'01 Base Costs'!$B$16</x:f>
        <x:v>485</x:v>
      </x:c>
      <x:c r="J510" s="87" t="n">
        <x:f>0</x:f>
        <x:v>0</x:v>
      </x:c>
      <x:c r="K510" s="87" t="n">
        <x:f>D510*(E510-1)*I510</x:f>
        <x:v>485</x:v>
      </x:c>
      <x:c r="L510" s="87" t="n">
        <x:f>D510*(E510-1)*J510</x:f>
        <x:v>0</x:v>
      </x:c>
      <x:c r="M510" s="87" t="n">
        <x:f>0</x:f>
        <x:v>0</x:v>
      </x:c>
      <x:c r="N510" s="87" t="n">
        <x:f>H510+K510+M510</x:f>
        <x:v>885</x:v>
      </x:c>
      <x:c r="O510" s="87" t="n">
        <x:f>N510*'01 Base Costs'!$B$7+L510</x:f>
        <x:v>4256850000</x:v>
      </x:c>
      <x:c r="P510" s="87" t="n">
        <x:f>D510*E510</x:f>
        <x:v>2</x:v>
      </x:c>
      <x:c r="Q510" s="87" t="n">
        <x:f>P510*'01 Base Costs'!$B$12</x:f>
        <x:v>3888000</x:v>
      </x:c>
      <x:c r="R510" s="87" t="n">
        <x:f>'01 Base Costs'!$B$13</x:f>
        <x:v>100000</x:v>
      </x:c>
      <x:c r="S510" s="87" t="n">
        <x:f>Q510+R510</x:f>
        <x:v>3988000</x:v>
      </x:c>
      <x:c r="T510" s="141" t="n">
        <x:f>S510/'01 Base Costs'!$B$14</x:f>
        <x:v>7.976</x:v>
      </x:c>
      <x:c r="U510" s="87" t="n">
        <x:f>INT(T510)</x:f>
        <x:v>7</x:v>
      </x:c>
      <x:c r="V510" s="87" t="n">
        <x:f>S510-U510*'01 Base Costs'!$B$14</x:f>
        <x:v>488000</x:v>
      </x:c>
      <x:c r="W510" s="120" t="n">
        <x:f>'01 Base Costs'!$B$20/50</x:f>
        <x:v>112</x:v>
      </x:c>
      <x:c r="X510" s="120" t="n">
        <x:f>0</x:f>
        <x:v>0</x:v>
      </x:c>
      <x:c r="Y510" s="87" t="n">
        <x:f>T510*(W510*'01 Base Costs'!$B$7+X510)</x:f>
        <x:v>4296830720</x:v>
      </x:c>
      <x:c r="Z510" s="87" t="n">
        <x:f>T510*'01 Base Costs'!$B$8</x:f>
        <x:v>6005130400</x:v>
      </x:c>
      <x:c r="AA510" s="87" t="n">
        <x:f>Z510*'01 Base Costs'!$B$11</x:f>
        <x:v>300256520</x:v>
      </x:c>
      <x:c r="AB510" s="87" t="n">
        <x:f>Z510-AA510</x:f>
        <x:v>5704873880</x:v>
      </x:c>
      <x:c r="AC510" s="87" t="n">
        <x:f>O510+Y510</x:f>
        <x:v>8553680720</x:v>
      </x:c>
      <x:c r="AD510" s="87" t="n">
        <x:f>AB510-AC510</x:f>
        <x:v>-2848806840</x:v>
      </x:c>
      <x:c r="AE510" s="87" t="n">
        <x:f>AD510/D510</x:f>
        <x:v>-2848806840</x:v>
      </x:c>
      <x:c r="AF510" s="87" t="n">
        <x:f>AD510/P510</x:f>
        <x:v>-1424403420</x:v>
      </x:c>
      <x:c r="AG510" s="87" t="n">
        <x:f>IF(T510=0,0,AC510/T510/(1-'01 Base Costs'!$B$11))</x:f>
        <x:v>1128870918.0172095</x:v>
      </x:c>
      <x:c r="AH510" s="88" t="str">
        <x:f>IF(AD510&gt;0,"PROFIT","LOSS")</x:f>
        <x:v>LOSS</x:v>
      </x:c>
      <x:c r="AI510" s="89" t="str">
        <x:v>Capsuleer Day XXIIII event from screenshot. MCT purchased with PLEX in NES. Base 50-pack average.</x:v>
      </x:c>
    </x:row>
    <x:row r="511">
      <x:c r="A511" s="86" t="n">
        <x:v>509</x:v>
      </x:c>
      <x:c r="B511" s="88" t="str">
        <x:v>Sale/Event</x:v>
      </x:c>
      <x:c r="C511" s="88" t="str">
        <x:v>Capsuleer Day 1M Omega + 100k SP + skin</x:v>
      </x:c>
      <x:c r="D511" s="88" t="n">
        <x:v>1</x:v>
      </x:c>
      <x:c r="E511" s="88" t="n">
        <x:v>2</x:v>
      </x:c>
      <x:c r="F511" s="88" t="str">
        <x:v>NES base MCT</x:v>
      </x:c>
      <x:c r="G511" s="88" t="str">
        <x:v>NES 3-for-2 extractor sale</x:v>
      </x:c>
      <x:c r="H511" s="87" t="n">
        <x:f>'01 Base Costs'!$B$26</x:f>
        <x:v>400</x:v>
      </x:c>
      <x:c r="I511" s="87" t="n">
        <x:f>'01 Base Costs'!$B$16</x:f>
        <x:v>485</x:v>
      </x:c>
      <x:c r="J511" s="87" t="n">
        <x:f>0</x:f>
        <x:v>0</x:v>
      </x:c>
      <x:c r="K511" s="87" t="n">
        <x:f>D511*(E511-1)*I511</x:f>
        <x:v>485</x:v>
      </x:c>
      <x:c r="L511" s="87" t="n">
        <x:f>D511*(E511-1)*J511</x:f>
        <x:v>0</x:v>
      </x:c>
      <x:c r="M511" s="87" t="n">
        <x:f>0</x:f>
        <x:v>0</x:v>
      </x:c>
      <x:c r="N511" s="87" t="n">
        <x:f>H511+K511+M511</x:f>
        <x:v>885</x:v>
      </x:c>
      <x:c r="O511" s="87" t="n">
        <x:f>N511*'01 Base Costs'!$B$7+L511</x:f>
        <x:v>4256850000</x:v>
      </x:c>
      <x:c r="P511" s="87" t="n">
        <x:f>D511*E511</x:f>
        <x:v>2</x:v>
      </x:c>
      <x:c r="Q511" s="87" t="n">
        <x:f>P511*'01 Base Costs'!$B$12</x:f>
        <x:v>3888000</x:v>
      </x:c>
      <x:c r="R511" s="87" t="n">
        <x:f>'01 Base Costs'!$B$13</x:f>
        <x:v>100000</x:v>
      </x:c>
      <x:c r="S511" s="87" t="n">
        <x:f>Q511+R511</x:f>
        <x:v>3988000</x:v>
      </x:c>
      <x:c r="T511" s="141" t="n">
        <x:f>S511/'01 Base Costs'!$B$14</x:f>
        <x:v>7.976</x:v>
      </x:c>
      <x:c r="U511" s="87" t="n">
        <x:f>INT(T511)</x:f>
        <x:v>7</x:v>
      </x:c>
      <x:c r="V511" s="87" t="n">
        <x:f>S511-U511*'01 Base Costs'!$B$14</x:f>
        <x:v>488000</x:v>
      </x:c>
      <x:c r="W511" s="120" t="n">
        <x:f>'01 Base Costs'!$B$17*2/3</x:f>
        <x:v>93.33333333333333</x:v>
      </x:c>
      <x:c r="X511" s="120" t="n">
        <x:f>0</x:f>
        <x:v>0</x:v>
      </x:c>
      <x:c r="Y511" s="87" t="n">
        <x:f>T511*(W511*'01 Base Costs'!$B$7+X511)</x:f>
        <x:v>3580692266.6666665</x:v>
      </x:c>
      <x:c r="Z511" s="87" t="n">
        <x:f>T511*'01 Base Costs'!$B$8</x:f>
        <x:v>6005130400</x:v>
      </x:c>
      <x:c r="AA511" s="87" t="n">
        <x:f>Z511*'01 Base Costs'!$B$11</x:f>
        <x:v>300256520</x:v>
      </x:c>
      <x:c r="AB511" s="87" t="n">
        <x:f>Z511-AA511</x:f>
        <x:v>5704873880</x:v>
      </x:c>
      <x:c r="AC511" s="87" t="n">
        <x:f>O511+Y511</x:f>
        <x:v>7837542266.666666</x:v>
      </x:c>
      <x:c r="AD511" s="87" t="n">
        <x:f>AB511-AC511</x:f>
        <x:v>-2132668386.666666</x:v>
      </x:c>
      <x:c r="AE511" s="87" t="n">
        <x:f>AD511/D511</x:f>
        <x:v>-2132668386.666666</x:v>
      </x:c>
      <x:c r="AF511" s="87" t="n">
        <x:f>AD511/P511</x:f>
        <x:v>-1066334193.333333</x:v>
      </x:c>
      <x:c r="AG511" s="87" t="n">
        <x:f>IF(T511=0,0,AC511/T511/(1-'01 Base Costs'!$B$11))</x:f>
        <x:v>1034358637.3154552</x:v>
      </x:c>
      <x:c r="AH511" s="88" t="str">
        <x:f>IF(AD511&gt;0,"PROFIT","LOSS")</x:f>
        <x:v>LOSS</x:v>
      </x:c>
      <x:c r="AI511" s="89" t="str">
        <x:v>Capsuleer Day XXIIII event from screenshot. MCT purchased with PLEX in NES. Extractor 3-for-2 sale.</x:v>
      </x:c>
    </x:row>
    <x:row r="512">
      <x:c r="A512" s="86" t="n">
        <x:v>510</x:v>
      </x:c>
      <x:c r="B512" s="88" t="str">
        <x:v>Sale/Event</x:v>
      </x:c>
      <x:c r="C512" s="88" t="str">
        <x:v>Capsuleer Day 1M Omega + 100k SP + skin</x:v>
      </x:c>
      <x:c r="D512" s="88" t="n">
        <x:v>1</x:v>
      </x:c>
      <x:c r="E512" s="88" t="n">
        <x:v>2</x:v>
      </x:c>
      <x:c r="F512" s="88" t="str">
        <x:v>NES base MCT</x:v>
      </x:c>
      <x:c r="G512" s="88" t="str">
        <x:v>NES 2-for-1 extractor sale</x:v>
      </x:c>
      <x:c r="H512" s="87" t="n">
        <x:f>'01 Base Costs'!$B$26</x:f>
        <x:v>400</x:v>
      </x:c>
      <x:c r="I512" s="87" t="n">
        <x:f>'01 Base Costs'!$B$16</x:f>
        <x:v>485</x:v>
      </x:c>
      <x:c r="J512" s="87" t="n">
        <x:f>0</x:f>
        <x:v>0</x:v>
      </x:c>
      <x:c r="K512" s="87" t="n">
        <x:f>D512*(E512-1)*I512</x:f>
        <x:v>485</x:v>
      </x:c>
      <x:c r="L512" s="87" t="n">
        <x:f>D512*(E512-1)*J512</x:f>
        <x:v>0</x:v>
      </x:c>
      <x:c r="M512" s="87" t="n">
        <x:f>0</x:f>
        <x:v>0</x:v>
      </x:c>
      <x:c r="N512" s="87" t="n">
        <x:f>H512+K512+M512</x:f>
        <x:v>885</x:v>
      </x:c>
      <x:c r="O512" s="87" t="n">
        <x:f>N512*'01 Base Costs'!$B$7+L512</x:f>
        <x:v>4256850000</x:v>
      </x:c>
      <x:c r="P512" s="87" t="n">
        <x:f>D512*E512</x:f>
        <x:v>2</x:v>
      </x:c>
      <x:c r="Q512" s="87" t="n">
        <x:f>P512*'01 Base Costs'!$B$12</x:f>
        <x:v>3888000</x:v>
      </x:c>
      <x:c r="R512" s="87" t="n">
        <x:f>'01 Base Costs'!$B$13</x:f>
        <x:v>100000</x:v>
      </x:c>
      <x:c r="S512" s="87" t="n">
        <x:f>Q512+R512</x:f>
        <x:v>3988000</x:v>
      </x:c>
      <x:c r="T512" s="141" t="n">
        <x:f>S512/'01 Base Costs'!$B$14</x:f>
        <x:v>7.976</x:v>
      </x:c>
      <x:c r="U512" s="87" t="n">
        <x:f>INT(T512)</x:f>
        <x:v>7</x:v>
      </x:c>
      <x:c r="V512" s="87" t="n">
        <x:f>S512-U512*'01 Base Costs'!$B$14</x:f>
        <x:v>488000</x:v>
      </x:c>
      <x:c r="W512" s="120" t="n">
        <x:f>'01 Base Costs'!$B$17/2</x:f>
        <x:v>70</x:v>
      </x:c>
      <x:c r="X512" s="120" t="n">
        <x:f>0</x:f>
        <x:v>0</x:v>
      </x:c>
      <x:c r="Y512" s="87" t="n">
        <x:f>T512*(W512*'01 Base Costs'!$B$7+X512)</x:f>
        <x:v>2685519200</x:v>
      </x:c>
      <x:c r="Z512" s="87" t="n">
        <x:f>T512*'01 Base Costs'!$B$8</x:f>
        <x:v>6005130400</x:v>
      </x:c>
      <x:c r="AA512" s="87" t="n">
        <x:f>Z512*'01 Base Costs'!$B$11</x:f>
        <x:v>300256520</x:v>
      </x:c>
      <x:c r="AB512" s="87" t="n">
        <x:f>Z512-AA512</x:f>
        <x:v>5704873880</x:v>
      </x:c>
      <x:c r="AC512" s="87" t="n">
        <x:f>O512+Y512</x:f>
        <x:v>6942369200</x:v>
      </x:c>
      <x:c r="AD512" s="87" t="n">
        <x:f>AB512-AC512</x:f>
        <x:v>-1237495320</x:v>
      </x:c>
      <x:c r="AE512" s="87" t="n">
        <x:f>AD512/D512</x:f>
        <x:v>-1237495320</x:v>
      </x:c>
      <x:c r="AF512" s="87" t="n">
        <x:f>AD512/P512</x:f>
        <x:v>-618747660</x:v>
      </x:c>
      <x:c r="AG512" s="87" t="n">
        <x:f>IF(T512=0,0,AC512/T512/(1-'01 Base Costs'!$B$11))</x:f>
        <x:v>916218286.4382622</x:v>
      </x:c>
      <x:c r="AH512" s="88" t="str">
        <x:f>IF(AD512&gt;0,"PROFIT","LOSS")</x:f>
        <x:v>LOSS</x:v>
      </x:c>
      <x:c r="AI512" s="89" t="str">
        <x:v>Capsuleer Day XXIIII event from screenshot. MCT purchased with PLEX in NES. Extractor 2-for-1 sale.</x:v>
      </x:c>
    </x:row>
    <x:row r="513">
      <x:c r="A513" s="86" t="n">
        <x:v>511</x:v>
      </x:c>
      <x:c r="B513" s="88" t="str">
        <x:v>Sale/Event</x:v>
      </x:c>
      <x:c r="C513" s="88" t="str">
        <x:v>Capsuleer Day 1M Omega + 100k SP + skin</x:v>
      </x:c>
      <x:c r="D513" s="88" t="n">
        <x:v>1</x:v>
      </x:c>
      <x:c r="E513" s="88" t="n">
        <x:v>2</x:v>
      </x:c>
      <x:c r="F513" s="88" t="str">
        <x:v>NES base MCT</x:v>
      </x:c>
      <x:c r="G513" s="88" t="str">
        <x:v>NES 10-pack extractor 20% sale</x:v>
      </x:c>
      <x:c r="H513" s="87" t="n">
        <x:f>'01 Base Costs'!$B$26</x:f>
        <x:v>400</x:v>
      </x:c>
      <x:c r="I513" s="87" t="n">
        <x:f>'01 Base Costs'!$B$16</x:f>
        <x:v>485</x:v>
      </x:c>
      <x:c r="J513" s="87" t="n">
        <x:f>0</x:f>
        <x:v>0</x:v>
      </x:c>
      <x:c r="K513" s="87" t="n">
        <x:f>D513*(E513-1)*I513</x:f>
        <x:v>485</x:v>
      </x:c>
      <x:c r="L513" s="87" t="n">
        <x:f>D513*(E513-1)*J513</x:f>
        <x:v>0</x:v>
      </x:c>
      <x:c r="M513" s="87" t="n">
        <x:f>0</x:f>
        <x:v>0</x:v>
      </x:c>
      <x:c r="N513" s="87" t="n">
        <x:f>H513+K513+M513</x:f>
        <x:v>885</x:v>
      </x:c>
      <x:c r="O513" s="87" t="n">
        <x:f>N513*'01 Base Costs'!$B$7+L513</x:f>
        <x:v>4256850000</x:v>
      </x:c>
      <x:c r="P513" s="87" t="n">
        <x:f>D513*E513</x:f>
        <x:v>2</x:v>
      </x:c>
      <x:c r="Q513" s="87" t="n">
        <x:f>P513*'01 Base Costs'!$B$12</x:f>
        <x:v>3888000</x:v>
      </x:c>
      <x:c r="R513" s="87" t="n">
        <x:f>'01 Base Costs'!$B$13</x:f>
        <x:v>100000</x:v>
      </x:c>
      <x:c r="S513" s="87" t="n">
        <x:f>Q513+R513</x:f>
        <x:v>3988000</x:v>
      </x:c>
      <x:c r="T513" s="141" t="n">
        <x:f>S513/'01 Base Costs'!$B$14</x:f>
        <x:v>7.976</x:v>
      </x:c>
      <x:c r="U513" s="87" t="n">
        <x:f>INT(T513)</x:f>
        <x:v>7</x:v>
      </x:c>
      <x:c r="V513" s="87" t="n">
        <x:f>S513-U513*'01 Base Costs'!$B$14</x:f>
        <x:v>488000</x:v>
      </x:c>
      <x:c r="W513" s="120" t="n">
        <x:f>'01 Base Costs'!$B$19*0.8/10</x:f>
        <x:v>95.2</x:v>
      </x:c>
      <x:c r="X513" s="120" t="n">
        <x:f>0</x:f>
        <x:v>0</x:v>
      </x:c>
      <x:c r="Y513" s="87" t="n">
        <x:f>T513*(W513*'01 Base Costs'!$B$7+X513)</x:f>
        <x:v>3652306112</x:v>
      </x:c>
      <x:c r="Z513" s="87" t="n">
        <x:f>T513*'01 Base Costs'!$B$8</x:f>
        <x:v>6005130400</x:v>
      </x:c>
      <x:c r="AA513" s="87" t="n">
        <x:f>Z513*'01 Base Costs'!$B$11</x:f>
        <x:v>300256520</x:v>
      </x:c>
      <x:c r="AB513" s="87" t="n">
        <x:f>Z513-AA513</x:f>
        <x:v>5704873880</x:v>
      </x:c>
      <x:c r="AC513" s="87" t="n">
        <x:f>O513+Y513</x:f>
        <x:v>7909156112</x:v>
      </x:c>
      <x:c r="AD513" s="87" t="n">
        <x:f>AB513-AC513</x:f>
        <x:v>-2204282232</x:v>
      </x:c>
      <x:c r="AE513" s="87" t="n">
        <x:f>AD513/D513</x:f>
        <x:v>-2204282232</x:v>
      </x:c>
      <x:c r="AF513" s="87" t="n">
        <x:f>AD513/P513</x:f>
        <x:v>-1102141116</x:v>
      </x:c>
      <x:c r="AG513" s="87" t="n">
        <x:f>IF(T513=0,0,AC513/T513/(1-'01 Base Costs'!$B$11))</x:f>
        <x:v>1043809865.3856307</x:v>
      </x:c>
      <x:c r="AH513" s="88" t="str">
        <x:f>IF(AD513&gt;0,"PROFIT","LOSS")</x:f>
        <x:v>LOSS</x:v>
      </x:c>
      <x:c r="AI513" s="89" t="str">
        <x:v>Capsuleer Day XXIIII event from screenshot. MCT purchased with PLEX in NES. 10-pack at 20% off.</x:v>
      </x:c>
    </x:row>
    <x:row r="514">
      <x:c r="A514" s="86" t="n">
        <x:v>512</x:v>
      </x:c>
      <x:c r="B514" s="88" t="str">
        <x:v>Sale/Event</x:v>
      </x:c>
      <x:c r="C514" s="88" t="str">
        <x:v>Capsuleer Day 1M Omega + 100k SP + skin</x:v>
      </x:c>
      <x:c r="D514" s="88" t="n">
        <x:v>1</x:v>
      </x:c>
      <x:c r="E514" s="88" t="n">
        <x:v>2</x:v>
      </x:c>
      <x:c r="F514" s="88" t="str">
        <x:v>NES base MCT</x:v>
      </x:c>
      <x:c r="G514" s="88" t="str">
        <x:v>NES 50-pack extractor 20% sale</x:v>
      </x:c>
      <x:c r="H514" s="87" t="n">
        <x:f>'01 Base Costs'!$B$26</x:f>
        <x:v>400</x:v>
      </x:c>
      <x:c r="I514" s="87" t="n">
        <x:f>'01 Base Costs'!$B$16</x:f>
        <x:v>485</x:v>
      </x:c>
      <x:c r="J514" s="87" t="n">
        <x:f>0</x:f>
        <x:v>0</x:v>
      </x:c>
      <x:c r="K514" s="87" t="n">
        <x:f>D514*(E514-1)*I514</x:f>
        <x:v>485</x:v>
      </x:c>
      <x:c r="L514" s="87" t="n">
        <x:f>D514*(E514-1)*J514</x:f>
        <x:v>0</x:v>
      </x:c>
      <x:c r="M514" s="87" t="n">
        <x:f>0</x:f>
        <x:v>0</x:v>
      </x:c>
      <x:c r="N514" s="87" t="n">
        <x:f>H514+K514+M514</x:f>
        <x:v>885</x:v>
      </x:c>
      <x:c r="O514" s="87" t="n">
        <x:f>N514*'01 Base Costs'!$B$7+L514</x:f>
        <x:v>4256850000</x:v>
      </x:c>
      <x:c r="P514" s="87" t="n">
        <x:f>D514*E514</x:f>
        <x:v>2</x:v>
      </x:c>
      <x:c r="Q514" s="87" t="n">
        <x:f>P514*'01 Base Costs'!$B$12</x:f>
        <x:v>3888000</x:v>
      </x:c>
      <x:c r="R514" s="87" t="n">
        <x:f>'01 Base Costs'!$B$13</x:f>
        <x:v>100000</x:v>
      </x:c>
      <x:c r="S514" s="87" t="n">
        <x:f>Q514+R514</x:f>
        <x:v>3988000</x:v>
      </x:c>
      <x:c r="T514" s="141" t="n">
        <x:f>S514/'01 Base Costs'!$B$14</x:f>
        <x:v>7.976</x:v>
      </x:c>
      <x:c r="U514" s="87" t="n">
        <x:f>INT(T514)</x:f>
        <x:v>7</x:v>
      </x:c>
      <x:c r="V514" s="87" t="n">
        <x:f>S514-U514*'01 Base Costs'!$B$14</x:f>
        <x:v>488000</x:v>
      </x:c>
      <x:c r="W514" s="120" t="n">
        <x:f>'01 Base Costs'!$B$20*0.8/50</x:f>
        <x:v>89.6</x:v>
      </x:c>
      <x:c r="X514" s="120" t="n">
        <x:f>0</x:f>
        <x:v>0</x:v>
      </x:c>
      <x:c r="Y514" s="87" t="n">
        <x:f>T514*(W514*'01 Base Costs'!$B$7+X514)</x:f>
        <x:v>3437464576</x:v>
      </x:c>
      <x:c r="Z514" s="87" t="n">
        <x:f>T514*'01 Base Costs'!$B$8</x:f>
        <x:v>6005130400</x:v>
      </x:c>
      <x:c r="AA514" s="87" t="n">
        <x:f>Z514*'01 Base Costs'!$B$11</x:f>
        <x:v>300256520</x:v>
      </x:c>
      <x:c r="AB514" s="87" t="n">
        <x:f>Z514-AA514</x:f>
        <x:v>5704873880</x:v>
      </x:c>
      <x:c r="AC514" s="87" t="n">
        <x:f>O514+Y514</x:f>
        <x:v>7694314576</x:v>
      </x:c>
      <x:c r="AD514" s="87" t="n">
        <x:f>AB514-AC514</x:f>
        <x:v>-1989440696</x:v>
      </x:c>
      <x:c r="AE514" s="87" t="n">
        <x:f>AD514/D514</x:f>
        <x:v>-1989440696</x:v>
      </x:c>
      <x:c r="AF514" s="87" t="n">
        <x:f>AD514/P514</x:f>
        <x:v>-994720348</x:v>
      </x:c>
      <x:c r="AG514" s="87" t="n">
        <x:f>IF(T514=0,0,AC514/T514/(1-'01 Base Costs'!$B$11))</x:f>
        <x:v>1015456181.1751044</x:v>
      </x:c>
      <x:c r="AH514" s="88" t="str">
        <x:f>IF(AD514&gt;0,"PROFIT","LOSS")</x:f>
        <x:v>LOSS</x:v>
      </x:c>
      <x:c r="AI514" s="89" t="str">
        <x:v>Capsuleer Day XXIIII event from screenshot. MCT purchased with PLEX in NES. 50-pack at 20% off.</x:v>
      </x:c>
    </x:row>
    <x:row r="515">
      <x:c r="A515" s="86" t="n">
        <x:v>513</x:v>
      </x:c>
      <x:c r="B515" s="88" t="str">
        <x:v>Sale/Event</x:v>
      </x:c>
      <x:c r="C515" s="88" t="str">
        <x:v>Capsuleer Day 1M Omega + 100k SP + skin</x:v>
      </x:c>
      <x:c r="D515" s="88" t="n">
        <x:v>1</x:v>
      </x:c>
      <x:c r="E515" s="88" t="n">
        <x:v>2</x:v>
      </x:c>
      <x:c r="F515" s="88" t="str">
        <x:v>NES base MCT</x:v>
      </x:c>
      <x:c r="G515" s="88" t="str">
        <x:v>Market Skill Extractor</x:v>
      </x:c>
      <x:c r="H515" s="87" t="n">
        <x:f>'01 Base Costs'!$B$26</x:f>
        <x:v>400</x:v>
      </x:c>
      <x:c r="I515" s="87" t="n">
        <x:f>'01 Base Costs'!$B$16</x:f>
        <x:v>485</x:v>
      </x:c>
      <x:c r="J515" s="87" t="n">
        <x:f>0</x:f>
        <x:v>0</x:v>
      </x:c>
      <x:c r="K515" s="87" t="n">
        <x:f>D515*(E515-1)*I515</x:f>
        <x:v>485</x:v>
      </x:c>
      <x:c r="L515" s="87" t="n">
        <x:f>D515*(E515-1)*J515</x:f>
        <x:v>0</x:v>
      </x:c>
      <x:c r="M515" s="87" t="n">
        <x:f>0</x:f>
        <x:v>0</x:v>
      </x:c>
      <x:c r="N515" s="87" t="n">
        <x:f>H515+K515+M515</x:f>
        <x:v>885</x:v>
      </x:c>
      <x:c r="O515" s="87" t="n">
        <x:f>N515*'01 Base Costs'!$B$7+L515</x:f>
        <x:v>4256850000</x:v>
      </x:c>
      <x:c r="P515" s="87" t="n">
        <x:f>D515*E515</x:f>
        <x:v>2</x:v>
      </x:c>
      <x:c r="Q515" s="87" t="n">
        <x:f>P515*'01 Base Costs'!$B$12</x:f>
        <x:v>3888000</x:v>
      </x:c>
      <x:c r="R515" s="87" t="n">
        <x:f>'01 Base Costs'!$B$13</x:f>
        <x:v>100000</x:v>
      </x:c>
      <x:c r="S515" s="87" t="n">
        <x:f>Q515+R515</x:f>
        <x:v>3988000</x:v>
      </x:c>
      <x:c r="T515" s="141" t="n">
        <x:f>S515/'01 Base Costs'!$B$14</x:f>
        <x:v>7.976</x:v>
      </x:c>
      <x:c r="U515" s="87" t="n">
        <x:f>INT(T515)</x:f>
        <x:v>7</x:v>
      </x:c>
      <x:c r="V515" s="87" t="n">
        <x:f>S515-U515*'01 Base Costs'!$B$14</x:f>
        <x:v>488000</x:v>
      </x:c>
      <x:c r="W515" s="120" t="n">
        <x:f>0</x:f>
        <x:v>0</x:v>
      </x:c>
      <x:c r="X515" s="120" t="n">
        <x:f>'01 Base Costs'!$B$9</x:f>
        <x:v>463500000</x:v>
      </x:c>
      <x:c r="Y515" s="87" t="n">
        <x:f>T515*(W515*'01 Base Costs'!$B$7+X515)</x:f>
        <x:v>3696876000</x:v>
      </x:c>
      <x:c r="Z515" s="87" t="n">
        <x:f>T515*'01 Base Costs'!$B$8</x:f>
        <x:v>6005130400</x:v>
      </x:c>
      <x:c r="AA515" s="87" t="n">
        <x:f>Z515*'01 Base Costs'!$B$11</x:f>
        <x:v>300256520</x:v>
      </x:c>
      <x:c r="AB515" s="87" t="n">
        <x:f>Z515-AA515</x:f>
        <x:v>5704873880</x:v>
      </x:c>
      <x:c r="AC515" s="87" t="n">
        <x:f>O515+Y515</x:f>
        <x:v>7953726000</x:v>
      </x:c>
      <x:c r="AD515" s="87" t="n">
        <x:f>AB515-AC515</x:f>
        <x:v>-2248852120</x:v>
      </x:c>
      <x:c r="AE515" s="87" t="n">
        <x:f>AD515/D515</x:f>
        <x:v>-2248852120</x:v>
      </x:c>
      <x:c r="AF515" s="87" t="n">
        <x:f>AD515/P515</x:f>
        <x:v>-1124426060</x:v>
      </x:c>
      <x:c r="AG515" s="87" t="n">
        <x:f>IF(T515=0,0,AC515/T515/(1-'01 Base Costs'!$B$11))</x:f>
        <x:v>1049691970.6487886</x:v>
      </x:c>
      <x:c r="AH515" s="88" t="str">
        <x:f>IF(AD515&gt;0,"PROFIT","LOSS")</x:f>
        <x:v>LOSS</x:v>
      </x:c>
      <x:c r="AI515" s="89" t="str">
        <x:v>Capsuleer Day XXIIII event from screenshot. MCT purchased with PLEX in NES. Extractor bought on market with ISK.</x:v>
      </x:c>
    </x:row>
    <x:row r="516">
      <x:c r="A516" s="86" t="n">
        <x:v>514</x:v>
      </x:c>
      <x:c r="B516" s="88" t="str">
        <x:v>Sale/Event</x:v>
      </x:c>
      <x:c r="C516" s="88" t="str">
        <x:v>Capsuleer Day 1M Omega + 100k SP + skin</x:v>
      </x:c>
      <x:c r="D516" s="88" t="n">
        <x:v>1</x:v>
      </x:c>
      <x:c r="E516" s="88" t="n">
        <x:v>2</x:v>
      </x:c>
      <x:c r="F516" s="88" t="str">
        <x:v>NES MCT 20% sale</x:v>
      </x:c>
      <x:c r="G516" s="88" t="str">
        <x:v>NES single extractor</x:v>
      </x:c>
      <x:c r="H516" s="87" t="n">
        <x:f>'01 Base Costs'!$B$26</x:f>
        <x:v>400</x:v>
      </x:c>
      <x:c r="I516" s="87" t="n">
        <x:f>'01 Base Costs'!$B$16*0.8</x:f>
        <x:v>388</x:v>
      </x:c>
      <x:c r="J516" s="87" t="n">
        <x:f>0</x:f>
        <x:v>0</x:v>
      </x:c>
      <x:c r="K516" s="87" t="n">
        <x:f>D516*(E516-1)*I516</x:f>
        <x:v>388</x:v>
      </x:c>
      <x:c r="L516" s="87" t="n">
        <x:f>D516*(E516-1)*J516</x:f>
        <x:v>0</x:v>
      </x:c>
      <x:c r="M516" s="87" t="n">
        <x:f>0</x:f>
        <x:v>0</x:v>
      </x:c>
      <x:c r="N516" s="87" t="n">
        <x:f>H516+K516+M516</x:f>
        <x:v>788</x:v>
      </x:c>
      <x:c r="O516" s="87" t="n">
        <x:f>N516*'01 Base Costs'!$B$7+L516</x:f>
        <x:v>3790280000</x:v>
      </x:c>
      <x:c r="P516" s="87" t="n">
        <x:f>D516*E516</x:f>
        <x:v>2</x:v>
      </x:c>
      <x:c r="Q516" s="87" t="n">
        <x:f>P516*'01 Base Costs'!$B$12</x:f>
        <x:v>3888000</x:v>
      </x:c>
      <x:c r="R516" s="87" t="n">
        <x:f>'01 Base Costs'!$B$13</x:f>
        <x:v>100000</x:v>
      </x:c>
      <x:c r="S516" s="87" t="n">
        <x:f>Q516+R516</x:f>
        <x:v>3988000</x:v>
      </x:c>
      <x:c r="T516" s="141" t="n">
        <x:f>S516/'01 Base Costs'!$B$14</x:f>
        <x:v>7.976</x:v>
      </x:c>
      <x:c r="U516" s="87" t="n">
        <x:f>INT(T516)</x:f>
        <x:v>7</x:v>
      </x:c>
      <x:c r="V516" s="87" t="n">
        <x:f>S516-U516*'01 Base Costs'!$B$14</x:f>
        <x:v>488000</x:v>
      </x:c>
      <x:c r="W516" s="120" t="n">
        <x:f>'01 Base Costs'!$B$17</x:f>
        <x:v>140</x:v>
      </x:c>
      <x:c r="X516" s="120" t="n">
        <x:f>0</x:f>
        <x:v>0</x:v>
      </x:c>
      <x:c r="Y516" s="87" t="n">
        <x:f>T516*(W516*'01 Base Costs'!$B$7+X516)</x:f>
        <x:v>5371038400</x:v>
      </x:c>
      <x:c r="Z516" s="87" t="n">
        <x:f>T516*'01 Base Costs'!$B$8</x:f>
        <x:v>6005130400</x:v>
      </x:c>
      <x:c r="AA516" s="87" t="n">
        <x:f>Z516*'01 Base Costs'!$B$11</x:f>
        <x:v>300256520</x:v>
      </x:c>
      <x:c r="AB516" s="87" t="n">
        <x:f>Z516-AA516</x:f>
        <x:v>5704873880</x:v>
      </x:c>
      <x:c r="AC516" s="87" t="n">
        <x:f>O516+Y516</x:f>
        <x:v>9161318400</x:v>
      </x:c>
      <x:c r="AD516" s="87" t="n">
        <x:f>AB516-AC516</x:f>
        <x:v>-3456444520</x:v>
      </x:c>
      <x:c r="AE516" s="87" t="n">
        <x:f>AD516/D516</x:f>
        <x:v>-3456444520</x:v>
      </x:c>
      <x:c r="AF516" s="87" t="n">
        <x:f>AD516/P516</x:f>
        <x:v>-1728222260</x:v>
      </x:c>
      <x:c r="AG516" s="87" t="n">
        <x:f>IF(T516=0,0,AC516/T516/(1-'01 Base Costs'!$B$11))</x:f>
        <x:v>1209063823.0480917</x:v>
      </x:c>
      <x:c r="AH516" s="88" t="str">
        <x:f>IF(AD516&gt;0,"PROFIT","LOSS")</x:f>
        <x:v>LOSS</x:v>
      </x:c>
      <x:c r="AI516" s="89" t="str">
        <x:v>Capsuleer Day XXIIII event from screenshot. MCT sale 20% off. Base single extractor.</x:v>
      </x:c>
    </x:row>
    <x:row r="517">
      <x:c r="A517" s="86" t="n">
        <x:v>515</x:v>
      </x:c>
      <x:c r="B517" s="88" t="str">
        <x:v>Sale/Event</x:v>
      </x:c>
      <x:c r="C517" s="88" t="str">
        <x:v>Capsuleer Day 1M Omega + 100k SP + skin</x:v>
      </x:c>
      <x:c r="D517" s="88" t="n">
        <x:v>1</x:v>
      </x:c>
      <x:c r="E517" s="88" t="n">
        <x:v>2</x:v>
      </x:c>
      <x:c r="F517" s="88" t="str">
        <x:v>NES MCT 20% sale</x:v>
      </x:c>
      <x:c r="G517" s="88" t="str">
        <x:v>NES 5-pack extractor</x:v>
      </x:c>
      <x:c r="H517" s="87" t="n">
        <x:f>'01 Base Costs'!$B$26</x:f>
        <x:v>400</x:v>
      </x:c>
      <x:c r="I517" s="87" t="n">
        <x:f>'01 Base Costs'!$B$16*0.8</x:f>
        <x:v>388</x:v>
      </x:c>
      <x:c r="J517" s="87" t="n">
        <x:f>0</x:f>
        <x:v>0</x:v>
      </x:c>
      <x:c r="K517" s="87" t="n">
        <x:f>D517*(E517-1)*I517</x:f>
        <x:v>388</x:v>
      </x:c>
      <x:c r="L517" s="87" t="n">
        <x:f>D517*(E517-1)*J517</x:f>
        <x:v>0</x:v>
      </x:c>
      <x:c r="M517" s="87" t="n">
        <x:f>0</x:f>
        <x:v>0</x:v>
      </x:c>
      <x:c r="N517" s="87" t="n">
        <x:f>H517+K517+M517</x:f>
        <x:v>788</x:v>
      </x:c>
      <x:c r="O517" s="87" t="n">
        <x:f>N517*'01 Base Costs'!$B$7+L517</x:f>
        <x:v>3790280000</x:v>
      </x:c>
      <x:c r="P517" s="87" t="n">
        <x:f>D517*E517</x:f>
        <x:v>2</x:v>
      </x:c>
      <x:c r="Q517" s="87" t="n">
        <x:f>P517*'01 Base Costs'!$B$12</x:f>
        <x:v>3888000</x:v>
      </x:c>
      <x:c r="R517" s="87" t="n">
        <x:f>'01 Base Costs'!$B$13</x:f>
        <x:v>100000</x:v>
      </x:c>
      <x:c r="S517" s="87" t="n">
        <x:f>Q517+R517</x:f>
        <x:v>3988000</x:v>
      </x:c>
      <x:c r="T517" s="141" t="n">
        <x:f>S517/'01 Base Costs'!$B$14</x:f>
        <x:v>7.976</x:v>
      </x:c>
      <x:c r="U517" s="87" t="n">
        <x:f>INT(T517)</x:f>
        <x:v>7</x:v>
      </x:c>
      <x:c r="V517" s="87" t="n">
        <x:f>S517-U517*'01 Base Costs'!$B$14</x:f>
        <x:v>488000</x:v>
      </x:c>
      <x:c r="W517" s="120" t="n">
        <x:f>'01 Base Costs'!$B$18/5</x:f>
        <x:v>126</x:v>
      </x:c>
      <x:c r="X517" s="120" t="n">
        <x:f>0</x:f>
        <x:v>0</x:v>
      </x:c>
      <x:c r="Y517" s="87" t="n">
        <x:f>T517*(W517*'01 Base Costs'!$B$7+X517)</x:f>
        <x:v>4833934560</x:v>
      </x:c>
      <x:c r="Z517" s="87" t="n">
        <x:f>T517*'01 Base Costs'!$B$8</x:f>
        <x:v>6005130400</x:v>
      </x:c>
      <x:c r="AA517" s="87" t="n">
        <x:f>Z517*'01 Base Costs'!$B$11</x:f>
        <x:v>300256520</x:v>
      </x:c>
      <x:c r="AB517" s="87" t="n">
        <x:f>Z517-AA517</x:f>
        <x:v>5704873880</x:v>
      </x:c>
      <x:c r="AC517" s="87" t="n">
        <x:f>O517+Y517</x:f>
        <x:v>8624214560</x:v>
      </x:c>
      <x:c r="AD517" s="87" t="n">
        <x:f>AB517-AC517</x:f>
        <x:v>-2919340680</x:v>
      </x:c>
      <x:c r="AE517" s="87" t="n">
        <x:f>AD517/D517</x:f>
        <x:v>-2919340680</x:v>
      </x:c>
      <x:c r="AF517" s="87" t="n">
        <x:f>AD517/P517</x:f>
        <x:v>-1459670340</x:v>
      </x:c>
      <x:c r="AG517" s="87" t="n">
        <x:f>IF(T517=0,0,AC517/T517/(1-'01 Base Costs'!$B$11))</x:f>
        <x:v>1138179612.521776</x:v>
      </x:c>
      <x:c r="AH517" s="88" t="str">
        <x:f>IF(AD517&gt;0,"PROFIT","LOSS")</x:f>
        <x:v>LOSS</x:v>
      </x:c>
      <x:c r="AI517" s="89" t="str">
        <x:v>Capsuleer Day XXIIII event from screenshot. MCT sale 20% off. Base 5-pack average.</x:v>
      </x:c>
    </x:row>
    <x:row r="518">
      <x:c r="A518" s="86" t="n">
        <x:v>516</x:v>
      </x:c>
      <x:c r="B518" s="88" t="str">
        <x:v>Sale/Event</x:v>
      </x:c>
      <x:c r="C518" s="88" t="str">
        <x:v>Capsuleer Day 1M Omega + 100k SP + skin</x:v>
      </x:c>
      <x:c r="D518" s="88" t="n">
        <x:v>1</x:v>
      </x:c>
      <x:c r="E518" s="88" t="n">
        <x:v>2</x:v>
      </x:c>
      <x:c r="F518" s="88" t="str">
        <x:v>NES MCT 20% sale</x:v>
      </x:c>
      <x:c r="G518" s="88" t="str">
        <x:v>NES 10-pack extractor</x:v>
      </x:c>
      <x:c r="H518" s="87" t="n">
        <x:f>'01 Base Costs'!$B$26</x:f>
        <x:v>400</x:v>
      </x:c>
      <x:c r="I518" s="87" t="n">
        <x:f>'01 Base Costs'!$B$16*0.8</x:f>
        <x:v>388</x:v>
      </x:c>
      <x:c r="J518" s="87" t="n">
        <x:f>0</x:f>
        <x:v>0</x:v>
      </x:c>
      <x:c r="K518" s="87" t="n">
        <x:f>D518*(E518-1)*I518</x:f>
        <x:v>388</x:v>
      </x:c>
      <x:c r="L518" s="87" t="n">
        <x:f>D518*(E518-1)*J518</x:f>
        <x:v>0</x:v>
      </x:c>
      <x:c r="M518" s="87" t="n">
        <x:f>0</x:f>
        <x:v>0</x:v>
      </x:c>
      <x:c r="N518" s="87" t="n">
        <x:f>H518+K518+M518</x:f>
        <x:v>788</x:v>
      </x:c>
      <x:c r="O518" s="87" t="n">
        <x:f>N518*'01 Base Costs'!$B$7+L518</x:f>
        <x:v>3790280000</x:v>
      </x:c>
      <x:c r="P518" s="87" t="n">
        <x:f>D518*E518</x:f>
        <x:v>2</x:v>
      </x:c>
      <x:c r="Q518" s="87" t="n">
        <x:f>P518*'01 Base Costs'!$B$12</x:f>
        <x:v>3888000</x:v>
      </x:c>
      <x:c r="R518" s="87" t="n">
        <x:f>'01 Base Costs'!$B$13</x:f>
        <x:v>100000</x:v>
      </x:c>
      <x:c r="S518" s="87" t="n">
        <x:f>Q518+R518</x:f>
        <x:v>3988000</x:v>
      </x:c>
      <x:c r="T518" s="141" t="n">
        <x:f>S518/'01 Base Costs'!$B$14</x:f>
        <x:v>7.976</x:v>
      </x:c>
      <x:c r="U518" s="87" t="n">
        <x:f>INT(T518)</x:f>
        <x:v>7</x:v>
      </x:c>
      <x:c r="V518" s="87" t="n">
        <x:f>S518-U518*'01 Base Costs'!$B$14</x:f>
        <x:v>488000</x:v>
      </x:c>
      <x:c r="W518" s="120" t="n">
        <x:f>'01 Base Costs'!$B$19/10</x:f>
        <x:v>119</x:v>
      </x:c>
      <x:c r="X518" s="120" t="n">
        <x:f>0</x:f>
        <x:v>0</x:v>
      </x:c>
      <x:c r="Y518" s="87" t="n">
        <x:f>T518*(W518*'01 Base Costs'!$B$7+X518)</x:f>
        <x:v>4565382640</x:v>
      </x:c>
      <x:c r="Z518" s="87" t="n">
        <x:f>T518*'01 Base Costs'!$B$8</x:f>
        <x:v>6005130400</x:v>
      </x:c>
      <x:c r="AA518" s="87" t="n">
        <x:f>Z518*'01 Base Costs'!$B$11</x:f>
        <x:v>300256520</x:v>
      </x:c>
      <x:c r="AB518" s="87" t="n">
        <x:f>Z518-AA518</x:f>
        <x:v>5704873880</x:v>
      </x:c>
      <x:c r="AC518" s="87" t="n">
        <x:f>O518+Y518</x:f>
        <x:v>8355662640</x:v>
      </x:c>
      <x:c r="AD518" s="87" t="n">
        <x:f>AB518-AC518</x:f>
        <x:v>-2650788760</x:v>
      </x:c>
      <x:c r="AE518" s="87" t="n">
        <x:f>AD518/D518</x:f>
        <x:v>-2650788760</x:v>
      </x:c>
      <x:c r="AF518" s="87" t="n">
        <x:f>AD518/P518</x:f>
        <x:v>-1325394380</x:v>
      </x:c>
      <x:c r="AG518" s="87" t="n">
        <x:f>IF(T518=0,0,AC518/T518/(1-'01 Base Costs'!$B$11))</x:f>
        <x:v>1102737507.258618</x:v>
      </x:c>
      <x:c r="AH518" s="88" t="str">
        <x:f>IF(AD518&gt;0,"PROFIT","LOSS")</x:f>
        <x:v>LOSS</x:v>
      </x:c>
      <x:c r="AI518" s="89" t="str">
        <x:v>Capsuleer Day XXIIII event from screenshot. MCT sale 20% off. Base 10-pack average.</x:v>
      </x:c>
    </x:row>
    <x:row r="519">
      <x:c r="A519" s="86" t="n">
        <x:v>517</x:v>
      </x:c>
      <x:c r="B519" s="88" t="str">
        <x:v>Sale/Event</x:v>
      </x:c>
      <x:c r="C519" s="88" t="str">
        <x:v>Capsuleer Day 1M Omega + 100k SP + skin</x:v>
      </x:c>
      <x:c r="D519" s="88" t="n">
        <x:v>1</x:v>
      </x:c>
      <x:c r="E519" s="88" t="n">
        <x:v>2</x:v>
      </x:c>
      <x:c r="F519" s="88" t="str">
        <x:v>NES MCT 20% sale</x:v>
      </x:c>
      <x:c r="G519" s="88" t="str">
        <x:v>NES 50-pack extractor</x:v>
      </x:c>
      <x:c r="H519" s="87" t="n">
        <x:f>'01 Base Costs'!$B$26</x:f>
        <x:v>400</x:v>
      </x:c>
      <x:c r="I519" s="87" t="n">
        <x:f>'01 Base Costs'!$B$16*0.8</x:f>
        <x:v>388</x:v>
      </x:c>
      <x:c r="J519" s="87" t="n">
        <x:f>0</x:f>
        <x:v>0</x:v>
      </x:c>
      <x:c r="K519" s="87" t="n">
        <x:f>D519*(E519-1)*I519</x:f>
        <x:v>388</x:v>
      </x:c>
      <x:c r="L519" s="87" t="n">
        <x:f>D519*(E519-1)*J519</x:f>
        <x:v>0</x:v>
      </x:c>
      <x:c r="M519" s="87" t="n">
        <x:f>0</x:f>
        <x:v>0</x:v>
      </x:c>
      <x:c r="N519" s="87" t="n">
        <x:f>H519+K519+M519</x:f>
        <x:v>788</x:v>
      </x:c>
      <x:c r="O519" s="87" t="n">
        <x:f>N519*'01 Base Costs'!$B$7+L519</x:f>
        <x:v>3790280000</x:v>
      </x:c>
      <x:c r="P519" s="87" t="n">
        <x:f>D519*E519</x:f>
        <x:v>2</x:v>
      </x:c>
      <x:c r="Q519" s="87" t="n">
        <x:f>P519*'01 Base Costs'!$B$12</x:f>
        <x:v>3888000</x:v>
      </x:c>
      <x:c r="R519" s="87" t="n">
        <x:f>'01 Base Costs'!$B$13</x:f>
        <x:v>100000</x:v>
      </x:c>
      <x:c r="S519" s="87" t="n">
        <x:f>Q519+R519</x:f>
        <x:v>3988000</x:v>
      </x:c>
      <x:c r="T519" s="141" t="n">
        <x:f>S519/'01 Base Costs'!$B$14</x:f>
        <x:v>7.976</x:v>
      </x:c>
      <x:c r="U519" s="87" t="n">
        <x:f>INT(T519)</x:f>
        <x:v>7</x:v>
      </x:c>
      <x:c r="V519" s="87" t="n">
        <x:f>S519-U519*'01 Base Costs'!$B$14</x:f>
        <x:v>488000</x:v>
      </x:c>
      <x:c r="W519" s="120" t="n">
        <x:f>'01 Base Costs'!$B$20/50</x:f>
        <x:v>112</x:v>
      </x:c>
      <x:c r="X519" s="120" t="n">
        <x:f>0</x:f>
        <x:v>0</x:v>
      </x:c>
      <x:c r="Y519" s="87" t="n">
        <x:f>T519*(W519*'01 Base Costs'!$B$7+X519)</x:f>
        <x:v>4296830720</x:v>
      </x:c>
      <x:c r="Z519" s="87" t="n">
        <x:f>T519*'01 Base Costs'!$B$8</x:f>
        <x:v>6005130400</x:v>
      </x:c>
      <x:c r="AA519" s="87" t="n">
        <x:f>Z519*'01 Base Costs'!$B$11</x:f>
        <x:v>300256520</x:v>
      </x:c>
      <x:c r="AB519" s="87" t="n">
        <x:f>Z519-AA519</x:f>
        <x:v>5704873880</x:v>
      </x:c>
      <x:c r="AC519" s="87" t="n">
        <x:f>O519+Y519</x:f>
        <x:v>8087110720</x:v>
      </x:c>
      <x:c r="AD519" s="87" t="n">
        <x:f>AB519-AC519</x:f>
        <x:v>-2382236840</x:v>
      </x:c>
      <x:c r="AE519" s="87" t="n">
        <x:f>AD519/D519</x:f>
        <x:v>-2382236840</x:v>
      </x:c>
      <x:c r="AF519" s="87" t="n">
        <x:f>AD519/P519</x:f>
        <x:v>-1191118420</x:v>
      </x:c>
      <x:c r="AG519" s="87" t="n">
        <x:f>IF(T519=0,0,AC519/T519/(1-'01 Base Costs'!$B$11))</x:f>
        <x:v>1067295401.9954602</x:v>
      </x:c>
      <x:c r="AH519" s="88" t="str">
        <x:f>IF(AD519&gt;0,"PROFIT","LOSS")</x:f>
        <x:v>LOSS</x:v>
      </x:c>
      <x:c r="AI519" s="89" t="str">
        <x:v>Capsuleer Day XXIIII event from screenshot. MCT sale 20% off. Base 50-pack average.</x:v>
      </x:c>
    </x:row>
    <x:row r="520">
      <x:c r="A520" s="86" t="n">
        <x:v>518</x:v>
      </x:c>
      <x:c r="B520" s="88" t="str">
        <x:v>Sale/Event</x:v>
      </x:c>
      <x:c r="C520" s="88" t="str">
        <x:v>Capsuleer Day 1M Omega + 100k SP + skin</x:v>
      </x:c>
      <x:c r="D520" s="88" t="n">
        <x:v>1</x:v>
      </x:c>
      <x:c r="E520" s="88" t="n">
        <x:v>2</x:v>
      </x:c>
      <x:c r="F520" s="88" t="str">
        <x:v>NES MCT 20% sale</x:v>
      </x:c>
      <x:c r="G520" s="88" t="str">
        <x:v>NES 3-for-2 extractor sale</x:v>
      </x:c>
      <x:c r="H520" s="87" t="n">
        <x:f>'01 Base Costs'!$B$26</x:f>
        <x:v>400</x:v>
      </x:c>
      <x:c r="I520" s="87" t="n">
        <x:f>'01 Base Costs'!$B$16*0.8</x:f>
        <x:v>388</x:v>
      </x:c>
      <x:c r="J520" s="87" t="n">
        <x:f>0</x:f>
        <x:v>0</x:v>
      </x:c>
      <x:c r="K520" s="87" t="n">
        <x:f>D520*(E520-1)*I520</x:f>
        <x:v>388</x:v>
      </x:c>
      <x:c r="L520" s="87" t="n">
        <x:f>D520*(E520-1)*J520</x:f>
        <x:v>0</x:v>
      </x:c>
      <x:c r="M520" s="87" t="n">
        <x:f>0</x:f>
        <x:v>0</x:v>
      </x:c>
      <x:c r="N520" s="87" t="n">
        <x:f>H520+K520+M520</x:f>
        <x:v>788</x:v>
      </x:c>
      <x:c r="O520" s="87" t="n">
        <x:f>N520*'01 Base Costs'!$B$7+L520</x:f>
        <x:v>3790280000</x:v>
      </x:c>
      <x:c r="P520" s="87" t="n">
        <x:f>D520*E520</x:f>
        <x:v>2</x:v>
      </x:c>
      <x:c r="Q520" s="87" t="n">
        <x:f>P520*'01 Base Costs'!$B$12</x:f>
        <x:v>3888000</x:v>
      </x:c>
      <x:c r="R520" s="87" t="n">
        <x:f>'01 Base Costs'!$B$13</x:f>
        <x:v>100000</x:v>
      </x:c>
      <x:c r="S520" s="87" t="n">
        <x:f>Q520+R520</x:f>
        <x:v>3988000</x:v>
      </x:c>
      <x:c r="T520" s="141" t="n">
        <x:f>S520/'01 Base Costs'!$B$14</x:f>
        <x:v>7.976</x:v>
      </x:c>
      <x:c r="U520" s="87" t="n">
        <x:f>INT(T520)</x:f>
        <x:v>7</x:v>
      </x:c>
      <x:c r="V520" s="87" t="n">
        <x:f>S520-U520*'01 Base Costs'!$B$14</x:f>
        <x:v>488000</x:v>
      </x:c>
      <x:c r="W520" s="120" t="n">
        <x:f>'01 Base Costs'!$B$17*2/3</x:f>
        <x:v>93.33333333333333</x:v>
      </x:c>
      <x:c r="X520" s="120" t="n">
        <x:f>0</x:f>
        <x:v>0</x:v>
      </x:c>
      <x:c r="Y520" s="87" t="n">
        <x:f>T520*(W520*'01 Base Costs'!$B$7+X520)</x:f>
        <x:v>3580692266.6666665</x:v>
      </x:c>
      <x:c r="Z520" s="87" t="n">
        <x:f>T520*'01 Base Costs'!$B$8</x:f>
        <x:v>6005130400</x:v>
      </x:c>
      <x:c r="AA520" s="87" t="n">
        <x:f>Z520*'01 Base Costs'!$B$11</x:f>
        <x:v>300256520</x:v>
      </x:c>
      <x:c r="AB520" s="87" t="n">
        <x:f>Z520-AA520</x:f>
        <x:v>5704873880</x:v>
      </x:c>
      <x:c r="AC520" s="87" t="n">
        <x:f>O520+Y520</x:f>
        <x:v>7370972266.666666</x:v>
      </x:c>
      <x:c r="AD520" s="87" t="n">
        <x:f>AB520-AC520</x:f>
        <x:v>-1666098386.666666</x:v>
      </x:c>
      <x:c r="AE520" s="87" t="n">
        <x:f>AD520/D520</x:f>
        <x:v>-1666098386.666666</x:v>
      </x:c>
      <x:c r="AF520" s="87" t="n">
        <x:f>AD520/P520</x:f>
        <x:v>-833049193.333333</x:v>
      </x:c>
      <x:c r="AG520" s="87" t="n">
        <x:f>IF(T520=0,0,AC520/T520/(1-'01 Base Costs'!$B$11))</x:f>
        <x:v>972783121.2937057</x:v>
      </x:c>
      <x:c r="AH520" s="88" t="str">
        <x:f>IF(AD520&gt;0,"PROFIT","LOSS")</x:f>
        <x:v>LOSS</x:v>
      </x:c>
      <x:c r="AI520" s="89" t="str">
        <x:v>Capsuleer Day XXIIII event from screenshot. MCT sale 20% off. Extractor 3-for-2 sale.</x:v>
      </x:c>
    </x:row>
    <x:row r="521">
      <x:c r="A521" s="86" t="n">
        <x:v>519</x:v>
      </x:c>
      <x:c r="B521" s="88" t="str">
        <x:v>Sale/Event</x:v>
      </x:c>
      <x:c r="C521" s="88" t="str">
        <x:v>Capsuleer Day 1M Omega + 100k SP + skin</x:v>
      </x:c>
      <x:c r="D521" s="88" t="n">
        <x:v>1</x:v>
      </x:c>
      <x:c r="E521" s="88" t="n">
        <x:v>2</x:v>
      </x:c>
      <x:c r="F521" s="88" t="str">
        <x:v>NES MCT 20% sale</x:v>
      </x:c>
      <x:c r="G521" s="88" t="str">
        <x:v>NES 2-for-1 extractor sale</x:v>
      </x:c>
      <x:c r="H521" s="87" t="n">
        <x:f>'01 Base Costs'!$B$26</x:f>
        <x:v>400</x:v>
      </x:c>
      <x:c r="I521" s="87" t="n">
        <x:f>'01 Base Costs'!$B$16*0.8</x:f>
        <x:v>388</x:v>
      </x:c>
      <x:c r="J521" s="87" t="n">
        <x:f>0</x:f>
        <x:v>0</x:v>
      </x:c>
      <x:c r="K521" s="87" t="n">
        <x:f>D521*(E521-1)*I521</x:f>
        <x:v>388</x:v>
      </x:c>
      <x:c r="L521" s="87" t="n">
        <x:f>D521*(E521-1)*J521</x:f>
        <x:v>0</x:v>
      </x:c>
      <x:c r="M521" s="87" t="n">
        <x:f>0</x:f>
        <x:v>0</x:v>
      </x:c>
      <x:c r="N521" s="87" t="n">
        <x:f>H521+K521+M521</x:f>
        <x:v>788</x:v>
      </x:c>
      <x:c r="O521" s="87" t="n">
        <x:f>N521*'01 Base Costs'!$B$7+L521</x:f>
        <x:v>3790280000</x:v>
      </x:c>
      <x:c r="P521" s="87" t="n">
        <x:f>D521*E521</x:f>
        <x:v>2</x:v>
      </x:c>
      <x:c r="Q521" s="87" t="n">
        <x:f>P521*'01 Base Costs'!$B$12</x:f>
        <x:v>3888000</x:v>
      </x:c>
      <x:c r="R521" s="87" t="n">
        <x:f>'01 Base Costs'!$B$13</x:f>
        <x:v>100000</x:v>
      </x:c>
      <x:c r="S521" s="87" t="n">
        <x:f>Q521+R521</x:f>
        <x:v>3988000</x:v>
      </x:c>
      <x:c r="T521" s="141" t="n">
        <x:f>S521/'01 Base Costs'!$B$14</x:f>
        <x:v>7.976</x:v>
      </x:c>
      <x:c r="U521" s="87" t="n">
        <x:f>INT(T521)</x:f>
        <x:v>7</x:v>
      </x:c>
      <x:c r="V521" s="87" t="n">
        <x:f>S521-U521*'01 Base Costs'!$B$14</x:f>
        <x:v>488000</x:v>
      </x:c>
      <x:c r="W521" s="120" t="n">
        <x:f>'01 Base Costs'!$B$17/2</x:f>
        <x:v>70</x:v>
      </x:c>
      <x:c r="X521" s="120" t="n">
        <x:f>0</x:f>
        <x:v>0</x:v>
      </x:c>
      <x:c r="Y521" s="87" t="n">
        <x:f>T521*(W521*'01 Base Costs'!$B$7+X521)</x:f>
        <x:v>2685519200</x:v>
      </x:c>
      <x:c r="Z521" s="87" t="n">
        <x:f>T521*'01 Base Costs'!$B$8</x:f>
        <x:v>6005130400</x:v>
      </x:c>
      <x:c r="AA521" s="87" t="n">
        <x:f>Z521*'01 Base Costs'!$B$11</x:f>
        <x:v>300256520</x:v>
      </x:c>
      <x:c r="AB521" s="87" t="n">
        <x:f>Z521-AA521</x:f>
        <x:v>5704873880</x:v>
      </x:c>
      <x:c r="AC521" s="87" t="n">
        <x:f>O521+Y521</x:f>
        <x:v>6475799200</x:v>
      </x:c>
      <x:c r="AD521" s="87" t="n">
        <x:f>AB521-AC521</x:f>
        <x:v>-770925320</x:v>
      </x:c>
      <x:c r="AE521" s="87" t="n">
        <x:f>AD521/D521</x:f>
        <x:v>-770925320</x:v>
      </x:c>
      <x:c r="AF521" s="87" t="n">
        <x:f>AD521/P521</x:f>
        <x:v>-385462660</x:v>
      </x:c>
      <x:c r="AG521" s="87" t="n">
        <x:f>IF(T521=0,0,AC521/T521/(1-'01 Base Costs'!$B$11))</x:f>
        <x:v>854642770.4165127</x:v>
      </x:c>
      <x:c r="AH521" s="88" t="str">
        <x:f>IF(AD521&gt;0,"PROFIT","LOSS")</x:f>
        <x:v>LOSS</x:v>
      </x:c>
      <x:c r="AI521" s="89" t="str">
        <x:v>Capsuleer Day XXIIII event from screenshot. MCT sale 20% off. Extractor 2-for-1 sale.</x:v>
      </x:c>
    </x:row>
    <x:row r="522">
      <x:c r="A522" s="86" t="n">
        <x:v>520</x:v>
      </x:c>
      <x:c r="B522" s="88" t="str">
        <x:v>Sale/Event</x:v>
      </x:c>
      <x:c r="C522" s="88" t="str">
        <x:v>Capsuleer Day 1M Omega + 100k SP + skin</x:v>
      </x:c>
      <x:c r="D522" s="88" t="n">
        <x:v>1</x:v>
      </x:c>
      <x:c r="E522" s="88" t="n">
        <x:v>2</x:v>
      </x:c>
      <x:c r="F522" s="88" t="str">
        <x:v>NES MCT 20% sale</x:v>
      </x:c>
      <x:c r="G522" s="88" t="str">
        <x:v>NES 10-pack extractor 20% sale</x:v>
      </x:c>
      <x:c r="H522" s="87" t="n">
        <x:f>'01 Base Costs'!$B$26</x:f>
        <x:v>400</x:v>
      </x:c>
      <x:c r="I522" s="87" t="n">
        <x:f>'01 Base Costs'!$B$16*0.8</x:f>
        <x:v>388</x:v>
      </x:c>
      <x:c r="J522" s="87" t="n">
        <x:f>0</x:f>
        <x:v>0</x:v>
      </x:c>
      <x:c r="K522" s="87" t="n">
        <x:f>D522*(E522-1)*I522</x:f>
        <x:v>388</x:v>
      </x:c>
      <x:c r="L522" s="87" t="n">
        <x:f>D522*(E522-1)*J522</x:f>
        <x:v>0</x:v>
      </x:c>
      <x:c r="M522" s="87" t="n">
        <x:f>0</x:f>
        <x:v>0</x:v>
      </x:c>
      <x:c r="N522" s="87" t="n">
        <x:f>H522+K522+M522</x:f>
        <x:v>788</x:v>
      </x:c>
      <x:c r="O522" s="87" t="n">
        <x:f>N522*'01 Base Costs'!$B$7+L522</x:f>
        <x:v>3790280000</x:v>
      </x:c>
      <x:c r="P522" s="87" t="n">
        <x:f>D522*E522</x:f>
        <x:v>2</x:v>
      </x:c>
      <x:c r="Q522" s="87" t="n">
        <x:f>P522*'01 Base Costs'!$B$12</x:f>
        <x:v>3888000</x:v>
      </x:c>
      <x:c r="R522" s="87" t="n">
        <x:f>'01 Base Costs'!$B$13</x:f>
        <x:v>100000</x:v>
      </x:c>
      <x:c r="S522" s="87" t="n">
        <x:f>Q522+R522</x:f>
        <x:v>3988000</x:v>
      </x:c>
      <x:c r="T522" s="141" t="n">
        <x:f>S522/'01 Base Costs'!$B$14</x:f>
        <x:v>7.976</x:v>
      </x:c>
      <x:c r="U522" s="87" t="n">
        <x:f>INT(T522)</x:f>
        <x:v>7</x:v>
      </x:c>
      <x:c r="V522" s="87" t="n">
        <x:f>S522-U522*'01 Base Costs'!$B$14</x:f>
        <x:v>488000</x:v>
      </x:c>
      <x:c r="W522" s="120" t="n">
        <x:f>'01 Base Costs'!$B$19*0.8/10</x:f>
        <x:v>95.2</x:v>
      </x:c>
      <x:c r="X522" s="120" t="n">
        <x:f>0</x:f>
        <x:v>0</x:v>
      </x:c>
      <x:c r="Y522" s="87" t="n">
        <x:f>T522*(W522*'01 Base Costs'!$B$7+X522)</x:f>
        <x:v>3652306112</x:v>
      </x:c>
      <x:c r="Z522" s="87" t="n">
        <x:f>T522*'01 Base Costs'!$B$8</x:f>
        <x:v>6005130400</x:v>
      </x:c>
      <x:c r="AA522" s="87" t="n">
        <x:f>Z522*'01 Base Costs'!$B$11</x:f>
        <x:v>300256520</x:v>
      </x:c>
      <x:c r="AB522" s="87" t="n">
        <x:f>Z522-AA522</x:f>
        <x:v>5704873880</x:v>
      </x:c>
      <x:c r="AC522" s="87" t="n">
        <x:f>O522+Y522</x:f>
        <x:v>7442586112</x:v>
      </x:c>
      <x:c r="AD522" s="87" t="n">
        <x:f>AB522-AC522</x:f>
        <x:v>-1737712232</x:v>
      </x:c>
      <x:c r="AE522" s="87" t="n">
        <x:f>AD522/D522</x:f>
        <x:v>-1737712232</x:v>
      </x:c>
      <x:c r="AF522" s="87" t="n">
        <x:f>AD522/P522</x:f>
        <x:v>-868856116</x:v>
      </x:c>
      <x:c r="AG522" s="87" t="n">
        <x:f>IF(T522=0,0,AC522/T522/(1-'01 Base Costs'!$B$11))</x:f>
        <x:v>982234349.3638812</x:v>
      </x:c>
      <x:c r="AH522" s="88" t="str">
        <x:f>IF(AD522&gt;0,"PROFIT","LOSS")</x:f>
        <x:v>LOSS</x:v>
      </x:c>
      <x:c r="AI522" s="89" t="str">
        <x:v>Capsuleer Day XXIIII event from screenshot. MCT sale 20% off. 10-pack at 20% off.</x:v>
      </x:c>
    </x:row>
    <x:row r="523">
      <x:c r="A523" s="86" t="n">
        <x:v>521</x:v>
      </x:c>
      <x:c r="B523" s="88" t="str">
        <x:v>Sale/Event</x:v>
      </x:c>
      <x:c r="C523" s="88" t="str">
        <x:v>Capsuleer Day 1M Omega + 100k SP + skin</x:v>
      </x:c>
      <x:c r="D523" s="88" t="n">
        <x:v>1</x:v>
      </x:c>
      <x:c r="E523" s="88" t="n">
        <x:v>2</x:v>
      </x:c>
      <x:c r="F523" s="88" t="str">
        <x:v>NES MCT 20% sale</x:v>
      </x:c>
      <x:c r="G523" s="88" t="str">
        <x:v>NES 50-pack extractor 20% sale</x:v>
      </x:c>
      <x:c r="H523" s="87" t="n">
        <x:f>'01 Base Costs'!$B$26</x:f>
        <x:v>400</x:v>
      </x:c>
      <x:c r="I523" s="87" t="n">
        <x:f>'01 Base Costs'!$B$16*0.8</x:f>
        <x:v>388</x:v>
      </x:c>
      <x:c r="J523" s="87" t="n">
        <x:f>0</x:f>
        <x:v>0</x:v>
      </x:c>
      <x:c r="K523" s="87" t="n">
        <x:f>D523*(E523-1)*I523</x:f>
        <x:v>388</x:v>
      </x:c>
      <x:c r="L523" s="87" t="n">
        <x:f>D523*(E523-1)*J523</x:f>
        <x:v>0</x:v>
      </x:c>
      <x:c r="M523" s="87" t="n">
        <x:f>0</x:f>
        <x:v>0</x:v>
      </x:c>
      <x:c r="N523" s="87" t="n">
        <x:f>H523+K523+M523</x:f>
        <x:v>788</x:v>
      </x:c>
      <x:c r="O523" s="87" t="n">
        <x:f>N523*'01 Base Costs'!$B$7+L523</x:f>
        <x:v>3790280000</x:v>
      </x:c>
      <x:c r="P523" s="87" t="n">
        <x:f>D523*E523</x:f>
        <x:v>2</x:v>
      </x:c>
      <x:c r="Q523" s="87" t="n">
        <x:f>P523*'01 Base Costs'!$B$12</x:f>
        <x:v>3888000</x:v>
      </x:c>
      <x:c r="R523" s="87" t="n">
        <x:f>'01 Base Costs'!$B$13</x:f>
        <x:v>100000</x:v>
      </x:c>
      <x:c r="S523" s="87" t="n">
        <x:f>Q523+R523</x:f>
        <x:v>3988000</x:v>
      </x:c>
      <x:c r="T523" s="141" t="n">
        <x:f>S523/'01 Base Costs'!$B$14</x:f>
        <x:v>7.976</x:v>
      </x:c>
      <x:c r="U523" s="87" t="n">
        <x:f>INT(T523)</x:f>
        <x:v>7</x:v>
      </x:c>
      <x:c r="V523" s="87" t="n">
        <x:f>S523-U523*'01 Base Costs'!$B$14</x:f>
        <x:v>488000</x:v>
      </x:c>
      <x:c r="W523" s="120" t="n">
        <x:f>'01 Base Costs'!$B$20*0.8/50</x:f>
        <x:v>89.6</x:v>
      </x:c>
      <x:c r="X523" s="120" t="n">
        <x:f>0</x:f>
        <x:v>0</x:v>
      </x:c>
      <x:c r="Y523" s="87" t="n">
        <x:f>T523*(W523*'01 Base Costs'!$B$7+X523)</x:f>
        <x:v>3437464576</x:v>
      </x:c>
      <x:c r="Z523" s="87" t="n">
        <x:f>T523*'01 Base Costs'!$B$8</x:f>
        <x:v>6005130400</x:v>
      </x:c>
      <x:c r="AA523" s="87" t="n">
        <x:f>Z523*'01 Base Costs'!$B$11</x:f>
        <x:v>300256520</x:v>
      </x:c>
      <x:c r="AB523" s="87" t="n">
        <x:f>Z523-AA523</x:f>
        <x:v>5704873880</x:v>
      </x:c>
      <x:c r="AC523" s="87" t="n">
        <x:f>O523+Y523</x:f>
        <x:v>7227744576</x:v>
      </x:c>
      <x:c r="AD523" s="87" t="n">
        <x:f>AB523-AC523</x:f>
        <x:v>-1522870696</x:v>
      </x:c>
      <x:c r="AE523" s="87" t="n">
        <x:f>AD523/D523</x:f>
        <x:v>-1522870696</x:v>
      </x:c>
      <x:c r="AF523" s="87" t="n">
        <x:f>AD523/P523</x:f>
        <x:v>-761435348</x:v>
      </x:c>
      <x:c r="AG523" s="87" t="n">
        <x:f>IF(T523=0,0,AC523/T523/(1-'01 Base Costs'!$B$11))</x:f>
        <x:v>953880665.1533549</x:v>
      </x:c>
      <x:c r="AH523" s="88" t="str">
        <x:f>IF(AD523&gt;0,"PROFIT","LOSS")</x:f>
        <x:v>LOSS</x:v>
      </x:c>
      <x:c r="AI523" s="89" t="str">
        <x:v>Capsuleer Day XXIIII event from screenshot. MCT sale 20% off. 50-pack at 20% off.</x:v>
      </x:c>
    </x:row>
    <x:row r="524">
      <x:c r="A524" s="86" t="n">
        <x:v>522</x:v>
      </x:c>
      <x:c r="B524" s="88" t="str">
        <x:v>Sale/Event</x:v>
      </x:c>
      <x:c r="C524" s="88" t="str">
        <x:v>Capsuleer Day 1M Omega + 100k SP + skin</x:v>
      </x:c>
      <x:c r="D524" s="88" t="n">
        <x:v>1</x:v>
      </x:c>
      <x:c r="E524" s="88" t="n">
        <x:v>2</x:v>
      </x:c>
      <x:c r="F524" s="88" t="str">
        <x:v>NES MCT 20% sale</x:v>
      </x:c>
      <x:c r="G524" s="88" t="str">
        <x:v>Market Skill Extractor</x:v>
      </x:c>
      <x:c r="H524" s="87" t="n">
        <x:f>'01 Base Costs'!$B$26</x:f>
        <x:v>400</x:v>
      </x:c>
      <x:c r="I524" s="87" t="n">
        <x:f>'01 Base Costs'!$B$16*0.8</x:f>
        <x:v>388</x:v>
      </x:c>
      <x:c r="J524" s="87" t="n">
        <x:f>0</x:f>
        <x:v>0</x:v>
      </x:c>
      <x:c r="K524" s="87" t="n">
        <x:f>D524*(E524-1)*I524</x:f>
        <x:v>388</x:v>
      </x:c>
      <x:c r="L524" s="87" t="n">
        <x:f>D524*(E524-1)*J524</x:f>
        <x:v>0</x:v>
      </x:c>
      <x:c r="M524" s="87" t="n">
        <x:f>0</x:f>
        <x:v>0</x:v>
      </x:c>
      <x:c r="N524" s="87" t="n">
        <x:f>H524+K524+M524</x:f>
        <x:v>788</x:v>
      </x:c>
      <x:c r="O524" s="87" t="n">
        <x:f>N524*'01 Base Costs'!$B$7+L524</x:f>
        <x:v>3790280000</x:v>
      </x:c>
      <x:c r="P524" s="87" t="n">
        <x:f>D524*E524</x:f>
        <x:v>2</x:v>
      </x:c>
      <x:c r="Q524" s="87" t="n">
        <x:f>P524*'01 Base Costs'!$B$12</x:f>
        <x:v>3888000</x:v>
      </x:c>
      <x:c r="R524" s="87" t="n">
        <x:f>'01 Base Costs'!$B$13</x:f>
        <x:v>100000</x:v>
      </x:c>
      <x:c r="S524" s="87" t="n">
        <x:f>Q524+R524</x:f>
        <x:v>3988000</x:v>
      </x:c>
      <x:c r="T524" s="141" t="n">
        <x:f>S524/'01 Base Costs'!$B$14</x:f>
        <x:v>7.976</x:v>
      </x:c>
      <x:c r="U524" s="87" t="n">
        <x:f>INT(T524)</x:f>
        <x:v>7</x:v>
      </x:c>
      <x:c r="V524" s="87" t="n">
        <x:f>S524-U524*'01 Base Costs'!$B$14</x:f>
        <x:v>488000</x:v>
      </x:c>
      <x:c r="W524" s="120" t="n">
        <x:f>0</x:f>
        <x:v>0</x:v>
      </x:c>
      <x:c r="X524" s="120" t="n">
        <x:f>'01 Base Costs'!$B$9</x:f>
        <x:v>463500000</x:v>
      </x:c>
      <x:c r="Y524" s="87" t="n">
        <x:f>T524*(W524*'01 Base Costs'!$B$7+X524)</x:f>
        <x:v>3696876000</x:v>
      </x:c>
      <x:c r="Z524" s="87" t="n">
        <x:f>T524*'01 Base Costs'!$B$8</x:f>
        <x:v>6005130400</x:v>
      </x:c>
      <x:c r="AA524" s="87" t="n">
        <x:f>Z524*'01 Base Costs'!$B$11</x:f>
        <x:v>300256520</x:v>
      </x:c>
      <x:c r="AB524" s="87" t="n">
        <x:f>Z524-AA524</x:f>
        <x:v>5704873880</x:v>
      </x:c>
      <x:c r="AC524" s="87" t="n">
        <x:f>O524+Y524</x:f>
        <x:v>7487156000</x:v>
      </x:c>
      <x:c r="AD524" s="87" t="n">
        <x:f>AB524-AC524</x:f>
        <x:v>-1782282120</x:v>
      </x:c>
      <x:c r="AE524" s="87" t="n">
        <x:f>AD524/D524</x:f>
        <x:v>-1782282120</x:v>
      </x:c>
      <x:c r="AF524" s="87" t="n">
        <x:f>AD524/P524</x:f>
        <x:v>-891141060</x:v>
      </x:c>
      <x:c r="AG524" s="87" t="n">
        <x:f>IF(T524=0,0,AC524/T524/(1-'01 Base Costs'!$B$11))</x:f>
        <x:v>988116454.6270391</x:v>
      </x:c>
      <x:c r="AH524" s="88" t="str">
        <x:f>IF(AD524&gt;0,"PROFIT","LOSS")</x:f>
        <x:v>LOSS</x:v>
      </x:c>
      <x:c r="AI524" s="89" t="str">
        <x:v>Capsuleer Day XXIIII event from screenshot. MCT sale 20% off. Extractor bought on market with ISK.</x:v>
      </x:c>
    </x:row>
    <x:row r="525">
      <x:c r="A525" s="86" t="n">
        <x:v>523</x:v>
      </x:c>
      <x:c r="B525" s="88" t="str">
        <x:v>Sale/Event</x:v>
      </x:c>
      <x:c r="C525" s="88" t="str">
        <x:v>Capsuleer Day 1M Omega + 100k SP + skin</x:v>
      </x:c>
      <x:c r="D525" s="88" t="n">
        <x:v>1</x:v>
      </x:c>
      <x:c r="E525" s="88" t="n">
        <x:v>2</x:v>
      </x:c>
      <x:c r="F525" s="88" t="str">
        <x:v>NES MCT 30% sale</x:v>
      </x:c>
      <x:c r="G525" s="88" t="str">
        <x:v>NES single extractor</x:v>
      </x:c>
      <x:c r="H525" s="87" t="n">
        <x:f>'01 Base Costs'!$B$26</x:f>
        <x:v>400</x:v>
      </x:c>
      <x:c r="I525" s="87" t="n">
        <x:f>'01 Base Costs'!$B$16*0.7</x:f>
        <x:v>339.5</x:v>
      </x:c>
      <x:c r="J525" s="87" t="n">
        <x:f>0</x:f>
        <x:v>0</x:v>
      </x:c>
      <x:c r="K525" s="87" t="n">
        <x:f>D525*(E525-1)*I525</x:f>
        <x:v>339.5</x:v>
      </x:c>
      <x:c r="L525" s="87" t="n">
        <x:f>D525*(E525-1)*J525</x:f>
        <x:v>0</x:v>
      </x:c>
      <x:c r="M525" s="87" t="n">
        <x:f>0</x:f>
        <x:v>0</x:v>
      </x:c>
      <x:c r="N525" s="87" t="n">
        <x:f>H525+K525+M525</x:f>
        <x:v>739.5</x:v>
      </x:c>
      <x:c r="O525" s="87" t="n">
        <x:f>N525*'01 Base Costs'!$B$7+L525</x:f>
        <x:v>3556995000</x:v>
      </x:c>
      <x:c r="P525" s="87" t="n">
        <x:f>D525*E525</x:f>
        <x:v>2</x:v>
      </x:c>
      <x:c r="Q525" s="87" t="n">
        <x:f>P525*'01 Base Costs'!$B$12</x:f>
        <x:v>3888000</x:v>
      </x:c>
      <x:c r="R525" s="87" t="n">
        <x:f>'01 Base Costs'!$B$13</x:f>
        <x:v>100000</x:v>
      </x:c>
      <x:c r="S525" s="87" t="n">
        <x:f>Q525+R525</x:f>
        <x:v>3988000</x:v>
      </x:c>
      <x:c r="T525" s="141" t="n">
        <x:f>S525/'01 Base Costs'!$B$14</x:f>
        <x:v>7.976</x:v>
      </x:c>
      <x:c r="U525" s="87" t="n">
        <x:f>INT(T525)</x:f>
        <x:v>7</x:v>
      </x:c>
      <x:c r="V525" s="87" t="n">
        <x:f>S525-U525*'01 Base Costs'!$B$14</x:f>
        <x:v>488000</x:v>
      </x:c>
      <x:c r="W525" s="120" t="n">
        <x:f>'01 Base Costs'!$B$17</x:f>
        <x:v>140</x:v>
      </x:c>
      <x:c r="X525" s="120" t="n">
        <x:f>0</x:f>
        <x:v>0</x:v>
      </x:c>
      <x:c r="Y525" s="87" t="n">
        <x:f>T525*(W525*'01 Base Costs'!$B$7+X525)</x:f>
        <x:v>5371038400</x:v>
      </x:c>
      <x:c r="Z525" s="87" t="n">
        <x:f>T525*'01 Base Costs'!$B$8</x:f>
        <x:v>6005130400</x:v>
      </x:c>
      <x:c r="AA525" s="87" t="n">
        <x:f>Z525*'01 Base Costs'!$B$11</x:f>
        <x:v>300256520</x:v>
      </x:c>
      <x:c r="AB525" s="87" t="n">
        <x:f>Z525-AA525</x:f>
        <x:v>5704873880</x:v>
      </x:c>
      <x:c r="AC525" s="87" t="n">
        <x:f>O525+Y525</x:f>
        <x:v>8928033400</x:v>
      </x:c>
      <x:c r="AD525" s="87" t="n">
        <x:f>AB525-AC525</x:f>
        <x:v>-3223159520</x:v>
      </x:c>
      <x:c r="AE525" s="87" t="n">
        <x:f>AD525/D525</x:f>
        <x:v>-3223159520</x:v>
      </x:c>
      <x:c r="AF525" s="87" t="n">
        <x:f>AD525/P525</x:f>
        <x:v>-1611579760</x:v>
      </x:c>
      <x:c r="AG525" s="87" t="n">
        <x:f>IF(T525=0,0,AC525/T525/(1-'01 Base Costs'!$B$11))</x:f>
        <x:v>1178276065.037217</x:v>
      </x:c>
      <x:c r="AH525" s="88" t="str">
        <x:f>IF(AD525&gt;0,"PROFIT","LOSS")</x:f>
        <x:v>LOSS</x:v>
      </x:c>
      <x:c r="AI525" s="89" t="str">
        <x:v>Capsuleer Day XXIIII event from screenshot. MCT sale 30% off. Base single extractor.</x:v>
      </x:c>
    </x:row>
    <x:row r="526">
      <x:c r="A526" s="86" t="n">
        <x:v>524</x:v>
      </x:c>
      <x:c r="B526" s="88" t="str">
        <x:v>Sale/Event</x:v>
      </x:c>
      <x:c r="C526" s="88" t="str">
        <x:v>Capsuleer Day 1M Omega + 100k SP + skin</x:v>
      </x:c>
      <x:c r="D526" s="88" t="n">
        <x:v>1</x:v>
      </x:c>
      <x:c r="E526" s="88" t="n">
        <x:v>2</x:v>
      </x:c>
      <x:c r="F526" s="88" t="str">
        <x:v>NES MCT 30% sale</x:v>
      </x:c>
      <x:c r="G526" s="88" t="str">
        <x:v>NES 5-pack extractor</x:v>
      </x:c>
      <x:c r="H526" s="87" t="n">
        <x:f>'01 Base Costs'!$B$26</x:f>
        <x:v>400</x:v>
      </x:c>
      <x:c r="I526" s="87" t="n">
        <x:f>'01 Base Costs'!$B$16*0.7</x:f>
        <x:v>339.5</x:v>
      </x:c>
      <x:c r="J526" s="87" t="n">
        <x:f>0</x:f>
        <x:v>0</x:v>
      </x:c>
      <x:c r="K526" s="87" t="n">
        <x:f>D526*(E526-1)*I526</x:f>
        <x:v>339.5</x:v>
      </x:c>
      <x:c r="L526" s="87" t="n">
        <x:f>D526*(E526-1)*J526</x:f>
        <x:v>0</x:v>
      </x:c>
      <x:c r="M526" s="87" t="n">
        <x:f>0</x:f>
        <x:v>0</x:v>
      </x:c>
      <x:c r="N526" s="87" t="n">
        <x:f>H526+K526+M526</x:f>
        <x:v>739.5</x:v>
      </x:c>
      <x:c r="O526" s="87" t="n">
        <x:f>N526*'01 Base Costs'!$B$7+L526</x:f>
        <x:v>3556995000</x:v>
      </x:c>
      <x:c r="P526" s="87" t="n">
        <x:f>D526*E526</x:f>
        <x:v>2</x:v>
      </x:c>
      <x:c r="Q526" s="87" t="n">
        <x:f>P526*'01 Base Costs'!$B$12</x:f>
        <x:v>3888000</x:v>
      </x:c>
      <x:c r="R526" s="87" t="n">
        <x:f>'01 Base Costs'!$B$13</x:f>
        <x:v>100000</x:v>
      </x:c>
      <x:c r="S526" s="87" t="n">
        <x:f>Q526+R526</x:f>
        <x:v>3988000</x:v>
      </x:c>
      <x:c r="T526" s="141" t="n">
        <x:f>S526/'01 Base Costs'!$B$14</x:f>
        <x:v>7.976</x:v>
      </x:c>
      <x:c r="U526" s="87" t="n">
        <x:f>INT(T526)</x:f>
        <x:v>7</x:v>
      </x:c>
      <x:c r="V526" s="87" t="n">
        <x:f>S526-U526*'01 Base Costs'!$B$14</x:f>
        <x:v>488000</x:v>
      </x:c>
      <x:c r="W526" s="120" t="n">
        <x:f>'01 Base Costs'!$B$18/5</x:f>
        <x:v>126</x:v>
      </x:c>
      <x:c r="X526" s="120" t="n">
        <x:f>0</x:f>
        <x:v>0</x:v>
      </x:c>
      <x:c r="Y526" s="87" t="n">
        <x:f>T526*(W526*'01 Base Costs'!$B$7+X526)</x:f>
        <x:v>4833934560</x:v>
      </x:c>
      <x:c r="Z526" s="87" t="n">
        <x:f>T526*'01 Base Costs'!$B$8</x:f>
        <x:v>6005130400</x:v>
      </x:c>
      <x:c r="AA526" s="87" t="n">
        <x:f>Z526*'01 Base Costs'!$B$11</x:f>
        <x:v>300256520</x:v>
      </x:c>
      <x:c r="AB526" s="87" t="n">
        <x:f>Z526-AA526</x:f>
        <x:v>5704873880</x:v>
      </x:c>
      <x:c r="AC526" s="87" t="n">
        <x:f>O526+Y526</x:f>
        <x:v>8390929560</x:v>
      </x:c>
      <x:c r="AD526" s="87" t="n">
        <x:f>AB526-AC526</x:f>
        <x:v>-2686055680</x:v>
      </x:c>
      <x:c r="AE526" s="87" t="n">
        <x:f>AD526/D526</x:f>
        <x:v>-2686055680</x:v>
      </x:c>
      <x:c r="AF526" s="87" t="n">
        <x:f>AD526/P526</x:f>
        <x:v>-1343027840</x:v>
      </x:c>
      <x:c r="AG526" s="87" t="n">
        <x:f>IF(T526=0,0,AC526/T526/(1-'01 Base Costs'!$B$11))</x:f>
        <x:v>1107391854.5109012</x:v>
      </x:c>
      <x:c r="AH526" s="88" t="str">
        <x:f>IF(AD526&gt;0,"PROFIT","LOSS")</x:f>
        <x:v>LOSS</x:v>
      </x:c>
      <x:c r="AI526" s="89" t="str">
        <x:v>Capsuleer Day XXIIII event from screenshot. MCT sale 30% off. Base 5-pack average.</x:v>
      </x:c>
    </x:row>
    <x:row r="527">
      <x:c r="A527" s="86" t="n">
        <x:v>525</x:v>
      </x:c>
      <x:c r="B527" s="88" t="str">
        <x:v>Sale/Event</x:v>
      </x:c>
      <x:c r="C527" s="88" t="str">
        <x:v>Capsuleer Day 1M Omega + 100k SP + skin</x:v>
      </x:c>
      <x:c r="D527" s="88" t="n">
        <x:v>1</x:v>
      </x:c>
      <x:c r="E527" s="88" t="n">
        <x:v>2</x:v>
      </x:c>
      <x:c r="F527" s="88" t="str">
        <x:v>NES MCT 30% sale</x:v>
      </x:c>
      <x:c r="G527" s="88" t="str">
        <x:v>NES 10-pack extractor</x:v>
      </x:c>
      <x:c r="H527" s="87" t="n">
        <x:f>'01 Base Costs'!$B$26</x:f>
        <x:v>400</x:v>
      </x:c>
      <x:c r="I527" s="87" t="n">
        <x:f>'01 Base Costs'!$B$16*0.7</x:f>
        <x:v>339.5</x:v>
      </x:c>
      <x:c r="J527" s="87" t="n">
        <x:f>0</x:f>
        <x:v>0</x:v>
      </x:c>
      <x:c r="K527" s="87" t="n">
        <x:f>D527*(E527-1)*I527</x:f>
        <x:v>339.5</x:v>
      </x:c>
      <x:c r="L527" s="87" t="n">
        <x:f>D527*(E527-1)*J527</x:f>
        <x:v>0</x:v>
      </x:c>
      <x:c r="M527" s="87" t="n">
        <x:f>0</x:f>
        <x:v>0</x:v>
      </x:c>
      <x:c r="N527" s="87" t="n">
        <x:f>H527+K527+M527</x:f>
        <x:v>739.5</x:v>
      </x:c>
      <x:c r="O527" s="87" t="n">
        <x:f>N527*'01 Base Costs'!$B$7+L527</x:f>
        <x:v>3556995000</x:v>
      </x:c>
      <x:c r="P527" s="87" t="n">
        <x:f>D527*E527</x:f>
        <x:v>2</x:v>
      </x:c>
      <x:c r="Q527" s="87" t="n">
        <x:f>P527*'01 Base Costs'!$B$12</x:f>
        <x:v>3888000</x:v>
      </x:c>
      <x:c r="R527" s="87" t="n">
        <x:f>'01 Base Costs'!$B$13</x:f>
        <x:v>100000</x:v>
      </x:c>
      <x:c r="S527" s="87" t="n">
        <x:f>Q527+R527</x:f>
        <x:v>3988000</x:v>
      </x:c>
      <x:c r="T527" s="141" t="n">
        <x:f>S527/'01 Base Costs'!$B$14</x:f>
        <x:v>7.976</x:v>
      </x:c>
      <x:c r="U527" s="87" t="n">
        <x:f>INT(T527)</x:f>
        <x:v>7</x:v>
      </x:c>
      <x:c r="V527" s="87" t="n">
        <x:f>S527-U527*'01 Base Costs'!$B$14</x:f>
        <x:v>488000</x:v>
      </x:c>
      <x:c r="W527" s="120" t="n">
        <x:f>'01 Base Costs'!$B$19/10</x:f>
        <x:v>119</x:v>
      </x:c>
      <x:c r="X527" s="120" t="n">
        <x:f>0</x:f>
        <x:v>0</x:v>
      </x:c>
      <x:c r="Y527" s="87" t="n">
        <x:f>T527*(W527*'01 Base Costs'!$B$7+X527)</x:f>
        <x:v>4565382640</x:v>
      </x:c>
      <x:c r="Z527" s="87" t="n">
        <x:f>T527*'01 Base Costs'!$B$8</x:f>
        <x:v>6005130400</x:v>
      </x:c>
      <x:c r="AA527" s="87" t="n">
        <x:f>Z527*'01 Base Costs'!$B$11</x:f>
        <x:v>300256520</x:v>
      </x:c>
      <x:c r="AB527" s="87" t="n">
        <x:f>Z527-AA527</x:f>
        <x:v>5704873880</x:v>
      </x:c>
      <x:c r="AC527" s="87" t="n">
        <x:f>O527+Y527</x:f>
        <x:v>8122377640</x:v>
      </x:c>
      <x:c r="AD527" s="87" t="n">
        <x:f>AB527-AC527</x:f>
        <x:v>-2417503760</x:v>
      </x:c>
      <x:c r="AE527" s="87" t="n">
        <x:f>AD527/D527</x:f>
        <x:v>-2417503760</x:v>
      </x:c>
      <x:c r="AF527" s="87" t="n">
        <x:f>AD527/P527</x:f>
        <x:v>-1208751880</x:v>
      </x:c>
      <x:c r="AG527" s="87" t="n">
        <x:f>IF(T527=0,0,AC527/T527/(1-'01 Base Costs'!$B$11))</x:f>
        <x:v>1071949749.2477432</x:v>
      </x:c>
      <x:c r="AH527" s="88" t="str">
        <x:f>IF(AD527&gt;0,"PROFIT","LOSS")</x:f>
        <x:v>LOSS</x:v>
      </x:c>
      <x:c r="AI527" s="89" t="str">
        <x:v>Capsuleer Day XXIIII event from screenshot. MCT sale 30% off. Base 10-pack average.</x:v>
      </x:c>
    </x:row>
    <x:row r="528">
      <x:c r="A528" s="86" t="n">
        <x:v>526</x:v>
      </x:c>
      <x:c r="B528" s="88" t="str">
        <x:v>Sale/Event</x:v>
      </x:c>
      <x:c r="C528" s="88" t="str">
        <x:v>Capsuleer Day 1M Omega + 100k SP + skin</x:v>
      </x:c>
      <x:c r="D528" s="88" t="n">
        <x:v>1</x:v>
      </x:c>
      <x:c r="E528" s="88" t="n">
        <x:v>2</x:v>
      </x:c>
      <x:c r="F528" s="88" t="str">
        <x:v>NES MCT 30% sale</x:v>
      </x:c>
      <x:c r="G528" s="88" t="str">
        <x:v>NES 50-pack extractor</x:v>
      </x:c>
      <x:c r="H528" s="87" t="n">
        <x:f>'01 Base Costs'!$B$26</x:f>
        <x:v>400</x:v>
      </x:c>
      <x:c r="I528" s="87" t="n">
        <x:f>'01 Base Costs'!$B$16*0.7</x:f>
        <x:v>339.5</x:v>
      </x:c>
      <x:c r="J528" s="87" t="n">
        <x:f>0</x:f>
        <x:v>0</x:v>
      </x:c>
      <x:c r="K528" s="87" t="n">
        <x:f>D528*(E528-1)*I528</x:f>
        <x:v>339.5</x:v>
      </x:c>
      <x:c r="L528" s="87" t="n">
        <x:f>D528*(E528-1)*J528</x:f>
        <x:v>0</x:v>
      </x:c>
      <x:c r="M528" s="87" t="n">
        <x:f>0</x:f>
        <x:v>0</x:v>
      </x:c>
      <x:c r="N528" s="87" t="n">
        <x:f>H528+K528+M528</x:f>
        <x:v>739.5</x:v>
      </x:c>
      <x:c r="O528" s="87" t="n">
        <x:f>N528*'01 Base Costs'!$B$7+L528</x:f>
        <x:v>3556995000</x:v>
      </x:c>
      <x:c r="P528" s="87" t="n">
        <x:f>D528*E528</x:f>
        <x:v>2</x:v>
      </x:c>
      <x:c r="Q528" s="87" t="n">
        <x:f>P528*'01 Base Costs'!$B$12</x:f>
        <x:v>3888000</x:v>
      </x:c>
      <x:c r="R528" s="87" t="n">
        <x:f>'01 Base Costs'!$B$13</x:f>
        <x:v>100000</x:v>
      </x:c>
      <x:c r="S528" s="87" t="n">
        <x:f>Q528+R528</x:f>
        <x:v>3988000</x:v>
      </x:c>
      <x:c r="T528" s="141" t="n">
        <x:f>S528/'01 Base Costs'!$B$14</x:f>
        <x:v>7.976</x:v>
      </x:c>
      <x:c r="U528" s="87" t="n">
        <x:f>INT(T528)</x:f>
        <x:v>7</x:v>
      </x:c>
      <x:c r="V528" s="87" t="n">
        <x:f>S528-U528*'01 Base Costs'!$B$14</x:f>
        <x:v>488000</x:v>
      </x:c>
      <x:c r="W528" s="120" t="n">
        <x:f>'01 Base Costs'!$B$20/50</x:f>
        <x:v>112</x:v>
      </x:c>
      <x:c r="X528" s="120" t="n">
        <x:f>0</x:f>
        <x:v>0</x:v>
      </x:c>
      <x:c r="Y528" s="87" t="n">
        <x:f>T528*(W528*'01 Base Costs'!$B$7+X528)</x:f>
        <x:v>4296830720</x:v>
      </x:c>
      <x:c r="Z528" s="87" t="n">
        <x:f>T528*'01 Base Costs'!$B$8</x:f>
        <x:v>6005130400</x:v>
      </x:c>
      <x:c r="AA528" s="87" t="n">
        <x:f>Z528*'01 Base Costs'!$B$11</x:f>
        <x:v>300256520</x:v>
      </x:c>
      <x:c r="AB528" s="87" t="n">
        <x:f>Z528-AA528</x:f>
        <x:v>5704873880</x:v>
      </x:c>
      <x:c r="AC528" s="87" t="n">
        <x:f>O528+Y528</x:f>
        <x:v>7853825720</x:v>
      </x:c>
      <x:c r="AD528" s="87" t="n">
        <x:f>AB528-AC528</x:f>
        <x:v>-2148951840</x:v>
      </x:c>
      <x:c r="AE528" s="87" t="n">
        <x:f>AD528/D528</x:f>
        <x:v>-2148951840</x:v>
      </x:c>
      <x:c r="AF528" s="87" t="n">
        <x:f>AD528/P528</x:f>
        <x:v>-1074475920</x:v>
      </x:c>
      <x:c r="AG528" s="87" t="n">
        <x:f>IF(T528=0,0,AC528/T528/(1-'01 Base Costs'!$B$11))</x:f>
        <x:v>1036507643.9845854</x:v>
      </x:c>
      <x:c r="AH528" s="88" t="str">
        <x:f>IF(AD528&gt;0,"PROFIT","LOSS")</x:f>
        <x:v>LOSS</x:v>
      </x:c>
      <x:c r="AI528" s="89" t="str">
        <x:v>Capsuleer Day XXIIII event from screenshot. MCT sale 30% off. Base 50-pack average.</x:v>
      </x:c>
    </x:row>
    <x:row r="529">
      <x:c r="A529" s="86" t="n">
        <x:v>527</x:v>
      </x:c>
      <x:c r="B529" s="88" t="str">
        <x:v>Sale/Event</x:v>
      </x:c>
      <x:c r="C529" s="88" t="str">
        <x:v>Capsuleer Day 1M Omega + 100k SP + skin</x:v>
      </x:c>
      <x:c r="D529" s="88" t="n">
        <x:v>1</x:v>
      </x:c>
      <x:c r="E529" s="88" t="n">
        <x:v>2</x:v>
      </x:c>
      <x:c r="F529" s="88" t="str">
        <x:v>NES MCT 30% sale</x:v>
      </x:c>
      <x:c r="G529" s="88" t="str">
        <x:v>NES 3-for-2 extractor sale</x:v>
      </x:c>
      <x:c r="H529" s="87" t="n">
        <x:f>'01 Base Costs'!$B$26</x:f>
        <x:v>400</x:v>
      </x:c>
      <x:c r="I529" s="87" t="n">
        <x:f>'01 Base Costs'!$B$16*0.7</x:f>
        <x:v>339.5</x:v>
      </x:c>
      <x:c r="J529" s="87" t="n">
        <x:f>0</x:f>
        <x:v>0</x:v>
      </x:c>
      <x:c r="K529" s="87" t="n">
        <x:f>D529*(E529-1)*I529</x:f>
        <x:v>339.5</x:v>
      </x:c>
      <x:c r="L529" s="87" t="n">
        <x:f>D529*(E529-1)*J529</x:f>
        <x:v>0</x:v>
      </x:c>
      <x:c r="M529" s="87" t="n">
        <x:f>0</x:f>
        <x:v>0</x:v>
      </x:c>
      <x:c r="N529" s="87" t="n">
        <x:f>H529+K529+M529</x:f>
        <x:v>739.5</x:v>
      </x:c>
      <x:c r="O529" s="87" t="n">
        <x:f>N529*'01 Base Costs'!$B$7+L529</x:f>
        <x:v>3556995000</x:v>
      </x:c>
      <x:c r="P529" s="87" t="n">
        <x:f>D529*E529</x:f>
        <x:v>2</x:v>
      </x:c>
      <x:c r="Q529" s="87" t="n">
        <x:f>P529*'01 Base Costs'!$B$12</x:f>
        <x:v>3888000</x:v>
      </x:c>
      <x:c r="R529" s="87" t="n">
        <x:f>'01 Base Costs'!$B$13</x:f>
        <x:v>100000</x:v>
      </x:c>
      <x:c r="S529" s="87" t="n">
        <x:f>Q529+R529</x:f>
        <x:v>3988000</x:v>
      </x:c>
      <x:c r="T529" s="141" t="n">
        <x:f>S529/'01 Base Costs'!$B$14</x:f>
        <x:v>7.976</x:v>
      </x:c>
      <x:c r="U529" s="87" t="n">
        <x:f>INT(T529)</x:f>
        <x:v>7</x:v>
      </x:c>
      <x:c r="V529" s="87" t="n">
        <x:f>S529-U529*'01 Base Costs'!$B$14</x:f>
        <x:v>488000</x:v>
      </x:c>
      <x:c r="W529" s="120" t="n">
        <x:f>'01 Base Costs'!$B$17*2/3</x:f>
        <x:v>93.33333333333333</x:v>
      </x:c>
      <x:c r="X529" s="120" t="n">
        <x:f>0</x:f>
        <x:v>0</x:v>
      </x:c>
      <x:c r="Y529" s="87" t="n">
        <x:f>T529*(W529*'01 Base Costs'!$B$7+X529)</x:f>
        <x:v>3580692266.6666665</x:v>
      </x:c>
      <x:c r="Z529" s="87" t="n">
        <x:f>T529*'01 Base Costs'!$B$8</x:f>
        <x:v>6005130400</x:v>
      </x:c>
      <x:c r="AA529" s="87" t="n">
        <x:f>Z529*'01 Base Costs'!$B$11</x:f>
        <x:v>300256520</x:v>
      </x:c>
      <x:c r="AB529" s="87" t="n">
        <x:f>Z529-AA529</x:f>
        <x:v>5704873880</x:v>
      </x:c>
      <x:c r="AC529" s="87" t="n">
        <x:f>O529+Y529</x:f>
        <x:v>7137687266.666666</x:v>
      </x:c>
      <x:c r="AD529" s="87" t="n">
        <x:f>AB529-AC529</x:f>
        <x:v>-1432813386.666666</x:v>
      </x:c>
      <x:c r="AE529" s="87" t="n">
        <x:f>AD529/D529</x:f>
        <x:v>-1432813386.666666</x:v>
      </x:c>
      <x:c r="AF529" s="87" t="n">
        <x:f>AD529/P529</x:f>
        <x:v>-716406693.333333</x:v>
      </x:c>
      <x:c r="AG529" s="87" t="n">
        <x:f>IF(T529=0,0,AC529/T529/(1-'01 Base Costs'!$B$11))</x:f>
        <x:v>941995363.2828308</x:v>
      </x:c>
      <x:c r="AH529" s="88" t="str">
        <x:f>IF(AD529&gt;0,"PROFIT","LOSS")</x:f>
        <x:v>LOSS</x:v>
      </x:c>
      <x:c r="AI529" s="89" t="str">
        <x:v>Capsuleer Day XXIIII event from screenshot. MCT sale 30% off. Extractor 3-for-2 sale.</x:v>
      </x:c>
    </x:row>
    <x:row r="530">
      <x:c r="A530" s="86" t="n">
        <x:v>528</x:v>
      </x:c>
      <x:c r="B530" s="88" t="str">
        <x:v>Sale/Event</x:v>
      </x:c>
      <x:c r="C530" s="88" t="str">
        <x:v>Capsuleer Day 1M Omega + 100k SP + skin</x:v>
      </x:c>
      <x:c r="D530" s="88" t="n">
        <x:v>1</x:v>
      </x:c>
      <x:c r="E530" s="88" t="n">
        <x:v>2</x:v>
      </x:c>
      <x:c r="F530" s="88" t="str">
        <x:v>NES MCT 30% sale</x:v>
      </x:c>
      <x:c r="G530" s="88" t="str">
        <x:v>NES 2-for-1 extractor sale</x:v>
      </x:c>
      <x:c r="H530" s="87" t="n">
        <x:f>'01 Base Costs'!$B$26</x:f>
        <x:v>400</x:v>
      </x:c>
      <x:c r="I530" s="87" t="n">
        <x:f>'01 Base Costs'!$B$16*0.7</x:f>
        <x:v>339.5</x:v>
      </x:c>
      <x:c r="J530" s="87" t="n">
        <x:f>0</x:f>
        <x:v>0</x:v>
      </x:c>
      <x:c r="K530" s="87" t="n">
        <x:f>D530*(E530-1)*I530</x:f>
        <x:v>339.5</x:v>
      </x:c>
      <x:c r="L530" s="87" t="n">
        <x:f>D530*(E530-1)*J530</x:f>
        <x:v>0</x:v>
      </x:c>
      <x:c r="M530" s="87" t="n">
        <x:f>0</x:f>
        <x:v>0</x:v>
      </x:c>
      <x:c r="N530" s="87" t="n">
        <x:f>H530+K530+M530</x:f>
        <x:v>739.5</x:v>
      </x:c>
      <x:c r="O530" s="87" t="n">
        <x:f>N530*'01 Base Costs'!$B$7+L530</x:f>
        <x:v>3556995000</x:v>
      </x:c>
      <x:c r="P530" s="87" t="n">
        <x:f>D530*E530</x:f>
        <x:v>2</x:v>
      </x:c>
      <x:c r="Q530" s="87" t="n">
        <x:f>P530*'01 Base Costs'!$B$12</x:f>
        <x:v>3888000</x:v>
      </x:c>
      <x:c r="R530" s="87" t="n">
        <x:f>'01 Base Costs'!$B$13</x:f>
        <x:v>100000</x:v>
      </x:c>
      <x:c r="S530" s="87" t="n">
        <x:f>Q530+R530</x:f>
        <x:v>3988000</x:v>
      </x:c>
      <x:c r="T530" s="141" t="n">
        <x:f>S530/'01 Base Costs'!$B$14</x:f>
        <x:v>7.976</x:v>
      </x:c>
      <x:c r="U530" s="87" t="n">
        <x:f>INT(T530)</x:f>
        <x:v>7</x:v>
      </x:c>
      <x:c r="V530" s="87" t="n">
        <x:f>S530-U530*'01 Base Costs'!$B$14</x:f>
        <x:v>488000</x:v>
      </x:c>
      <x:c r="W530" s="120" t="n">
        <x:f>'01 Base Costs'!$B$17/2</x:f>
        <x:v>70</x:v>
      </x:c>
      <x:c r="X530" s="120" t="n">
        <x:f>0</x:f>
        <x:v>0</x:v>
      </x:c>
      <x:c r="Y530" s="87" t="n">
        <x:f>T530*(W530*'01 Base Costs'!$B$7+X530)</x:f>
        <x:v>2685519200</x:v>
      </x:c>
      <x:c r="Z530" s="87" t="n">
        <x:f>T530*'01 Base Costs'!$B$8</x:f>
        <x:v>6005130400</x:v>
      </x:c>
      <x:c r="AA530" s="87" t="n">
        <x:f>Z530*'01 Base Costs'!$B$11</x:f>
        <x:v>300256520</x:v>
      </x:c>
      <x:c r="AB530" s="87" t="n">
        <x:f>Z530-AA530</x:f>
        <x:v>5704873880</x:v>
      </x:c>
      <x:c r="AC530" s="87" t="n">
        <x:f>O530+Y530</x:f>
        <x:v>6242514200</x:v>
      </x:c>
      <x:c r="AD530" s="87" t="n">
        <x:f>AB530-AC530</x:f>
        <x:v>-537640320</x:v>
      </x:c>
      <x:c r="AE530" s="87" t="n">
        <x:f>AD530/D530</x:f>
        <x:v>-537640320</x:v>
      </x:c>
      <x:c r="AF530" s="87" t="n">
        <x:f>AD530/P530</x:f>
        <x:v>-268820160</x:v>
      </x:c>
      <x:c r="AG530" s="87" t="n">
        <x:f>IF(T530=0,0,AC530/T530/(1-'01 Base Costs'!$B$11))</x:f>
        <x:v>823855012.405638</x:v>
      </x:c>
      <x:c r="AH530" s="88" t="str">
        <x:f>IF(AD530&gt;0,"PROFIT","LOSS")</x:f>
        <x:v>LOSS</x:v>
      </x:c>
      <x:c r="AI530" s="89" t="str">
        <x:v>Capsuleer Day XXIIII event from screenshot. MCT sale 30% off. Extractor 2-for-1 sale.</x:v>
      </x:c>
    </x:row>
    <x:row r="531">
      <x:c r="A531" s="86" t="n">
        <x:v>529</x:v>
      </x:c>
      <x:c r="B531" s="88" t="str">
        <x:v>Sale/Event</x:v>
      </x:c>
      <x:c r="C531" s="88" t="str">
        <x:v>Capsuleer Day 1M Omega + 100k SP + skin</x:v>
      </x:c>
      <x:c r="D531" s="88" t="n">
        <x:v>1</x:v>
      </x:c>
      <x:c r="E531" s="88" t="n">
        <x:v>2</x:v>
      </x:c>
      <x:c r="F531" s="88" t="str">
        <x:v>NES MCT 30% sale</x:v>
      </x:c>
      <x:c r="G531" s="88" t="str">
        <x:v>NES 10-pack extractor 20% sale</x:v>
      </x:c>
      <x:c r="H531" s="87" t="n">
        <x:f>'01 Base Costs'!$B$26</x:f>
        <x:v>400</x:v>
      </x:c>
      <x:c r="I531" s="87" t="n">
        <x:f>'01 Base Costs'!$B$16*0.7</x:f>
        <x:v>339.5</x:v>
      </x:c>
      <x:c r="J531" s="87" t="n">
        <x:f>0</x:f>
        <x:v>0</x:v>
      </x:c>
      <x:c r="K531" s="87" t="n">
        <x:f>D531*(E531-1)*I531</x:f>
        <x:v>339.5</x:v>
      </x:c>
      <x:c r="L531" s="87" t="n">
        <x:f>D531*(E531-1)*J531</x:f>
        <x:v>0</x:v>
      </x:c>
      <x:c r="M531" s="87" t="n">
        <x:f>0</x:f>
        <x:v>0</x:v>
      </x:c>
      <x:c r="N531" s="87" t="n">
        <x:f>H531+K531+M531</x:f>
        <x:v>739.5</x:v>
      </x:c>
      <x:c r="O531" s="87" t="n">
        <x:f>N531*'01 Base Costs'!$B$7+L531</x:f>
        <x:v>3556995000</x:v>
      </x:c>
      <x:c r="P531" s="87" t="n">
        <x:f>D531*E531</x:f>
        <x:v>2</x:v>
      </x:c>
      <x:c r="Q531" s="87" t="n">
        <x:f>P531*'01 Base Costs'!$B$12</x:f>
        <x:v>3888000</x:v>
      </x:c>
      <x:c r="R531" s="87" t="n">
        <x:f>'01 Base Costs'!$B$13</x:f>
        <x:v>100000</x:v>
      </x:c>
      <x:c r="S531" s="87" t="n">
        <x:f>Q531+R531</x:f>
        <x:v>3988000</x:v>
      </x:c>
      <x:c r="T531" s="141" t="n">
        <x:f>S531/'01 Base Costs'!$B$14</x:f>
        <x:v>7.976</x:v>
      </x:c>
      <x:c r="U531" s="87" t="n">
        <x:f>INT(T531)</x:f>
        <x:v>7</x:v>
      </x:c>
      <x:c r="V531" s="87" t="n">
        <x:f>S531-U531*'01 Base Costs'!$B$14</x:f>
        <x:v>488000</x:v>
      </x:c>
      <x:c r="W531" s="120" t="n">
        <x:f>'01 Base Costs'!$B$19*0.8/10</x:f>
        <x:v>95.2</x:v>
      </x:c>
      <x:c r="X531" s="120" t="n">
        <x:f>0</x:f>
        <x:v>0</x:v>
      </x:c>
      <x:c r="Y531" s="87" t="n">
        <x:f>T531*(W531*'01 Base Costs'!$B$7+X531)</x:f>
        <x:v>3652306112</x:v>
      </x:c>
      <x:c r="Z531" s="87" t="n">
        <x:f>T531*'01 Base Costs'!$B$8</x:f>
        <x:v>6005130400</x:v>
      </x:c>
      <x:c r="AA531" s="87" t="n">
        <x:f>Z531*'01 Base Costs'!$B$11</x:f>
        <x:v>300256520</x:v>
      </x:c>
      <x:c r="AB531" s="87" t="n">
        <x:f>Z531-AA531</x:f>
        <x:v>5704873880</x:v>
      </x:c>
      <x:c r="AC531" s="87" t="n">
        <x:f>O531+Y531</x:f>
        <x:v>7209301112</x:v>
      </x:c>
      <x:c r="AD531" s="87" t="n">
        <x:f>AB531-AC531</x:f>
        <x:v>-1504427232</x:v>
      </x:c>
      <x:c r="AE531" s="87" t="n">
        <x:f>AD531/D531</x:f>
        <x:v>-1504427232</x:v>
      </x:c>
      <x:c r="AF531" s="87" t="n">
        <x:f>AD531/P531</x:f>
        <x:v>-752213616</x:v>
      </x:c>
      <x:c r="AG531" s="87" t="n">
        <x:f>IF(T531=0,0,AC531/T531/(1-'01 Base Costs'!$B$11))</x:f>
        <x:v>951446591.3530064</x:v>
      </x:c>
      <x:c r="AH531" s="88" t="str">
        <x:f>IF(AD531&gt;0,"PROFIT","LOSS")</x:f>
        <x:v>LOSS</x:v>
      </x:c>
      <x:c r="AI531" s="89" t="str">
        <x:v>Capsuleer Day XXIIII event from screenshot. MCT sale 30% off. 10-pack at 20% off.</x:v>
      </x:c>
    </x:row>
    <x:row r="532">
      <x:c r="A532" s="86" t="n">
        <x:v>530</x:v>
      </x:c>
      <x:c r="B532" s="88" t="str">
        <x:v>Sale/Event</x:v>
      </x:c>
      <x:c r="C532" s="88" t="str">
        <x:v>Capsuleer Day 1M Omega + 100k SP + skin</x:v>
      </x:c>
      <x:c r="D532" s="88" t="n">
        <x:v>1</x:v>
      </x:c>
      <x:c r="E532" s="88" t="n">
        <x:v>2</x:v>
      </x:c>
      <x:c r="F532" s="88" t="str">
        <x:v>NES MCT 30% sale</x:v>
      </x:c>
      <x:c r="G532" s="88" t="str">
        <x:v>NES 50-pack extractor 20% sale</x:v>
      </x:c>
      <x:c r="H532" s="87" t="n">
        <x:f>'01 Base Costs'!$B$26</x:f>
        <x:v>400</x:v>
      </x:c>
      <x:c r="I532" s="87" t="n">
        <x:f>'01 Base Costs'!$B$16*0.7</x:f>
        <x:v>339.5</x:v>
      </x:c>
      <x:c r="J532" s="87" t="n">
        <x:f>0</x:f>
        <x:v>0</x:v>
      </x:c>
      <x:c r="K532" s="87" t="n">
        <x:f>D532*(E532-1)*I532</x:f>
        <x:v>339.5</x:v>
      </x:c>
      <x:c r="L532" s="87" t="n">
        <x:f>D532*(E532-1)*J532</x:f>
        <x:v>0</x:v>
      </x:c>
      <x:c r="M532" s="87" t="n">
        <x:f>0</x:f>
        <x:v>0</x:v>
      </x:c>
      <x:c r="N532" s="87" t="n">
        <x:f>H532+K532+M532</x:f>
        <x:v>739.5</x:v>
      </x:c>
      <x:c r="O532" s="87" t="n">
        <x:f>N532*'01 Base Costs'!$B$7+L532</x:f>
        <x:v>3556995000</x:v>
      </x:c>
      <x:c r="P532" s="87" t="n">
        <x:f>D532*E532</x:f>
        <x:v>2</x:v>
      </x:c>
      <x:c r="Q532" s="87" t="n">
        <x:f>P532*'01 Base Costs'!$B$12</x:f>
        <x:v>3888000</x:v>
      </x:c>
      <x:c r="R532" s="87" t="n">
        <x:f>'01 Base Costs'!$B$13</x:f>
        <x:v>100000</x:v>
      </x:c>
      <x:c r="S532" s="87" t="n">
        <x:f>Q532+R532</x:f>
        <x:v>3988000</x:v>
      </x:c>
      <x:c r="T532" s="141" t="n">
        <x:f>S532/'01 Base Costs'!$B$14</x:f>
        <x:v>7.976</x:v>
      </x:c>
      <x:c r="U532" s="87" t="n">
        <x:f>INT(T532)</x:f>
        <x:v>7</x:v>
      </x:c>
      <x:c r="V532" s="87" t="n">
        <x:f>S532-U532*'01 Base Costs'!$B$14</x:f>
        <x:v>488000</x:v>
      </x:c>
      <x:c r="W532" s="120" t="n">
        <x:f>'01 Base Costs'!$B$20*0.8/50</x:f>
        <x:v>89.6</x:v>
      </x:c>
      <x:c r="X532" s="120" t="n">
        <x:f>0</x:f>
        <x:v>0</x:v>
      </x:c>
      <x:c r="Y532" s="87" t="n">
        <x:f>T532*(W532*'01 Base Costs'!$B$7+X532)</x:f>
        <x:v>3437464576</x:v>
      </x:c>
      <x:c r="Z532" s="87" t="n">
        <x:f>T532*'01 Base Costs'!$B$8</x:f>
        <x:v>6005130400</x:v>
      </x:c>
      <x:c r="AA532" s="87" t="n">
        <x:f>Z532*'01 Base Costs'!$B$11</x:f>
        <x:v>300256520</x:v>
      </x:c>
      <x:c r="AB532" s="87" t="n">
        <x:f>Z532-AA532</x:f>
        <x:v>5704873880</x:v>
      </x:c>
      <x:c r="AC532" s="87" t="n">
        <x:f>O532+Y532</x:f>
        <x:v>6994459576</x:v>
      </x:c>
      <x:c r="AD532" s="87" t="n">
        <x:f>AB532-AC532</x:f>
        <x:v>-1289585696</x:v>
      </x:c>
      <x:c r="AE532" s="87" t="n">
        <x:f>AD532/D532</x:f>
        <x:v>-1289585696</x:v>
      </x:c>
      <x:c r="AF532" s="87" t="n">
        <x:f>AD532/P532</x:f>
        <x:v>-644792848</x:v>
      </x:c>
      <x:c r="AG532" s="87" t="n">
        <x:f>IF(T532=0,0,AC532/T532/(1-'01 Base Costs'!$B$11))</x:f>
        <x:v>923092907.1424801</x:v>
      </x:c>
      <x:c r="AH532" s="88" t="str">
        <x:f>IF(AD532&gt;0,"PROFIT","LOSS")</x:f>
        <x:v>LOSS</x:v>
      </x:c>
      <x:c r="AI532" s="89" t="str">
        <x:v>Capsuleer Day XXIIII event from screenshot. MCT sale 30% off. 50-pack at 20% off.</x:v>
      </x:c>
    </x:row>
    <x:row r="533">
      <x:c r="A533" s="86" t="n">
        <x:v>531</x:v>
      </x:c>
      <x:c r="B533" s="88" t="str">
        <x:v>Sale/Event</x:v>
      </x:c>
      <x:c r="C533" s="88" t="str">
        <x:v>Capsuleer Day 1M Omega + 100k SP + skin</x:v>
      </x:c>
      <x:c r="D533" s="88" t="n">
        <x:v>1</x:v>
      </x:c>
      <x:c r="E533" s="88" t="n">
        <x:v>2</x:v>
      </x:c>
      <x:c r="F533" s="88" t="str">
        <x:v>NES MCT 30% sale</x:v>
      </x:c>
      <x:c r="G533" s="88" t="str">
        <x:v>Market Skill Extractor</x:v>
      </x:c>
      <x:c r="H533" s="87" t="n">
        <x:f>'01 Base Costs'!$B$26</x:f>
        <x:v>400</x:v>
      </x:c>
      <x:c r="I533" s="87" t="n">
        <x:f>'01 Base Costs'!$B$16*0.7</x:f>
        <x:v>339.5</x:v>
      </x:c>
      <x:c r="J533" s="87" t="n">
        <x:f>0</x:f>
        <x:v>0</x:v>
      </x:c>
      <x:c r="K533" s="87" t="n">
        <x:f>D533*(E533-1)*I533</x:f>
        <x:v>339.5</x:v>
      </x:c>
      <x:c r="L533" s="87" t="n">
        <x:f>D533*(E533-1)*J533</x:f>
        <x:v>0</x:v>
      </x:c>
      <x:c r="M533" s="87" t="n">
        <x:f>0</x:f>
        <x:v>0</x:v>
      </x:c>
      <x:c r="N533" s="87" t="n">
        <x:f>H533+K533+M533</x:f>
        <x:v>739.5</x:v>
      </x:c>
      <x:c r="O533" s="87" t="n">
        <x:f>N533*'01 Base Costs'!$B$7+L533</x:f>
        <x:v>3556995000</x:v>
      </x:c>
      <x:c r="P533" s="87" t="n">
        <x:f>D533*E533</x:f>
        <x:v>2</x:v>
      </x:c>
      <x:c r="Q533" s="87" t="n">
        <x:f>P533*'01 Base Costs'!$B$12</x:f>
        <x:v>3888000</x:v>
      </x:c>
      <x:c r="R533" s="87" t="n">
        <x:f>'01 Base Costs'!$B$13</x:f>
        <x:v>100000</x:v>
      </x:c>
      <x:c r="S533" s="87" t="n">
        <x:f>Q533+R533</x:f>
        <x:v>3988000</x:v>
      </x:c>
      <x:c r="T533" s="141" t="n">
        <x:f>S533/'01 Base Costs'!$B$14</x:f>
        <x:v>7.976</x:v>
      </x:c>
      <x:c r="U533" s="87" t="n">
        <x:f>INT(T533)</x:f>
        <x:v>7</x:v>
      </x:c>
      <x:c r="V533" s="87" t="n">
        <x:f>S533-U533*'01 Base Costs'!$B$14</x:f>
        <x:v>488000</x:v>
      </x:c>
      <x:c r="W533" s="120" t="n">
        <x:f>0</x:f>
        <x:v>0</x:v>
      </x:c>
      <x:c r="X533" s="120" t="n">
        <x:f>'01 Base Costs'!$B$9</x:f>
        <x:v>463500000</x:v>
      </x:c>
      <x:c r="Y533" s="87" t="n">
        <x:f>T533*(W533*'01 Base Costs'!$B$7+X533)</x:f>
        <x:v>3696876000</x:v>
      </x:c>
      <x:c r="Z533" s="87" t="n">
        <x:f>T533*'01 Base Costs'!$B$8</x:f>
        <x:v>6005130400</x:v>
      </x:c>
      <x:c r="AA533" s="87" t="n">
        <x:f>Z533*'01 Base Costs'!$B$11</x:f>
        <x:v>300256520</x:v>
      </x:c>
      <x:c r="AB533" s="87" t="n">
        <x:f>Z533-AA533</x:f>
        <x:v>5704873880</x:v>
      </x:c>
      <x:c r="AC533" s="87" t="n">
        <x:f>O533+Y533</x:f>
        <x:v>7253871000</x:v>
      </x:c>
      <x:c r="AD533" s="87" t="n">
        <x:f>AB533-AC533</x:f>
        <x:v>-1548997120</x:v>
      </x:c>
      <x:c r="AE533" s="87" t="n">
        <x:f>AD533/D533</x:f>
        <x:v>-1548997120</x:v>
      </x:c>
      <x:c r="AF533" s="87" t="n">
        <x:f>AD533/P533</x:f>
        <x:v>-774498560</x:v>
      </x:c>
      <x:c r="AG533" s="87" t="n">
        <x:f>IF(T533=0,0,AC533/T533/(1-'01 Base Costs'!$B$11))</x:f>
        <x:v>957328696.6161643</x:v>
      </x:c>
      <x:c r="AH533" s="88" t="str">
        <x:f>IF(AD533&gt;0,"PROFIT","LOSS")</x:f>
        <x:v>LOSS</x:v>
      </x:c>
      <x:c r="AI533" s="89" t="str">
        <x:v>Capsuleer Day XXIIII event from screenshot. MCT sale 30% off. Extractor bought on market with ISK.</x:v>
      </x:c>
    </x:row>
    <x:row r="534">
      <x:c r="A534" s="86" t="n">
        <x:v>532</x:v>
      </x:c>
      <x:c r="B534" s="88" t="str">
        <x:v>Sale/Event</x:v>
      </x:c>
      <x:c r="C534" s="88" t="str">
        <x:v>Capsuleer Day 1M Omega + 100k SP + skin</x:v>
      </x:c>
      <x:c r="D534" s="88" t="n">
        <x:v>1</x:v>
      </x:c>
      <x:c r="E534" s="88" t="n">
        <x:v>2</x:v>
      </x:c>
      <x:c r="F534" s="88" t="str">
        <x:v>NES MCT 40% sale</x:v>
      </x:c>
      <x:c r="G534" s="88" t="str">
        <x:v>NES single extractor</x:v>
      </x:c>
      <x:c r="H534" s="87" t="n">
        <x:f>'01 Base Costs'!$B$26</x:f>
        <x:v>400</x:v>
      </x:c>
      <x:c r="I534" s="87" t="n">
        <x:f>'01 Base Costs'!$B$16*0.6</x:f>
        <x:v>291</x:v>
      </x:c>
      <x:c r="J534" s="87" t="n">
        <x:f>0</x:f>
        <x:v>0</x:v>
      </x:c>
      <x:c r="K534" s="87" t="n">
        <x:f>D534*(E534-1)*I534</x:f>
        <x:v>291</x:v>
      </x:c>
      <x:c r="L534" s="87" t="n">
        <x:f>D534*(E534-1)*J534</x:f>
        <x:v>0</x:v>
      </x:c>
      <x:c r="M534" s="87" t="n">
        <x:f>0</x:f>
        <x:v>0</x:v>
      </x:c>
      <x:c r="N534" s="87" t="n">
        <x:f>H534+K534+M534</x:f>
        <x:v>691</x:v>
      </x:c>
      <x:c r="O534" s="87" t="n">
        <x:f>N534*'01 Base Costs'!$B$7+L534</x:f>
        <x:v>3323710000</x:v>
      </x:c>
      <x:c r="P534" s="87" t="n">
        <x:f>D534*E534</x:f>
        <x:v>2</x:v>
      </x:c>
      <x:c r="Q534" s="87" t="n">
        <x:f>P534*'01 Base Costs'!$B$12</x:f>
        <x:v>3888000</x:v>
      </x:c>
      <x:c r="R534" s="87" t="n">
        <x:f>'01 Base Costs'!$B$13</x:f>
        <x:v>100000</x:v>
      </x:c>
      <x:c r="S534" s="87" t="n">
        <x:f>Q534+R534</x:f>
        <x:v>3988000</x:v>
      </x:c>
      <x:c r="T534" s="141" t="n">
        <x:f>S534/'01 Base Costs'!$B$14</x:f>
        <x:v>7.976</x:v>
      </x:c>
      <x:c r="U534" s="87" t="n">
        <x:f>INT(T534)</x:f>
        <x:v>7</x:v>
      </x:c>
      <x:c r="V534" s="87" t="n">
        <x:f>S534-U534*'01 Base Costs'!$B$14</x:f>
        <x:v>488000</x:v>
      </x:c>
      <x:c r="W534" s="120" t="n">
        <x:f>'01 Base Costs'!$B$17</x:f>
        <x:v>140</x:v>
      </x:c>
      <x:c r="X534" s="120" t="n">
        <x:f>0</x:f>
        <x:v>0</x:v>
      </x:c>
      <x:c r="Y534" s="87" t="n">
        <x:f>T534*(W534*'01 Base Costs'!$B$7+X534)</x:f>
        <x:v>5371038400</x:v>
      </x:c>
      <x:c r="Z534" s="87" t="n">
        <x:f>T534*'01 Base Costs'!$B$8</x:f>
        <x:v>6005130400</x:v>
      </x:c>
      <x:c r="AA534" s="87" t="n">
        <x:f>Z534*'01 Base Costs'!$B$11</x:f>
        <x:v>300256520</x:v>
      </x:c>
      <x:c r="AB534" s="87" t="n">
        <x:f>Z534-AA534</x:f>
        <x:v>5704873880</x:v>
      </x:c>
      <x:c r="AC534" s="87" t="n">
        <x:f>O534+Y534</x:f>
        <x:v>8694748400</x:v>
      </x:c>
      <x:c r="AD534" s="87" t="n">
        <x:f>AB534-AC534</x:f>
        <x:v>-2989874520</x:v>
      </x:c>
      <x:c r="AE534" s="87" t="n">
        <x:f>AD534/D534</x:f>
        <x:v>-2989874520</x:v>
      </x:c>
      <x:c r="AF534" s="87" t="n">
        <x:f>AD534/P534</x:f>
        <x:v>-1494937260</x:v>
      </x:c>
      <x:c r="AG534" s="87" t="n">
        <x:f>IF(T534=0,0,AC534/T534/(1-'01 Base Costs'!$B$11))</x:f>
        <x:v>1147488307.0263422</x:v>
      </x:c>
      <x:c r="AH534" s="88" t="str">
        <x:f>IF(AD534&gt;0,"PROFIT","LOSS")</x:f>
        <x:v>LOSS</x:v>
      </x:c>
      <x:c r="AI534" s="89" t="str">
        <x:v>Capsuleer Day XXIIII event from screenshot. MCT sale 40% off. Base single extractor.</x:v>
      </x:c>
    </x:row>
    <x:row r="535">
      <x:c r="A535" s="86" t="n">
        <x:v>533</x:v>
      </x:c>
      <x:c r="B535" s="88" t="str">
        <x:v>Sale/Event</x:v>
      </x:c>
      <x:c r="C535" s="88" t="str">
        <x:v>Capsuleer Day 1M Omega + 100k SP + skin</x:v>
      </x:c>
      <x:c r="D535" s="88" t="n">
        <x:v>1</x:v>
      </x:c>
      <x:c r="E535" s="88" t="n">
        <x:v>2</x:v>
      </x:c>
      <x:c r="F535" s="88" t="str">
        <x:v>NES MCT 40% sale</x:v>
      </x:c>
      <x:c r="G535" s="88" t="str">
        <x:v>NES 5-pack extractor</x:v>
      </x:c>
      <x:c r="H535" s="87" t="n">
        <x:f>'01 Base Costs'!$B$26</x:f>
        <x:v>400</x:v>
      </x:c>
      <x:c r="I535" s="87" t="n">
        <x:f>'01 Base Costs'!$B$16*0.6</x:f>
        <x:v>291</x:v>
      </x:c>
      <x:c r="J535" s="87" t="n">
        <x:f>0</x:f>
        <x:v>0</x:v>
      </x:c>
      <x:c r="K535" s="87" t="n">
        <x:f>D535*(E535-1)*I535</x:f>
        <x:v>291</x:v>
      </x:c>
      <x:c r="L535" s="87" t="n">
        <x:f>D535*(E535-1)*J535</x:f>
        <x:v>0</x:v>
      </x:c>
      <x:c r="M535" s="87" t="n">
        <x:f>0</x:f>
        <x:v>0</x:v>
      </x:c>
      <x:c r="N535" s="87" t="n">
        <x:f>H535+K535+M535</x:f>
        <x:v>691</x:v>
      </x:c>
      <x:c r="O535" s="87" t="n">
        <x:f>N535*'01 Base Costs'!$B$7+L535</x:f>
        <x:v>3323710000</x:v>
      </x:c>
      <x:c r="P535" s="87" t="n">
        <x:f>D535*E535</x:f>
        <x:v>2</x:v>
      </x:c>
      <x:c r="Q535" s="87" t="n">
        <x:f>P535*'01 Base Costs'!$B$12</x:f>
        <x:v>3888000</x:v>
      </x:c>
      <x:c r="R535" s="87" t="n">
        <x:f>'01 Base Costs'!$B$13</x:f>
        <x:v>100000</x:v>
      </x:c>
      <x:c r="S535" s="87" t="n">
        <x:f>Q535+R535</x:f>
        <x:v>3988000</x:v>
      </x:c>
      <x:c r="T535" s="141" t="n">
        <x:f>S535/'01 Base Costs'!$B$14</x:f>
        <x:v>7.976</x:v>
      </x:c>
      <x:c r="U535" s="87" t="n">
        <x:f>INT(T535)</x:f>
        <x:v>7</x:v>
      </x:c>
      <x:c r="V535" s="87" t="n">
        <x:f>S535-U535*'01 Base Costs'!$B$14</x:f>
        <x:v>488000</x:v>
      </x:c>
      <x:c r="W535" s="120" t="n">
        <x:f>'01 Base Costs'!$B$18/5</x:f>
        <x:v>126</x:v>
      </x:c>
      <x:c r="X535" s="120" t="n">
        <x:f>0</x:f>
        <x:v>0</x:v>
      </x:c>
      <x:c r="Y535" s="87" t="n">
        <x:f>T535*(W535*'01 Base Costs'!$B$7+X535)</x:f>
        <x:v>4833934560</x:v>
      </x:c>
      <x:c r="Z535" s="87" t="n">
        <x:f>T535*'01 Base Costs'!$B$8</x:f>
        <x:v>6005130400</x:v>
      </x:c>
      <x:c r="AA535" s="87" t="n">
        <x:f>Z535*'01 Base Costs'!$B$11</x:f>
        <x:v>300256520</x:v>
      </x:c>
      <x:c r="AB535" s="87" t="n">
        <x:f>Z535-AA535</x:f>
        <x:v>5704873880</x:v>
      </x:c>
      <x:c r="AC535" s="87" t="n">
        <x:f>O535+Y535</x:f>
        <x:v>8157644560</x:v>
      </x:c>
      <x:c r="AD535" s="87" t="n">
        <x:f>AB535-AC535</x:f>
        <x:v>-2452770680</x:v>
      </x:c>
      <x:c r="AE535" s="87" t="n">
        <x:f>AD535/D535</x:f>
        <x:v>-2452770680</x:v>
      </x:c>
      <x:c r="AF535" s="87" t="n">
        <x:f>AD535/P535</x:f>
        <x:v>-1226385340</x:v>
      </x:c>
      <x:c r="AG535" s="87" t="n">
        <x:f>IF(T535=0,0,AC535/T535/(1-'01 Base Costs'!$B$11))</x:f>
        <x:v>1076604096.5000265</x:v>
      </x:c>
      <x:c r="AH535" s="88" t="str">
        <x:f>IF(AD535&gt;0,"PROFIT","LOSS")</x:f>
        <x:v>LOSS</x:v>
      </x:c>
      <x:c r="AI535" s="89" t="str">
        <x:v>Capsuleer Day XXIIII event from screenshot. MCT sale 40% off. Base 5-pack average.</x:v>
      </x:c>
    </x:row>
    <x:row r="536">
      <x:c r="A536" s="86" t="n">
        <x:v>534</x:v>
      </x:c>
      <x:c r="B536" s="88" t="str">
        <x:v>Sale/Event</x:v>
      </x:c>
      <x:c r="C536" s="88" t="str">
        <x:v>Capsuleer Day 1M Omega + 100k SP + skin</x:v>
      </x:c>
      <x:c r="D536" s="88" t="n">
        <x:v>1</x:v>
      </x:c>
      <x:c r="E536" s="88" t="n">
        <x:v>2</x:v>
      </x:c>
      <x:c r="F536" s="88" t="str">
        <x:v>NES MCT 40% sale</x:v>
      </x:c>
      <x:c r="G536" s="88" t="str">
        <x:v>NES 10-pack extractor</x:v>
      </x:c>
      <x:c r="H536" s="87" t="n">
        <x:f>'01 Base Costs'!$B$26</x:f>
        <x:v>400</x:v>
      </x:c>
      <x:c r="I536" s="87" t="n">
        <x:f>'01 Base Costs'!$B$16*0.6</x:f>
        <x:v>291</x:v>
      </x:c>
      <x:c r="J536" s="87" t="n">
        <x:f>0</x:f>
        <x:v>0</x:v>
      </x:c>
      <x:c r="K536" s="87" t="n">
        <x:f>D536*(E536-1)*I536</x:f>
        <x:v>291</x:v>
      </x:c>
      <x:c r="L536" s="87" t="n">
        <x:f>D536*(E536-1)*J536</x:f>
        <x:v>0</x:v>
      </x:c>
      <x:c r="M536" s="87" t="n">
        <x:f>0</x:f>
        <x:v>0</x:v>
      </x:c>
      <x:c r="N536" s="87" t="n">
        <x:f>H536+K536+M536</x:f>
        <x:v>691</x:v>
      </x:c>
      <x:c r="O536" s="87" t="n">
        <x:f>N536*'01 Base Costs'!$B$7+L536</x:f>
        <x:v>3323710000</x:v>
      </x:c>
      <x:c r="P536" s="87" t="n">
        <x:f>D536*E536</x:f>
        <x:v>2</x:v>
      </x:c>
      <x:c r="Q536" s="87" t="n">
        <x:f>P536*'01 Base Costs'!$B$12</x:f>
        <x:v>3888000</x:v>
      </x:c>
      <x:c r="R536" s="87" t="n">
        <x:f>'01 Base Costs'!$B$13</x:f>
        <x:v>100000</x:v>
      </x:c>
      <x:c r="S536" s="87" t="n">
        <x:f>Q536+R536</x:f>
        <x:v>3988000</x:v>
      </x:c>
      <x:c r="T536" s="141" t="n">
        <x:f>S536/'01 Base Costs'!$B$14</x:f>
        <x:v>7.976</x:v>
      </x:c>
      <x:c r="U536" s="87" t="n">
        <x:f>INT(T536)</x:f>
        <x:v>7</x:v>
      </x:c>
      <x:c r="V536" s="87" t="n">
        <x:f>S536-U536*'01 Base Costs'!$B$14</x:f>
        <x:v>488000</x:v>
      </x:c>
      <x:c r="W536" s="120" t="n">
        <x:f>'01 Base Costs'!$B$19/10</x:f>
        <x:v>119</x:v>
      </x:c>
      <x:c r="X536" s="120" t="n">
        <x:f>0</x:f>
        <x:v>0</x:v>
      </x:c>
      <x:c r="Y536" s="87" t="n">
        <x:f>T536*(W536*'01 Base Costs'!$B$7+X536)</x:f>
        <x:v>4565382640</x:v>
      </x:c>
      <x:c r="Z536" s="87" t="n">
        <x:f>T536*'01 Base Costs'!$B$8</x:f>
        <x:v>6005130400</x:v>
      </x:c>
      <x:c r="AA536" s="87" t="n">
        <x:f>Z536*'01 Base Costs'!$B$11</x:f>
        <x:v>300256520</x:v>
      </x:c>
      <x:c r="AB536" s="87" t="n">
        <x:f>Z536-AA536</x:f>
        <x:v>5704873880</x:v>
      </x:c>
      <x:c r="AC536" s="87" t="n">
        <x:f>O536+Y536</x:f>
        <x:v>7889092640</x:v>
      </x:c>
      <x:c r="AD536" s="87" t="n">
        <x:f>AB536-AC536</x:f>
        <x:v>-2184218760</x:v>
      </x:c>
      <x:c r="AE536" s="87" t="n">
        <x:f>AD536/D536</x:f>
        <x:v>-2184218760</x:v>
      </x:c>
      <x:c r="AF536" s="87" t="n">
        <x:f>AD536/P536</x:f>
        <x:v>-1092109380</x:v>
      </x:c>
      <x:c r="AG536" s="87" t="n">
        <x:f>IF(T536=0,0,AC536/T536/(1-'01 Base Costs'!$B$11))</x:f>
        <x:v>1041161991.2368686</x:v>
      </x:c>
      <x:c r="AH536" s="88" t="str">
        <x:f>IF(AD536&gt;0,"PROFIT","LOSS")</x:f>
        <x:v>LOSS</x:v>
      </x:c>
      <x:c r="AI536" s="89" t="str">
        <x:v>Capsuleer Day XXIIII event from screenshot. MCT sale 40% off. Base 10-pack average.</x:v>
      </x:c>
    </x:row>
    <x:row r="537">
      <x:c r="A537" s="86" t="n">
        <x:v>535</x:v>
      </x:c>
      <x:c r="B537" s="88" t="str">
        <x:v>Sale/Event</x:v>
      </x:c>
      <x:c r="C537" s="88" t="str">
        <x:v>Capsuleer Day 1M Omega + 100k SP + skin</x:v>
      </x:c>
      <x:c r="D537" s="88" t="n">
        <x:v>1</x:v>
      </x:c>
      <x:c r="E537" s="88" t="n">
        <x:v>2</x:v>
      </x:c>
      <x:c r="F537" s="88" t="str">
        <x:v>NES MCT 40% sale</x:v>
      </x:c>
      <x:c r="G537" s="88" t="str">
        <x:v>NES 50-pack extractor</x:v>
      </x:c>
      <x:c r="H537" s="87" t="n">
        <x:f>'01 Base Costs'!$B$26</x:f>
        <x:v>400</x:v>
      </x:c>
      <x:c r="I537" s="87" t="n">
        <x:f>'01 Base Costs'!$B$16*0.6</x:f>
        <x:v>291</x:v>
      </x:c>
      <x:c r="J537" s="87" t="n">
        <x:f>0</x:f>
        <x:v>0</x:v>
      </x:c>
      <x:c r="K537" s="87" t="n">
        <x:f>D537*(E537-1)*I537</x:f>
        <x:v>291</x:v>
      </x:c>
      <x:c r="L537" s="87" t="n">
        <x:f>D537*(E537-1)*J537</x:f>
        <x:v>0</x:v>
      </x:c>
      <x:c r="M537" s="87" t="n">
        <x:f>0</x:f>
        <x:v>0</x:v>
      </x:c>
      <x:c r="N537" s="87" t="n">
        <x:f>H537+K537+M537</x:f>
        <x:v>691</x:v>
      </x:c>
      <x:c r="O537" s="87" t="n">
        <x:f>N537*'01 Base Costs'!$B$7+L537</x:f>
        <x:v>3323710000</x:v>
      </x:c>
      <x:c r="P537" s="87" t="n">
        <x:f>D537*E537</x:f>
        <x:v>2</x:v>
      </x:c>
      <x:c r="Q537" s="87" t="n">
        <x:f>P537*'01 Base Costs'!$B$12</x:f>
        <x:v>3888000</x:v>
      </x:c>
      <x:c r="R537" s="87" t="n">
        <x:f>'01 Base Costs'!$B$13</x:f>
        <x:v>100000</x:v>
      </x:c>
      <x:c r="S537" s="87" t="n">
        <x:f>Q537+R537</x:f>
        <x:v>3988000</x:v>
      </x:c>
      <x:c r="T537" s="141" t="n">
        <x:f>S537/'01 Base Costs'!$B$14</x:f>
        <x:v>7.976</x:v>
      </x:c>
      <x:c r="U537" s="87" t="n">
        <x:f>INT(T537)</x:f>
        <x:v>7</x:v>
      </x:c>
      <x:c r="V537" s="87" t="n">
        <x:f>S537-U537*'01 Base Costs'!$B$14</x:f>
        <x:v>488000</x:v>
      </x:c>
      <x:c r="W537" s="120" t="n">
        <x:f>'01 Base Costs'!$B$20/50</x:f>
        <x:v>112</x:v>
      </x:c>
      <x:c r="X537" s="120" t="n">
        <x:f>0</x:f>
        <x:v>0</x:v>
      </x:c>
      <x:c r="Y537" s="87" t="n">
        <x:f>T537*(W537*'01 Base Costs'!$B$7+X537)</x:f>
        <x:v>4296830720</x:v>
      </x:c>
      <x:c r="Z537" s="87" t="n">
        <x:f>T537*'01 Base Costs'!$B$8</x:f>
        <x:v>6005130400</x:v>
      </x:c>
      <x:c r="AA537" s="87" t="n">
        <x:f>Z537*'01 Base Costs'!$B$11</x:f>
        <x:v>300256520</x:v>
      </x:c>
      <x:c r="AB537" s="87" t="n">
        <x:f>Z537-AA537</x:f>
        <x:v>5704873880</x:v>
      </x:c>
      <x:c r="AC537" s="87" t="n">
        <x:f>O537+Y537</x:f>
        <x:v>7620540720</x:v>
      </x:c>
      <x:c r="AD537" s="87" t="n">
        <x:f>AB537-AC537</x:f>
        <x:v>-1915666840</x:v>
      </x:c>
      <x:c r="AE537" s="87" t="n">
        <x:f>AD537/D537</x:f>
        <x:v>-1915666840</x:v>
      </x:c>
      <x:c r="AF537" s="87" t="n">
        <x:f>AD537/P537</x:f>
        <x:v>-957833420</x:v>
      </x:c>
      <x:c r="AG537" s="87" t="n">
        <x:f>IF(T537=0,0,AC537/T537/(1-'01 Base Costs'!$B$11))</x:f>
        <x:v>1005719885.9737107</x:v>
      </x:c>
      <x:c r="AH537" s="88" t="str">
        <x:f>IF(AD537&gt;0,"PROFIT","LOSS")</x:f>
        <x:v>LOSS</x:v>
      </x:c>
      <x:c r="AI537" s="89" t="str">
        <x:v>Capsuleer Day XXIIII event from screenshot. MCT sale 40% off. Base 50-pack average.</x:v>
      </x:c>
    </x:row>
    <x:row r="538">
      <x:c r="A538" s="86" t="n">
        <x:v>536</x:v>
      </x:c>
      <x:c r="B538" s="88" t="str">
        <x:v>Sale/Event</x:v>
      </x:c>
      <x:c r="C538" s="88" t="str">
        <x:v>Capsuleer Day 1M Omega + 100k SP + skin</x:v>
      </x:c>
      <x:c r="D538" s="88" t="n">
        <x:v>1</x:v>
      </x:c>
      <x:c r="E538" s="88" t="n">
        <x:v>2</x:v>
      </x:c>
      <x:c r="F538" s="88" t="str">
        <x:v>NES MCT 40% sale</x:v>
      </x:c>
      <x:c r="G538" s="88" t="str">
        <x:v>NES 3-for-2 extractor sale</x:v>
      </x:c>
      <x:c r="H538" s="87" t="n">
        <x:f>'01 Base Costs'!$B$26</x:f>
        <x:v>400</x:v>
      </x:c>
      <x:c r="I538" s="87" t="n">
        <x:f>'01 Base Costs'!$B$16*0.6</x:f>
        <x:v>291</x:v>
      </x:c>
      <x:c r="J538" s="87" t="n">
        <x:f>0</x:f>
        <x:v>0</x:v>
      </x:c>
      <x:c r="K538" s="87" t="n">
        <x:f>D538*(E538-1)*I538</x:f>
        <x:v>291</x:v>
      </x:c>
      <x:c r="L538" s="87" t="n">
        <x:f>D538*(E538-1)*J538</x:f>
        <x:v>0</x:v>
      </x:c>
      <x:c r="M538" s="87" t="n">
        <x:f>0</x:f>
        <x:v>0</x:v>
      </x:c>
      <x:c r="N538" s="87" t="n">
        <x:f>H538+K538+M538</x:f>
        <x:v>691</x:v>
      </x:c>
      <x:c r="O538" s="87" t="n">
        <x:f>N538*'01 Base Costs'!$B$7+L538</x:f>
        <x:v>3323710000</x:v>
      </x:c>
      <x:c r="P538" s="87" t="n">
        <x:f>D538*E538</x:f>
        <x:v>2</x:v>
      </x:c>
      <x:c r="Q538" s="87" t="n">
        <x:f>P538*'01 Base Costs'!$B$12</x:f>
        <x:v>3888000</x:v>
      </x:c>
      <x:c r="R538" s="87" t="n">
        <x:f>'01 Base Costs'!$B$13</x:f>
        <x:v>100000</x:v>
      </x:c>
      <x:c r="S538" s="87" t="n">
        <x:f>Q538+R538</x:f>
        <x:v>3988000</x:v>
      </x:c>
      <x:c r="T538" s="141" t="n">
        <x:f>S538/'01 Base Costs'!$B$14</x:f>
        <x:v>7.976</x:v>
      </x:c>
      <x:c r="U538" s="87" t="n">
        <x:f>INT(T538)</x:f>
        <x:v>7</x:v>
      </x:c>
      <x:c r="V538" s="87" t="n">
        <x:f>S538-U538*'01 Base Costs'!$B$14</x:f>
        <x:v>488000</x:v>
      </x:c>
      <x:c r="W538" s="120" t="n">
        <x:f>'01 Base Costs'!$B$17*2/3</x:f>
        <x:v>93.33333333333333</x:v>
      </x:c>
      <x:c r="X538" s="120" t="n">
        <x:f>0</x:f>
        <x:v>0</x:v>
      </x:c>
      <x:c r="Y538" s="87" t="n">
        <x:f>T538*(W538*'01 Base Costs'!$B$7+X538)</x:f>
        <x:v>3580692266.6666665</x:v>
      </x:c>
      <x:c r="Z538" s="87" t="n">
        <x:f>T538*'01 Base Costs'!$B$8</x:f>
        <x:v>6005130400</x:v>
      </x:c>
      <x:c r="AA538" s="87" t="n">
        <x:f>Z538*'01 Base Costs'!$B$11</x:f>
        <x:v>300256520</x:v>
      </x:c>
      <x:c r="AB538" s="87" t="n">
        <x:f>Z538-AA538</x:f>
        <x:v>5704873880</x:v>
      </x:c>
      <x:c r="AC538" s="87" t="n">
        <x:f>O538+Y538</x:f>
        <x:v>6904402266.666666</x:v>
      </x:c>
      <x:c r="AD538" s="87" t="n">
        <x:f>AB538-AC538</x:f>
        <x:v>-1199528386.666666</x:v>
      </x:c>
      <x:c r="AE538" s="87" t="n">
        <x:f>AD538/D538</x:f>
        <x:v>-1199528386.666666</x:v>
      </x:c>
      <x:c r="AF538" s="87" t="n">
        <x:f>AD538/P538</x:f>
        <x:v>-599764193.333333</x:v>
      </x:c>
      <x:c r="AG538" s="87" t="n">
        <x:f>IF(T538=0,0,AC538/T538/(1-'01 Base Costs'!$B$11))</x:f>
        <x:v>911207605.2719562</x:v>
      </x:c>
      <x:c r="AH538" s="88" t="str">
        <x:f>IF(AD538&gt;0,"PROFIT","LOSS")</x:f>
        <x:v>LOSS</x:v>
      </x:c>
      <x:c r="AI538" s="89" t="str">
        <x:v>Capsuleer Day XXIIII event from screenshot. MCT sale 40% off. Extractor 3-for-2 sale.</x:v>
      </x:c>
    </x:row>
    <x:row r="539">
      <x:c r="A539" s="86" t="n">
        <x:v>537</x:v>
      </x:c>
      <x:c r="B539" s="88" t="str">
        <x:v>Sale/Event</x:v>
      </x:c>
      <x:c r="C539" s="88" t="str">
        <x:v>Capsuleer Day 1M Omega + 100k SP + skin</x:v>
      </x:c>
      <x:c r="D539" s="88" t="n">
        <x:v>1</x:v>
      </x:c>
      <x:c r="E539" s="88" t="n">
        <x:v>2</x:v>
      </x:c>
      <x:c r="F539" s="88" t="str">
        <x:v>NES MCT 40% sale</x:v>
      </x:c>
      <x:c r="G539" s="88" t="str">
        <x:v>NES 2-for-1 extractor sale</x:v>
      </x:c>
      <x:c r="H539" s="87" t="n">
        <x:f>'01 Base Costs'!$B$26</x:f>
        <x:v>400</x:v>
      </x:c>
      <x:c r="I539" s="87" t="n">
        <x:f>'01 Base Costs'!$B$16*0.6</x:f>
        <x:v>291</x:v>
      </x:c>
      <x:c r="J539" s="87" t="n">
        <x:f>0</x:f>
        <x:v>0</x:v>
      </x:c>
      <x:c r="K539" s="87" t="n">
        <x:f>D539*(E539-1)*I539</x:f>
        <x:v>291</x:v>
      </x:c>
      <x:c r="L539" s="87" t="n">
        <x:f>D539*(E539-1)*J539</x:f>
        <x:v>0</x:v>
      </x:c>
      <x:c r="M539" s="87" t="n">
        <x:f>0</x:f>
        <x:v>0</x:v>
      </x:c>
      <x:c r="N539" s="87" t="n">
        <x:f>H539+K539+M539</x:f>
        <x:v>691</x:v>
      </x:c>
      <x:c r="O539" s="87" t="n">
        <x:f>N539*'01 Base Costs'!$B$7+L539</x:f>
        <x:v>3323710000</x:v>
      </x:c>
      <x:c r="P539" s="87" t="n">
        <x:f>D539*E539</x:f>
        <x:v>2</x:v>
      </x:c>
      <x:c r="Q539" s="87" t="n">
        <x:f>P539*'01 Base Costs'!$B$12</x:f>
        <x:v>3888000</x:v>
      </x:c>
      <x:c r="R539" s="87" t="n">
        <x:f>'01 Base Costs'!$B$13</x:f>
        <x:v>100000</x:v>
      </x:c>
      <x:c r="S539" s="87" t="n">
        <x:f>Q539+R539</x:f>
        <x:v>3988000</x:v>
      </x:c>
      <x:c r="T539" s="141" t="n">
        <x:f>S539/'01 Base Costs'!$B$14</x:f>
        <x:v>7.976</x:v>
      </x:c>
      <x:c r="U539" s="87" t="n">
        <x:f>INT(T539)</x:f>
        <x:v>7</x:v>
      </x:c>
      <x:c r="V539" s="87" t="n">
        <x:f>S539-U539*'01 Base Costs'!$B$14</x:f>
        <x:v>488000</x:v>
      </x:c>
      <x:c r="W539" s="120" t="n">
        <x:f>'01 Base Costs'!$B$17/2</x:f>
        <x:v>70</x:v>
      </x:c>
      <x:c r="X539" s="120" t="n">
        <x:f>0</x:f>
        <x:v>0</x:v>
      </x:c>
      <x:c r="Y539" s="87" t="n">
        <x:f>T539*(W539*'01 Base Costs'!$B$7+X539)</x:f>
        <x:v>2685519200</x:v>
      </x:c>
      <x:c r="Z539" s="87" t="n">
        <x:f>T539*'01 Base Costs'!$B$8</x:f>
        <x:v>6005130400</x:v>
      </x:c>
      <x:c r="AA539" s="87" t="n">
        <x:f>Z539*'01 Base Costs'!$B$11</x:f>
        <x:v>300256520</x:v>
      </x:c>
      <x:c r="AB539" s="87" t="n">
        <x:f>Z539-AA539</x:f>
        <x:v>5704873880</x:v>
      </x:c>
      <x:c r="AC539" s="87" t="n">
        <x:f>O539+Y539</x:f>
        <x:v>6009229200</x:v>
      </x:c>
      <x:c r="AD539" s="87" t="n">
        <x:f>AB539-AC539</x:f>
        <x:v>-304355320</x:v>
      </x:c>
      <x:c r="AE539" s="87" t="n">
        <x:f>AD539/D539</x:f>
        <x:v>-304355320</x:v>
      </x:c>
      <x:c r="AF539" s="87" t="n">
        <x:f>AD539/P539</x:f>
        <x:v>-152177660</x:v>
      </x:c>
      <x:c r="AG539" s="87" t="n">
        <x:f>IF(T539=0,0,AC539/T539/(1-'01 Base Costs'!$B$11))</x:f>
        <x:v>793067254.3947634</x:v>
      </x:c>
      <x:c r="AH539" s="88" t="str">
        <x:f>IF(AD539&gt;0,"PROFIT","LOSS")</x:f>
        <x:v>LOSS</x:v>
      </x:c>
      <x:c r="AI539" s="89" t="str">
        <x:v>Capsuleer Day XXIIII event from screenshot. MCT sale 40% off. Extractor 2-for-1 sale.</x:v>
      </x:c>
    </x:row>
    <x:row r="540">
      <x:c r="A540" s="86" t="n">
        <x:v>538</x:v>
      </x:c>
      <x:c r="B540" s="88" t="str">
        <x:v>Sale/Event</x:v>
      </x:c>
      <x:c r="C540" s="88" t="str">
        <x:v>Capsuleer Day 1M Omega + 100k SP + skin</x:v>
      </x:c>
      <x:c r="D540" s="88" t="n">
        <x:v>1</x:v>
      </x:c>
      <x:c r="E540" s="88" t="n">
        <x:v>2</x:v>
      </x:c>
      <x:c r="F540" s="88" t="str">
        <x:v>NES MCT 40% sale</x:v>
      </x:c>
      <x:c r="G540" s="88" t="str">
        <x:v>NES 10-pack extractor 20% sale</x:v>
      </x:c>
      <x:c r="H540" s="87" t="n">
        <x:f>'01 Base Costs'!$B$26</x:f>
        <x:v>400</x:v>
      </x:c>
      <x:c r="I540" s="87" t="n">
        <x:f>'01 Base Costs'!$B$16*0.6</x:f>
        <x:v>291</x:v>
      </x:c>
      <x:c r="J540" s="87" t="n">
        <x:f>0</x:f>
        <x:v>0</x:v>
      </x:c>
      <x:c r="K540" s="87" t="n">
        <x:f>D540*(E540-1)*I540</x:f>
        <x:v>291</x:v>
      </x:c>
      <x:c r="L540" s="87" t="n">
        <x:f>D540*(E540-1)*J540</x:f>
        <x:v>0</x:v>
      </x:c>
      <x:c r="M540" s="87" t="n">
        <x:f>0</x:f>
        <x:v>0</x:v>
      </x:c>
      <x:c r="N540" s="87" t="n">
        <x:f>H540+K540+M540</x:f>
        <x:v>691</x:v>
      </x:c>
      <x:c r="O540" s="87" t="n">
        <x:f>N540*'01 Base Costs'!$B$7+L540</x:f>
        <x:v>3323710000</x:v>
      </x:c>
      <x:c r="P540" s="87" t="n">
        <x:f>D540*E540</x:f>
        <x:v>2</x:v>
      </x:c>
      <x:c r="Q540" s="87" t="n">
        <x:f>P540*'01 Base Costs'!$B$12</x:f>
        <x:v>3888000</x:v>
      </x:c>
      <x:c r="R540" s="87" t="n">
        <x:f>'01 Base Costs'!$B$13</x:f>
        <x:v>100000</x:v>
      </x:c>
      <x:c r="S540" s="87" t="n">
        <x:f>Q540+R540</x:f>
        <x:v>3988000</x:v>
      </x:c>
      <x:c r="T540" s="141" t="n">
        <x:f>S540/'01 Base Costs'!$B$14</x:f>
        <x:v>7.976</x:v>
      </x:c>
      <x:c r="U540" s="87" t="n">
        <x:f>INT(T540)</x:f>
        <x:v>7</x:v>
      </x:c>
      <x:c r="V540" s="87" t="n">
        <x:f>S540-U540*'01 Base Costs'!$B$14</x:f>
        <x:v>488000</x:v>
      </x:c>
      <x:c r="W540" s="120" t="n">
        <x:f>'01 Base Costs'!$B$19*0.8/10</x:f>
        <x:v>95.2</x:v>
      </x:c>
      <x:c r="X540" s="120" t="n">
        <x:f>0</x:f>
        <x:v>0</x:v>
      </x:c>
      <x:c r="Y540" s="87" t="n">
        <x:f>T540*(W540*'01 Base Costs'!$B$7+X540)</x:f>
        <x:v>3652306112</x:v>
      </x:c>
      <x:c r="Z540" s="87" t="n">
        <x:f>T540*'01 Base Costs'!$B$8</x:f>
        <x:v>6005130400</x:v>
      </x:c>
      <x:c r="AA540" s="87" t="n">
        <x:f>Z540*'01 Base Costs'!$B$11</x:f>
        <x:v>300256520</x:v>
      </x:c>
      <x:c r="AB540" s="87" t="n">
        <x:f>Z540-AA540</x:f>
        <x:v>5704873880</x:v>
      </x:c>
      <x:c r="AC540" s="87" t="n">
        <x:f>O540+Y540</x:f>
        <x:v>6976016112</x:v>
      </x:c>
      <x:c r="AD540" s="87" t="n">
        <x:f>AB540-AC540</x:f>
        <x:v>-1271142232</x:v>
      </x:c>
      <x:c r="AE540" s="87" t="n">
        <x:f>AD540/D540</x:f>
        <x:v>-1271142232</x:v>
      </x:c>
      <x:c r="AF540" s="87" t="n">
        <x:f>AD540/P540</x:f>
        <x:v>-635571116</x:v>
      </x:c>
      <x:c r="AG540" s="87" t="n">
        <x:f>IF(T540=0,0,AC540/T540/(1-'01 Base Costs'!$B$11))</x:f>
        <x:v>920658833.3421317</x:v>
      </x:c>
      <x:c r="AH540" s="88" t="str">
        <x:f>IF(AD540&gt;0,"PROFIT","LOSS")</x:f>
        <x:v>LOSS</x:v>
      </x:c>
      <x:c r="AI540" s="89" t="str">
        <x:v>Capsuleer Day XXIIII event from screenshot. MCT sale 40% off. 10-pack at 20% off.</x:v>
      </x:c>
    </x:row>
    <x:row r="541">
      <x:c r="A541" s="86" t="n">
        <x:v>539</x:v>
      </x:c>
      <x:c r="B541" s="88" t="str">
        <x:v>Sale/Event</x:v>
      </x:c>
      <x:c r="C541" s="88" t="str">
        <x:v>Capsuleer Day 1M Omega + 100k SP + skin</x:v>
      </x:c>
      <x:c r="D541" s="88" t="n">
        <x:v>1</x:v>
      </x:c>
      <x:c r="E541" s="88" t="n">
        <x:v>2</x:v>
      </x:c>
      <x:c r="F541" s="88" t="str">
        <x:v>NES MCT 40% sale</x:v>
      </x:c>
      <x:c r="G541" s="88" t="str">
        <x:v>NES 50-pack extractor 20% sale</x:v>
      </x:c>
      <x:c r="H541" s="87" t="n">
        <x:f>'01 Base Costs'!$B$26</x:f>
        <x:v>400</x:v>
      </x:c>
      <x:c r="I541" s="87" t="n">
        <x:f>'01 Base Costs'!$B$16*0.6</x:f>
        <x:v>291</x:v>
      </x:c>
      <x:c r="J541" s="87" t="n">
        <x:f>0</x:f>
        <x:v>0</x:v>
      </x:c>
      <x:c r="K541" s="87" t="n">
        <x:f>D541*(E541-1)*I541</x:f>
        <x:v>291</x:v>
      </x:c>
      <x:c r="L541" s="87" t="n">
        <x:f>D541*(E541-1)*J541</x:f>
        <x:v>0</x:v>
      </x:c>
      <x:c r="M541" s="87" t="n">
        <x:f>0</x:f>
        <x:v>0</x:v>
      </x:c>
      <x:c r="N541" s="87" t="n">
        <x:f>H541+K541+M541</x:f>
        <x:v>691</x:v>
      </x:c>
      <x:c r="O541" s="87" t="n">
        <x:f>N541*'01 Base Costs'!$B$7+L541</x:f>
        <x:v>3323710000</x:v>
      </x:c>
      <x:c r="P541" s="87" t="n">
        <x:f>D541*E541</x:f>
        <x:v>2</x:v>
      </x:c>
      <x:c r="Q541" s="87" t="n">
        <x:f>P541*'01 Base Costs'!$B$12</x:f>
        <x:v>3888000</x:v>
      </x:c>
      <x:c r="R541" s="87" t="n">
        <x:f>'01 Base Costs'!$B$13</x:f>
        <x:v>100000</x:v>
      </x:c>
      <x:c r="S541" s="87" t="n">
        <x:f>Q541+R541</x:f>
        <x:v>3988000</x:v>
      </x:c>
      <x:c r="T541" s="141" t="n">
        <x:f>S541/'01 Base Costs'!$B$14</x:f>
        <x:v>7.976</x:v>
      </x:c>
      <x:c r="U541" s="87" t="n">
        <x:f>INT(T541)</x:f>
        <x:v>7</x:v>
      </x:c>
      <x:c r="V541" s="87" t="n">
        <x:f>S541-U541*'01 Base Costs'!$B$14</x:f>
        <x:v>488000</x:v>
      </x:c>
      <x:c r="W541" s="120" t="n">
        <x:f>'01 Base Costs'!$B$20*0.8/50</x:f>
        <x:v>89.6</x:v>
      </x:c>
      <x:c r="X541" s="120" t="n">
        <x:f>0</x:f>
        <x:v>0</x:v>
      </x:c>
      <x:c r="Y541" s="87" t="n">
        <x:f>T541*(W541*'01 Base Costs'!$B$7+X541)</x:f>
        <x:v>3437464576</x:v>
      </x:c>
      <x:c r="Z541" s="87" t="n">
        <x:f>T541*'01 Base Costs'!$B$8</x:f>
        <x:v>6005130400</x:v>
      </x:c>
      <x:c r="AA541" s="87" t="n">
        <x:f>Z541*'01 Base Costs'!$B$11</x:f>
        <x:v>300256520</x:v>
      </x:c>
      <x:c r="AB541" s="87" t="n">
        <x:f>Z541-AA541</x:f>
        <x:v>5704873880</x:v>
      </x:c>
      <x:c r="AC541" s="87" t="n">
        <x:f>O541+Y541</x:f>
        <x:v>6761174576</x:v>
      </x:c>
      <x:c r="AD541" s="87" t="n">
        <x:f>AB541-AC541</x:f>
        <x:v>-1056300696</x:v>
      </x:c>
      <x:c r="AE541" s="87" t="n">
        <x:f>AD541/D541</x:f>
        <x:v>-1056300696</x:v>
      </x:c>
      <x:c r="AF541" s="87" t="n">
        <x:f>AD541/P541</x:f>
        <x:v>-528150348</x:v>
      </x:c>
      <x:c r="AG541" s="87" t="n">
        <x:f>IF(T541=0,0,AC541/T541/(1-'01 Base Costs'!$B$11))</x:f>
        <x:v>892305149.1316054</x:v>
      </x:c>
      <x:c r="AH541" s="88" t="str">
        <x:f>IF(AD541&gt;0,"PROFIT","LOSS")</x:f>
        <x:v>LOSS</x:v>
      </x:c>
      <x:c r="AI541" s="89" t="str">
        <x:v>Capsuleer Day XXIIII event from screenshot. MCT sale 40% off. 50-pack at 20% off.</x:v>
      </x:c>
    </x:row>
    <x:row r="542">
      <x:c r="A542" s="86" t="n">
        <x:v>540</x:v>
      </x:c>
      <x:c r="B542" s="88" t="str">
        <x:v>Sale/Event</x:v>
      </x:c>
      <x:c r="C542" s="88" t="str">
        <x:v>Capsuleer Day 1M Omega + 100k SP + skin</x:v>
      </x:c>
      <x:c r="D542" s="88" t="n">
        <x:v>1</x:v>
      </x:c>
      <x:c r="E542" s="88" t="n">
        <x:v>2</x:v>
      </x:c>
      <x:c r="F542" s="88" t="str">
        <x:v>NES MCT 40% sale</x:v>
      </x:c>
      <x:c r="G542" s="88" t="str">
        <x:v>Market Skill Extractor</x:v>
      </x:c>
      <x:c r="H542" s="87" t="n">
        <x:f>'01 Base Costs'!$B$26</x:f>
        <x:v>400</x:v>
      </x:c>
      <x:c r="I542" s="87" t="n">
        <x:f>'01 Base Costs'!$B$16*0.6</x:f>
        <x:v>291</x:v>
      </x:c>
      <x:c r="J542" s="87" t="n">
        <x:f>0</x:f>
        <x:v>0</x:v>
      </x:c>
      <x:c r="K542" s="87" t="n">
        <x:f>D542*(E542-1)*I542</x:f>
        <x:v>291</x:v>
      </x:c>
      <x:c r="L542" s="87" t="n">
        <x:f>D542*(E542-1)*J542</x:f>
        <x:v>0</x:v>
      </x:c>
      <x:c r="M542" s="87" t="n">
        <x:f>0</x:f>
        <x:v>0</x:v>
      </x:c>
      <x:c r="N542" s="87" t="n">
        <x:f>H542+K542+M542</x:f>
        <x:v>691</x:v>
      </x:c>
      <x:c r="O542" s="87" t="n">
        <x:f>N542*'01 Base Costs'!$B$7+L542</x:f>
        <x:v>3323710000</x:v>
      </x:c>
      <x:c r="P542" s="87" t="n">
        <x:f>D542*E542</x:f>
        <x:v>2</x:v>
      </x:c>
      <x:c r="Q542" s="87" t="n">
        <x:f>P542*'01 Base Costs'!$B$12</x:f>
        <x:v>3888000</x:v>
      </x:c>
      <x:c r="R542" s="87" t="n">
        <x:f>'01 Base Costs'!$B$13</x:f>
        <x:v>100000</x:v>
      </x:c>
      <x:c r="S542" s="87" t="n">
        <x:f>Q542+R542</x:f>
        <x:v>3988000</x:v>
      </x:c>
      <x:c r="T542" s="141" t="n">
        <x:f>S542/'01 Base Costs'!$B$14</x:f>
        <x:v>7.976</x:v>
      </x:c>
      <x:c r="U542" s="87" t="n">
        <x:f>INT(T542)</x:f>
        <x:v>7</x:v>
      </x:c>
      <x:c r="V542" s="87" t="n">
        <x:f>S542-U542*'01 Base Costs'!$B$14</x:f>
        <x:v>488000</x:v>
      </x:c>
      <x:c r="W542" s="120" t="n">
        <x:f>0</x:f>
        <x:v>0</x:v>
      </x:c>
      <x:c r="X542" s="120" t="n">
        <x:f>'01 Base Costs'!$B$9</x:f>
        <x:v>463500000</x:v>
      </x:c>
      <x:c r="Y542" s="87" t="n">
        <x:f>T542*(W542*'01 Base Costs'!$B$7+X542)</x:f>
        <x:v>3696876000</x:v>
      </x:c>
      <x:c r="Z542" s="87" t="n">
        <x:f>T542*'01 Base Costs'!$B$8</x:f>
        <x:v>6005130400</x:v>
      </x:c>
      <x:c r="AA542" s="87" t="n">
        <x:f>Z542*'01 Base Costs'!$B$11</x:f>
        <x:v>300256520</x:v>
      </x:c>
      <x:c r="AB542" s="87" t="n">
        <x:f>Z542-AA542</x:f>
        <x:v>5704873880</x:v>
      </x:c>
      <x:c r="AC542" s="87" t="n">
        <x:f>O542+Y542</x:f>
        <x:v>7020586000</x:v>
      </x:c>
      <x:c r="AD542" s="87" t="n">
        <x:f>AB542-AC542</x:f>
        <x:v>-1315712120</x:v>
      </x:c>
      <x:c r="AE542" s="87" t="n">
        <x:f>AD542/D542</x:f>
        <x:v>-1315712120</x:v>
      </x:c>
      <x:c r="AF542" s="87" t="n">
        <x:f>AD542/P542</x:f>
        <x:v>-657856060</x:v>
      </x:c>
      <x:c r="AG542" s="87" t="n">
        <x:f>IF(T542=0,0,AC542/T542/(1-'01 Base Costs'!$B$11))</x:f>
        <x:v>926540938.6052896</x:v>
      </x:c>
      <x:c r="AH542" s="88" t="str">
        <x:f>IF(AD542&gt;0,"PROFIT","LOSS")</x:f>
        <x:v>LOSS</x:v>
      </x:c>
      <x:c r="AI542" s="89" t="str">
        <x:v>Capsuleer Day XXIIII event from screenshot. MCT sale 40% off. Extractor bought on market with ISK.</x:v>
      </x:c>
    </x:row>
    <x:row r="543">
      <x:c r="A543" s="86" t="n">
        <x:v>541</x:v>
      </x:c>
      <x:c r="B543" s="88" t="str">
        <x:v>Sale/Event</x:v>
      </x:c>
      <x:c r="C543" s="88" t="str">
        <x:v>Capsuleer Day 1M Omega + 100k SP + skin</x:v>
      </x:c>
      <x:c r="D543" s="88" t="n">
        <x:v>1</x:v>
      </x:c>
      <x:c r="E543" s="88" t="n">
        <x:v>2</x:v>
      </x:c>
      <x:c r="F543" s="88" t="str">
        <x:v>Market MCT certificate</x:v>
      </x:c>
      <x:c r="G543" s="88" t="str">
        <x:v>NES single extractor</x:v>
      </x:c>
      <x:c r="H543" s="87" t="n">
        <x:f>'01 Base Costs'!$B$26</x:f>
        <x:v>400</x:v>
      </x:c>
      <x:c r="I543" s="87" t="n">
        <x:f>0</x:f>
        <x:v>0</x:v>
      </x:c>
      <x:c r="J543" s="87" t="n">
        <x:f>'01 Base Costs'!$B$10</x:f>
        <x:v>2332850000</x:v>
      </x:c>
      <x:c r="K543" s="87" t="n">
        <x:f>D543*(E543-1)*I543</x:f>
        <x:v>0</x:v>
      </x:c>
      <x:c r="L543" s="87" t="n">
        <x:f>D543*(E543-1)*J543</x:f>
        <x:v>2332850000</x:v>
      </x:c>
      <x:c r="M543" s="87" t="n">
        <x:f>0</x:f>
        <x:v>0</x:v>
      </x:c>
      <x:c r="N543" s="87" t="n">
        <x:f>H543+K543+M543</x:f>
        <x:v>400</x:v>
      </x:c>
      <x:c r="O543" s="87" t="n">
        <x:f>N543*'01 Base Costs'!$B$7+L543</x:f>
        <x:v>4256850000</x:v>
      </x:c>
      <x:c r="P543" s="87" t="n">
        <x:f>D543*E543</x:f>
        <x:v>2</x:v>
      </x:c>
      <x:c r="Q543" s="87" t="n">
        <x:f>P543*'01 Base Costs'!$B$12</x:f>
        <x:v>3888000</x:v>
      </x:c>
      <x:c r="R543" s="87" t="n">
        <x:f>'01 Base Costs'!$B$13</x:f>
        <x:v>100000</x:v>
      </x:c>
      <x:c r="S543" s="87" t="n">
        <x:f>Q543+R543</x:f>
        <x:v>3988000</x:v>
      </x:c>
      <x:c r="T543" s="141" t="n">
        <x:f>S543/'01 Base Costs'!$B$14</x:f>
        <x:v>7.976</x:v>
      </x:c>
      <x:c r="U543" s="87" t="n">
        <x:f>INT(T543)</x:f>
        <x:v>7</x:v>
      </x:c>
      <x:c r="V543" s="87" t="n">
        <x:f>S543-U543*'01 Base Costs'!$B$14</x:f>
        <x:v>488000</x:v>
      </x:c>
      <x:c r="W543" s="120" t="n">
        <x:f>'01 Base Costs'!$B$17</x:f>
        <x:v>140</x:v>
      </x:c>
      <x:c r="X543" s="120" t="n">
        <x:f>0</x:f>
        <x:v>0</x:v>
      </x:c>
      <x:c r="Y543" s="87" t="n">
        <x:f>T543*(W543*'01 Base Costs'!$B$7+X543)</x:f>
        <x:v>5371038400</x:v>
      </x:c>
      <x:c r="Z543" s="87" t="n">
        <x:f>T543*'01 Base Costs'!$B$8</x:f>
        <x:v>6005130400</x:v>
      </x:c>
      <x:c r="AA543" s="87" t="n">
        <x:f>Z543*'01 Base Costs'!$B$11</x:f>
        <x:v>300256520</x:v>
      </x:c>
      <x:c r="AB543" s="87" t="n">
        <x:f>Z543-AA543</x:f>
        <x:v>5704873880</x:v>
      </x:c>
      <x:c r="AC543" s="87" t="n">
        <x:f>O543+Y543</x:f>
        <x:v>9627888400</x:v>
      </x:c>
      <x:c r="AD543" s="87" t="n">
        <x:f>AB543-AC543</x:f>
        <x:v>-3923014520</x:v>
      </x:c>
      <x:c r="AE543" s="87" t="n">
        <x:f>AD543/D543</x:f>
        <x:v>-3923014520</x:v>
      </x:c>
      <x:c r="AF543" s="87" t="n">
        <x:f>AD543/P543</x:f>
        <x:v>-1961507260</x:v>
      </x:c>
      <x:c r="AG543" s="87" t="n">
        <x:f>IF(T543=0,0,AC543/T543/(1-'01 Base Costs'!$B$11))</x:f>
        <x:v>1270639339.0698411</x:v>
      </x:c>
      <x:c r="AH543" s="88" t="str">
        <x:f>IF(AD543&gt;0,"PROFIT","LOSS")</x:f>
        <x:v>LOSS</x:v>
      </x:c>
      <x:c r="AI543" s="89" t="str">
        <x:v>Capsuleer Day XXIIII event from screenshot. MCT certificate bought with ISK market price. Base single extractor.</x:v>
      </x:c>
    </x:row>
    <x:row r="544">
      <x:c r="A544" s="86" t="n">
        <x:v>542</x:v>
      </x:c>
      <x:c r="B544" s="88" t="str">
        <x:v>Sale/Event</x:v>
      </x:c>
      <x:c r="C544" s="88" t="str">
        <x:v>Capsuleer Day 1M Omega + 100k SP + skin</x:v>
      </x:c>
      <x:c r="D544" s="88" t="n">
        <x:v>1</x:v>
      </x:c>
      <x:c r="E544" s="88" t="n">
        <x:v>2</x:v>
      </x:c>
      <x:c r="F544" s="88" t="str">
        <x:v>Market MCT certificate</x:v>
      </x:c>
      <x:c r="G544" s="88" t="str">
        <x:v>NES 5-pack extractor</x:v>
      </x:c>
      <x:c r="H544" s="87" t="n">
        <x:f>'01 Base Costs'!$B$26</x:f>
        <x:v>400</x:v>
      </x:c>
      <x:c r="I544" s="87" t="n">
        <x:f>0</x:f>
        <x:v>0</x:v>
      </x:c>
      <x:c r="J544" s="87" t="n">
        <x:f>'01 Base Costs'!$B$10</x:f>
        <x:v>2332850000</x:v>
      </x:c>
      <x:c r="K544" s="87" t="n">
        <x:f>D544*(E544-1)*I544</x:f>
        <x:v>0</x:v>
      </x:c>
      <x:c r="L544" s="87" t="n">
        <x:f>D544*(E544-1)*J544</x:f>
        <x:v>2332850000</x:v>
      </x:c>
      <x:c r="M544" s="87" t="n">
        <x:f>0</x:f>
        <x:v>0</x:v>
      </x:c>
      <x:c r="N544" s="87" t="n">
        <x:f>H544+K544+M544</x:f>
        <x:v>400</x:v>
      </x:c>
      <x:c r="O544" s="87" t="n">
        <x:f>N544*'01 Base Costs'!$B$7+L544</x:f>
        <x:v>4256850000</x:v>
      </x:c>
      <x:c r="P544" s="87" t="n">
        <x:f>D544*E544</x:f>
        <x:v>2</x:v>
      </x:c>
      <x:c r="Q544" s="87" t="n">
        <x:f>P544*'01 Base Costs'!$B$12</x:f>
        <x:v>3888000</x:v>
      </x:c>
      <x:c r="R544" s="87" t="n">
        <x:f>'01 Base Costs'!$B$13</x:f>
        <x:v>100000</x:v>
      </x:c>
      <x:c r="S544" s="87" t="n">
        <x:f>Q544+R544</x:f>
        <x:v>3988000</x:v>
      </x:c>
      <x:c r="T544" s="141" t="n">
        <x:f>S544/'01 Base Costs'!$B$14</x:f>
        <x:v>7.976</x:v>
      </x:c>
      <x:c r="U544" s="87" t="n">
        <x:f>INT(T544)</x:f>
        <x:v>7</x:v>
      </x:c>
      <x:c r="V544" s="87" t="n">
        <x:f>S544-U544*'01 Base Costs'!$B$14</x:f>
        <x:v>488000</x:v>
      </x:c>
      <x:c r="W544" s="120" t="n">
        <x:f>'01 Base Costs'!$B$18/5</x:f>
        <x:v>126</x:v>
      </x:c>
      <x:c r="X544" s="120" t="n">
        <x:f>0</x:f>
        <x:v>0</x:v>
      </x:c>
      <x:c r="Y544" s="87" t="n">
        <x:f>T544*(W544*'01 Base Costs'!$B$7+X544)</x:f>
        <x:v>4833934560</x:v>
      </x:c>
      <x:c r="Z544" s="87" t="n">
        <x:f>T544*'01 Base Costs'!$B$8</x:f>
        <x:v>6005130400</x:v>
      </x:c>
      <x:c r="AA544" s="87" t="n">
        <x:f>Z544*'01 Base Costs'!$B$11</x:f>
        <x:v>300256520</x:v>
      </x:c>
      <x:c r="AB544" s="87" t="n">
        <x:f>Z544-AA544</x:f>
        <x:v>5704873880</x:v>
      </x:c>
      <x:c r="AC544" s="87" t="n">
        <x:f>O544+Y544</x:f>
        <x:v>9090784560</x:v>
      </x:c>
      <x:c r="AD544" s="87" t="n">
        <x:f>AB544-AC544</x:f>
        <x:v>-3385910680</x:v>
      </x:c>
      <x:c r="AE544" s="87" t="n">
        <x:f>AD544/D544</x:f>
        <x:v>-3385910680</x:v>
      </x:c>
      <x:c r="AF544" s="87" t="n">
        <x:f>AD544/P544</x:f>
        <x:v>-1692955340</x:v>
      </x:c>
      <x:c r="AG544" s="87" t="n">
        <x:f>IF(T544=0,0,AC544/T544/(1-'01 Base Costs'!$B$11))</x:f>
        <x:v>1199755128.5435252</x:v>
      </x:c>
      <x:c r="AH544" s="88" t="str">
        <x:f>IF(AD544&gt;0,"PROFIT","LOSS")</x:f>
        <x:v>LOSS</x:v>
      </x:c>
      <x:c r="AI544" s="89" t="str">
        <x:v>Capsuleer Day XXIIII event from screenshot. MCT certificate bought with ISK market price. Base 5-pack average.</x:v>
      </x:c>
    </x:row>
    <x:row r="545">
      <x:c r="A545" s="86" t="n">
        <x:v>543</x:v>
      </x:c>
      <x:c r="B545" s="88" t="str">
        <x:v>Sale/Event</x:v>
      </x:c>
      <x:c r="C545" s="88" t="str">
        <x:v>Capsuleer Day 1M Omega + 100k SP + skin</x:v>
      </x:c>
      <x:c r="D545" s="88" t="n">
        <x:v>1</x:v>
      </x:c>
      <x:c r="E545" s="88" t="n">
        <x:v>2</x:v>
      </x:c>
      <x:c r="F545" s="88" t="str">
        <x:v>Market MCT certificate</x:v>
      </x:c>
      <x:c r="G545" s="88" t="str">
        <x:v>NES 10-pack extractor</x:v>
      </x:c>
      <x:c r="H545" s="87" t="n">
        <x:f>'01 Base Costs'!$B$26</x:f>
        <x:v>400</x:v>
      </x:c>
      <x:c r="I545" s="87" t="n">
        <x:f>0</x:f>
        <x:v>0</x:v>
      </x:c>
      <x:c r="J545" s="87" t="n">
        <x:f>'01 Base Costs'!$B$10</x:f>
        <x:v>2332850000</x:v>
      </x:c>
      <x:c r="K545" s="87" t="n">
        <x:f>D545*(E545-1)*I545</x:f>
        <x:v>0</x:v>
      </x:c>
      <x:c r="L545" s="87" t="n">
        <x:f>D545*(E545-1)*J545</x:f>
        <x:v>2332850000</x:v>
      </x:c>
      <x:c r="M545" s="87" t="n">
        <x:f>0</x:f>
        <x:v>0</x:v>
      </x:c>
      <x:c r="N545" s="87" t="n">
        <x:f>H545+K545+M545</x:f>
        <x:v>400</x:v>
      </x:c>
      <x:c r="O545" s="87" t="n">
        <x:f>N545*'01 Base Costs'!$B$7+L545</x:f>
        <x:v>4256850000</x:v>
      </x:c>
      <x:c r="P545" s="87" t="n">
        <x:f>D545*E545</x:f>
        <x:v>2</x:v>
      </x:c>
      <x:c r="Q545" s="87" t="n">
        <x:f>P545*'01 Base Costs'!$B$12</x:f>
        <x:v>3888000</x:v>
      </x:c>
      <x:c r="R545" s="87" t="n">
        <x:f>'01 Base Costs'!$B$13</x:f>
        <x:v>100000</x:v>
      </x:c>
      <x:c r="S545" s="87" t="n">
        <x:f>Q545+R545</x:f>
        <x:v>3988000</x:v>
      </x:c>
      <x:c r="T545" s="141" t="n">
        <x:f>S545/'01 Base Costs'!$B$14</x:f>
        <x:v>7.976</x:v>
      </x:c>
      <x:c r="U545" s="87" t="n">
        <x:f>INT(T545)</x:f>
        <x:v>7</x:v>
      </x:c>
      <x:c r="V545" s="87" t="n">
        <x:f>S545-U545*'01 Base Costs'!$B$14</x:f>
        <x:v>488000</x:v>
      </x:c>
      <x:c r="W545" s="120" t="n">
        <x:f>'01 Base Costs'!$B$19/10</x:f>
        <x:v>119</x:v>
      </x:c>
      <x:c r="X545" s="120" t="n">
        <x:f>0</x:f>
        <x:v>0</x:v>
      </x:c>
      <x:c r="Y545" s="87" t="n">
        <x:f>T545*(W545*'01 Base Costs'!$B$7+X545)</x:f>
        <x:v>4565382640</x:v>
      </x:c>
      <x:c r="Z545" s="87" t="n">
        <x:f>T545*'01 Base Costs'!$B$8</x:f>
        <x:v>6005130400</x:v>
      </x:c>
      <x:c r="AA545" s="87" t="n">
        <x:f>Z545*'01 Base Costs'!$B$11</x:f>
        <x:v>300256520</x:v>
      </x:c>
      <x:c r="AB545" s="87" t="n">
        <x:f>Z545-AA545</x:f>
        <x:v>5704873880</x:v>
      </x:c>
      <x:c r="AC545" s="87" t="n">
        <x:f>O545+Y545</x:f>
        <x:v>8822232640</x:v>
      </x:c>
      <x:c r="AD545" s="87" t="n">
        <x:f>AB545-AC545</x:f>
        <x:v>-3117358760</x:v>
      </x:c>
      <x:c r="AE545" s="87" t="n">
        <x:f>AD545/D545</x:f>
        <x:v>-3117358760</x:v>
      </x:c>
      <x:c r="AF545" s="87" t="n">
        <x:f>AD545/P545</x:f>
        <x:v>-1558679380</x:v>
      </x:c>
      <x:c r="AG545" s="87" t="n">
        <x:f>IF(T545=0,0,AC545/T545/(1-'01 Base Costs'!$B$11))</x:f>
        <x:v>1164313023.2803674</x:v>
      </x:c>
      <x:c r="AH545" s="88" t="str">
        <x:f>IF(AD545&gt;0,"PROFIT","LOSS")</x:f>
        <x:v>LOSS</x:v>
      </x:c>
      <x:c r="AI545" s="89" t="str">
        <x:v>Capsuleer Day XXIIII event from screenshot. MCT certificate bought with ISK market price. Base 10-pack average.</x:v>
      </x:c>
    </x:row>
    <x:row r="546">
      <x:c r="A546" s="86" t="n">
        <x:v>544</x:v>
      </x:c>
      <x:c r="B546" s="88" t="str">
        <x:v>Sale/Event</x:v>
      </x:c>
      <x:c r="C546" s="88" t="str">
        <x:v>Capsuleer Day 1M Omega + 100k SP + skin</x:v>
      </x:c>
      <x:c r="D546" s="88" t="n">
        <x:v>1</x:v>
      </x:c>
      <x:c r="E546" s="88" t="n">
        <x:v>2</x:v>
      </x:c>
      <x:c r="F546" s="88" t="str">
        <x:v>Market MCT certificate</x:v>
      </x:c>
      <x:c r="G546" s="88" t="str">
        <x:v>NES 50-pack extractor</x:v>
      </x:c>
      <x:c r="H546" s="87" t="n">
        <x:f>'01 Base Costs'!$B$26</x:f>
        <x:v>400</x:v>
      </x:c>
      <x:c r="I546" s="87" t="n">
        <x:f>0</x:f>
        <x:v>0</x:v>
      </x:c>
      <x:c r="J546" s="87" t="n">
        <x:f>'01 Base Costs'!$B$10</x:f>
        <x:v>2332850000</x:v>
      </x:c>
      <x:c r="K546" s="87" t="n">
        <x:f>D546*(E546-1)*I546</x:f>
        <x:v>0</x:v>
      </x:c>
      <x:c r="L546" s="87" t="n">
        <x:f>D546*(E546-1)*J546</x:f>
        <x:v>2332850000</x:v>
      </x:c>
      <x:c r="M546" s="87" t="n">
        <x:f>0</x:f>
        <x:v>0</x:v>
      </x:c>
      <x:c r="N546" s="87" t="n">
        <x:f>H546+K546+M546</x:f>
        <x:v>400</x:v>
      </x:c>
      <x:c r="O546" s="87" t="n">
        <x:f>N546*'01 Base Costs'!$B$7+L546</x:f>
        <x:v>4256850000</x:v>
      </x:c>
      <x:c r="P546" s="87" t="n">
        <x:f>D546*E546</x:f>
        <x:v>2</x:v>
      </x:c>
      <x:c r="Q546" s="87" t="n">
        <x:f>P546*'01 Base Costs'!$B$12</x:f>
        <x:v>3888000</x:v>
      </x:c>
      <x:c r="R546" s="87" t="n">
        <x:f>'01 Base Costs'!$B$13</x:f>
        <x:v>100000</x:v>
      </x:c>
      <x:c r="S546" s="87" t="n">
        <x:f>Q546+R546</x:f>
        <x:v>3988000</x:v>
      </x:c>
      <x:c r="T546" s="141" t="n">
        <x:f>S546/'01 Base Costs'!$B$14</x:f>
        <x:v>7.976</x:v>
      </x:c>
      <x:c r="U546" s="87" t="n">
        <x:f>INT(T546)</x:f>
        <x:v>7</x:v>
      </x:c>
      <x:c r="V546" s="87" t="n">
        <x:f>S546-U546*'01 Base Costs'!$B$14</x:f>
        <x:v>488000</x:v>
      </x:c>
      <x:c r="W546" s="120" t="n">
        <x:f>'01 Base Costs'!$B$20/50</x:f>
        <x:v>112</x:v>
      </x:c>
      <x:c r="X546" s="120" t="n">
        <x:f>0</x:f>
        <x:v>0</x:v>
      </x:c>
      <x:c r="Y546" s="87" t="n">
        <x:f>T546*(W546*'01 Base Costs'!$B$7+X546)</x:f>
        <x:v>4296830720</x:v>
      </x:c>
      <x:c r="Z546" s="87" t="n">
        <x:f>T546*'01 Base Costs'!$B$8</x:f>
        <x:v>6005130400</x:v>
      </x:c>
      <x:c r="AA546" s="87" t="n">
        <x:f>Z546*'01 Base Costs'!$B$11</x:f>
        <x:v>300256520</x:v>
      </x:c>
      <x:c r="AB546" s="87" t="n">
        <x:f>Z546-AA546</x:f>
        <x:v>5704873880</x:v>
      </x:c>
      <x:c r="AC546" s="87" t="n">
        <x:f>O546+Y546</x:f>
        <x:v>8553680720</x:v>
      </x:c>
      <x:c r="AD546" s="87" t="n">
        <x:f>AB546-AC546</x:f>
        <x:v>-2848806840</x:v>
      </x:c>
      <x:c r="AE546" s="87" t="n">
        <x:f>AD546/D546</x:f>
        <x:v>-2848806840</x:v>
      </x:c>
      <x:c r="AF546" s="87" t="n">
        <x:f>AD546/P546</x:f>
        <x:v>-1424403420</x:v>
      </x:c>
      <x:c r="AG546" s="87" t="n">
        <x:f>IF(T546=0,0,AC546/T546/(1-'01 Base Costs'!$B$11))</x:f>
        <x:v>1128870918.0172095</x:v>
      </x:c>
      <x:c r="AH546" s="88" t="str">
        <x:f>IF(AD546&gt;0,"PROFIT","LOSS")</x:f>
        <x:v>LOSS</x:v>
      </x:c>
      <x:c r="AI546" s="89" t="str">
        <x:v>Capsuleer Day XXIIII event from screenshot. MCT certificate bought with ISK market price. Base 50-pack average.</x:v>
      </x:c>
    </x:row>
    <x:row r="547">
      <x:c r="A547" s="86" t="n">
        <x:v>545</x:v>
      </x:c>
      <x:c r="B547" s="88" t="str">
        <x:v>Sale/Event</x:v>
      </x:c>
      <x:c r="C547" s="88" t="str">
        <x:v>Capsuleer Day 1M Omega + 100k SP + skin</x:v>
      </x:c>
      <x:c r="D547" s="88" t="n">
        <x:v>1</x:v>
      </x:c>
      <x:c r="E547" s="88" t="n">
        <x:v>2</x:v>
      </x:c>
      <x:c r="F547" s="88" t="str">
        <x:v>Market MCT certificate</x:v>
      </x:c>
      <x:c r="G547" s="88" t="str">
        <x:v>NES 3-for-2 extractor sale</x:v>
      </x:c>
      <x:c r="H547" s="87" t="n">
        <x:f>'01 Base Costs'!$B$26</x:f>
        <x:v>400</x:v>
      </x:c>
      <x:c r="I547" s="87" t="n">
        <x:f>0</x:f>
        <x:v>0</x:v>
      </x:c>
      <x:c r="J547" s="87" t="n">
        <x:f>'01 Base Costs'!$B$10</x:f>
        <x:v>2332850000</x:v>
      </x:c>
      <x:c r="K547" s="87" t="n">
        <x:f>D547*(E547-1)*I547</x:f>
        <x:v>0</x:v>
      </x:c>
      <x:c r="L547" s="87" t="n">
        <x:f>D547*(E547-1)*J547</x:f>
        <x:v>2332850000</x:v>
      </x:c>
      <x:c r="M547" s="87" t="n">
        <x:f>0</x:f>
        <x:v>0</x:v>
      </x:c>
      <x:c r="N547" s="87" t="n">
        <x:f>H547+K547+M547</x:f>
        <x:v>400</x:v>
      </x:c>
      <x:c r="O547" s="87" t="n">
        <x:f>N547*'01 Base Costs'!$B$7+L547</x:f>
        <x:v>4256850000</x:v>
      </x:c>
      <x:c r="P547" s="87" t="n">
        <x:f>D547*E547</x:f>
        <x:v>2</x:v>
      </x:c>
      <x:c r="Q547" s="87" t="n">
        <x:f>P547*'01 Base Costs'!$B$12</x:f>
        <x:v>3888000</x:v>
      </x:c>
      <x:c r="R547" s="87" t="n">
        <x:f>'01 Base Costs'!$B$13</x:f>
        <x:v>100000</x:v>
      </x:c>
      <x:c r="S547" s="87" t="n">
        <x:f>Q547+R547</x:f>
        <x:v>3988000</x:v>
      </x:c>
      <x:c r="T547" s="141" t="n">
        <x:f>S547/'01 Base Costs'!$B$14</x:f>
        <x:v>7.976</x:v>
      </x:c>
      <x:c r="U547" s="87" t="n">
        <x:f>INT(T547)</x:f>
        <x:v>7</x:v>
      </x:c>
      <x:c r="V547" s="87" t="n">
        <x:f>S547-U547*'01 Base Costs'!$B$14</x:f>
        <x:v>488000</x:v>
      </x:c>
      <x:c r="W547" s="120" t="n">
        <x:f>'01 Base Costs'!$B$17*2/3</x:f>
        <x:v>93.33333333333333</x:v>
      </x:c>
      <x:c r="X547" s="120" t="n">
        <x:f>0</x:f>
        <x:v>0</x:v>
      </x:c>
      <x:c r="Y547" s="87" t="n">
        <x:f>T547*(W547*'01 Base Costs'!$B$7+X547)</x:f>
        <x:v>3580692266.6666665</x:v>
      </x:c>
      <x:c r="Z547" s="87" t="n">
        <x:f>T547*'01 Base Costs'!$B$8</x:f>
        <x:v>6005130400</x:v>
      </x:c>
      <x:c r="AA547" s="87" t="n">
        <x:f>Z547*'01 Base Costs'!$B$11</x:f>
        <x:v>300256520</x:v>
      </x:c>
      <x:c r="AB547" s="87" t="n">
        <x:f>Z547-AA547</x:f>
        <x:v>5704873880</x:v>
      </x:c>
      <x:c r="AC547" s="87" t="n">
        <x:f>O547+Y547</x:f>
        <x:v>7837542266.666666</x:v>
      </x:c>
      <x:c r="AD547" s="87" t="n">
        <x:f>AB547-AC547</x:f>
        <x:v>-2132668386.666666</x:v>
      </x:c>
      <x:c r="AE547" s="87" t="n">
        <x:f>AD547/D547</x:f>
        <x:v>-2132668386.666666</x:v>
      </x:c>
      <x:c r="AF547" s="87" t="n">
        <x:f>AD547/P547</x:f>
        <x:v>-1066334193.333333</x:v>
      </x:c>
      <x:c r="AG547" s="87" t="n">
        <x:f>IF(T547=0,0,AC547/T547/(1-'01 Base Costs'!$B$11))</x:f>
        <x:v>1034358637.3154552</x:v>
      </x:c>
      <x:c r="AH547" s="88" t="str">
        <x:f>IF(AD547&gt;0,"PROFIT","LOSS")</x:f>
        <x:v>LOSS</x:v>
      </x:c>
      <x:c r="AI547" s="89" t="str">
        <x:v>Capsuleer Day XXIIII event from screenshot. MCT certificate bought with ISK market price. Extractor 3-for-2 sale.</x:v>
      </x:c>
    </x:row>
    <x:row r="548">
      <x:c r="A548" s="86" t="n">
        <x:v>546</x:v>
      </x:c>
      <x:c r="B548" s="88" t="str">
        <x:v>Sale/Event</x:v>
      </x:c>
      <x:c r="C548" s="88" t="str">
        <x:v>Capsuleer Day 1M Omega + 100k SP + skin</x:v>
      </x:c>
      <x:c r="D548" s="88" t="n">
        <x:v>1</x:v>
      </x:c>
      <x:c r="E548" s="88" t="n">
        <x:v>2</x:v>
      </x:c>
      <x:c r="F548" s="88" t="str">
        <x:v>Market MCT certificate</x:v>
      </x:c>
      <x:c r="G548" s="88" t="str">
        <x:v>NES 2-for-1 extractor sale</x:v>
      </x:c>
      <x:c r="H548" s="87" t="n">
        <x:f>'01 Base Costs'!$B$26</x:f>
        <x:v>400</x:v>
      </x:c>
      <x:c r="I548" s="87" t="n">
        <x:f>0</x:f>
        <x:v>0</x:v>
      </x:c>
      <x:c r="J548" s="87" t="n">
        <x:f>'01 Base Costs'!$B$10</x:f>
        <x:v>2332850000</x:v>
      </x:c>
      <x:c r="K548" s="87" t="n">
        <x:f>D548*(E548-1)*I548</x:f>
        <x:v>0</x:v>
      </x:c>
      <x:c r="L548" s="87" t="n">
        <x:f>D548*(E548-1)*J548</x:f>
        <x:v>2332850000</x:v>
      </x:c>
      <x:c r="M548" s="87" t="n">
        <x:f>0</x:f>
        <x:v>0</x:v>
      </x:c>
      <x:c r="N548" s="87" t="n">
        <x:f>H548+K548+M548</x:f>
        <x:v>400</x:v>
      </x:c>
      <x:c r="O548" s="87" t="n">
        <x:f>N548*'01 Base Costs'!$B$7+L548</x:f>
        <x:v>4256850000</x:v>
      </x:c>
      <x:c r="P548" s="87" t="n">
        <x:f>D548*E548</x:f>
        <x:v>2</x:v>
      </x:c>
      <x:c r="Q548" s="87" t="n">
        <x:f>P548*'01 Base Costs'!$B$12</x:f>
        <x:v>3888000</x:v>
      </x:c>
      <x:c r="R548" s="87" t="n">
        <x:f>'01 Base Costs'!$B$13</x:f>
        <x:v>100000</x:v>
      </x:c>
      <x:c r="S548" s="87" t="n">
        <x:f>Q548+R548</x:f>
        <x:v>3988000</x:v>
      </x:c>
      <x:c r="T548" s="141" t="n">
        <x:f>S548/'01 Base Costs'!$B$14</x:f>
        <x:v>7.976</x:v>
      </x:c>
      <x:c r="U548" s="87" t="n">
        <x:f>INT(T548)</x:f>
        <x:v>7</x:v>
      </x:c>
      <x:c r="V548" s="87" t="n">
        <x:f>S548-U548*'01 Base Costs'!$B$14</x:f>
        <x:v>488000</x:v>
      </x:c>
      <x:c r="W548" s="120" t="n">
        <x:f>'01 Base Costs'!$B$17/2</x:f>
        <x:v>70</x:v>
      </x:c>
      <x:c r="X548" s="120" t="n">
        <x:f>0</x:f>
        <x:v>0</x:v>
      </x:c>
      <x:c r="Y548" s="87" t="n">
        <x:f>T548*(W548*'01 Base Costs'!$B$7+X548)</x:f>
        <x:v>2685519200</x:v>
      </x:c>
      <x:c r="Z548" s="87" t="n">
        <x:f>T548*'01 Base Costs'!$B$8</x:f>
        <x:v>6005130400</x:v>
      </x:c>
      <x:c r="AA548" s="87" t="n">
        <x:f>Z548*'01 Base Costs'!$B$11</x:f>
        <x:v>300256520</x:v>
      </x:c>
      <x:c r="AB548" s="87" t="n">
        <x:f>Z548-AA548</x:f>
        <x:v>5704873880</x:v>
      </x:c>
      <x:c r="AC548" s="87" t="n">
        <x:f>O548+Y548</x:f>
        <x:v>6942369200</x:v>
      </x:c>
      <x:c r="AD548" s="87" t="n">
        <x:f>AB548-AC548</x:f>
        <x:v>-1237495320</x:v>
      </x:c>
      <x:c r="AE548" s="87" t="n">
        <x:f>AD548/D548</x:f>
        <x:v>-1237495320</x:v>
      </x:c>
      <x:c r="AF548" s="87" t="n">
        <x:f>AD548/P548</x:f>
        <x:v>-618747660</x:v>
      </x:c>
      <x:c r="AG548" s="87" t="n">
        <x:f>IF(T548=0,0,AC548/T548/(1-'01 Base Costs'!$B$11))</x:f>
        <x:v>916218286.4382622</x:v>
      </x:c>
      <x:c r="AH548" s="88" t="str">
        <x:f>IF(AD548&gt;0,"PROFIT","LOSS")</x:f>
        <x:v>LOSS</x:v>
      </x:c>
      <x:c r="AI548" s="89" t="str">
        <x:v>Capsuleer Day XXIIII event from screenshot. MCT certificate bought with ISK market price. Extractor 2-for-1 sale.</x:v>
      </x:c>
    </x:row>
    <x:row r="549">
      <x:c r="A549" s="86" t="n">
        <x:v>547</x:v>
      </x:c>
      <x:c r="B549" s="88" t="str">
        <x:v>Sale/Event</x:v>
      </x:c>
      <x:c r="C549" s="88" t="str">
        <x:v>Capsuleer Day 1M Omega + 100k SP + skin</x:v>
      </x:c>
      <x:c r="D549" s="88" t="n">
        <x:v>1</x:v>
      </x:c>
      <x:c r="E549" s="88" t="n">
        <x:v>2</x:v>
      </x:c>
      <x:c r="F549" s="88" t="str">
        <x:v>Market MCT certificate</x:v>
      </x:c>
      <x:c r="G549" s="88" t="str">
        <x:v>NES 10-pack extractor 20% sale</x:v>
      </x:c>
      <x:c r="H549" s="87" t="n">
        <x:f>'01 Base Costs'!$B$26</x:f>
        <x:v>400</x:v>
      </x:c>
      <x:c r="I549" s="87" t="n">
        <x:f>0</x:f>
        <x:v>0</x:v>
      </x:c>
      <x:c r="J549" s="87" t="n">
        <x:f>'01 Base Costs'!$B$10</x:f>
        <x:v>2332850000</x:v>
      </x:c>
      <x:c r="K549" s="87" t="n">
        <x:f>D549*(E549-1)*I549</x:f>
        <x:v>0</x:v>
      </x:c>
      <x:c r="L549" s="87" t="n">
        <x:f>D549*(E549-1)*J549</x:f>
        <x:v>2332850000</x:v>
      </x:c>
      <x:c r="M549" s="87" t="n">
        <x:f>0</x:f>
        <x:v>0</x:v>
      </x:c>
      <x:c r="N549" s="87" t="n">
        <x:f>H549+K549+M549</x:f>
        <x:v>400</x:v>
      </x:c>
      <x:c r="O549" s="87" t="n">
        <x:f>N549*'01 Base Costs'!$B$7+L549</x:f>
        <x:v>4256850000</x:v>
      </x:c>
      <x:c r="P549" s="87" t="n">
        <x:f>D549*E549</x:f>
        <x:v>2</x:v>
      </x:c>
      <x:c r="Q549" s="87" t="n">
        <x:f>P549*'01 Base Costs'!$B$12</x:f>
        <x:v>3888000</x:v>
      </x:c>
      <x:c r="R549" s="87" t="n">
        <x:f>'01 Base Costs'!$B$13</x:f>
        <x:v>100000</x:v>
      </x:c>
      <x:c r="S549" s="87" t="n">
        <x:f>Q549+R549</x:f>
        <x:v>3988000</x:v>
      </x:c>
      <x:c r="T549" s="141" t="n">
        <x:f>S549/'01 Base Costs'!$B$14</x:f>
        <x:v>7.976</x:v>
      </x:c>
      <x:c r="U549" s="87" t="n">
        <x:f>INT(T549)</x:f>
        <x:v>7</x:v>
      </x:c>
      <x:c r="V549" s="87" t="n">
        <x:f>S549-U549*'01 Base Costs'!$B$14</x:f>
        <x:v>488000</x:v>
      </x:c>
      <x:c r="W549" s="120" t="n">
        <x:f>'01 Base Costs'!$B$19*0.8/10</x:f>
        <x:v>95.2</x:v>
      </x:c>
      <x:c r="X549" s="120" t="n">
        <x:f>0</x:f>
        <x:v>0</x:v>
      </x:c>
      <x:c r="Y549" s="87" t="n">
        <x:f>T549*(W549*'01 Base Costs'!$B$7+X549)</x:f>
        <x:v>3652306112</x:v>
      </x:c>
      <x:c r="Z549" s="87" t="n">
        <x:f>T549*'01 Base Costs'!$B$8</x:f>
        <x:v>6005130400</x:v>
      </x:c>
      <x:c r="AA549" s="87" t="n">
        <x:f>Z549*'01 Base Costs'!$B$11</x:f>
        <x:v>300256520</x:v>
      </x:c>
      <x:c r="AB549" s="87" t="n">
        <x:f>Z549-AA549</x:f>
        <x:v>5704873880</x:v>
      </x:c>
      <x:c r="AC549" s="87" t="n">
        <x:f>O549+Y549</x:f>
        <x:v>7909156112</x:v>
      </x:c>
      <x:c r="AD549" s="87" t="n">
        <x:f>AB549-AC549</x:f>
        <x:v>-2204282232</x:v>
      </x:c>
      <x:c r="AE549" s="87" t="n">
        <x:f>AD549/D549</x:f>
        <x:v>-2204282232</x:v>
      </x:c>
      <x:c r="AF549" s="87" t="n">
        <x:f>AD549/P549</x:f>
        <x:v>-1102141116</x:v>
      </x:c>
      <x:c r="AG549" s="87" t="n">
        <x:f>IF(T549=0,0,AC549/T549/(1-'01 Base Costs'!$B$11))</x:f>
        <x:v>1043809865.3856307</x:v>
      </x:c>
      <x:c r="AH549" s="88" t="str">
        <x:f>IF(AD549&gt;0,"PROFIT","LOSS")</x:f>
        <x:v>LOSS</x:v>
      </x:c>
      <x:c r="AI549" s="89" t="str">
        <x:v>Capsuleer Day XXIIII event from screenshot. MCT certificate bought with ISK market price. 10-pack at 20% off.</x:v>
      </x:c>
    </x:row>
    <x:row r="550">
      <x:c r="A550" s="86" t="n">
        <x:v>548</x:v>
      </x:c>
      <x:c r="B550" s="88" t="str">
        <x:v>Sale/Event</x:v>
      </x:c>
      <x:c r="C550" s="88" t="str">
        <x:v>Capsuleer Day 1M Omega + 100k SP + skin</x:v>
      </x:c>
      <x:c r="D550" s="88" t="n">
        <x:v>1</x:v>
      </x:c>
      <x:c r="E550" s="88" t="n">
        <x:v>2</x:v>
      </x:c>
      <x:c r="F550" s="88" t="str">
        <x:v>Market MCT certificate</x:v>
      </x:c>
      <x:c r="G550" s="88" t="str">
        <x:v>NES 50-pack extractor 20% sale</x:v>
      </x:c>
      <x:c r="H550" s="87" t="n">
        <x:f>'01 Base Costs'!$B$26</x:f>
        <x:v>400</x:v>
      </x:c>
      <x:c r="I550" s="87" t="n">
        <x:f>0</x:f>
        <x:v>0</x:v>
      </x:c>
      <x:c r="J550" s="87" t="n">
        <x:f>'01 Base Costs'!$B$10</x:f>
        <x:v>2332850000</x:v>
      </x:c>
      <x:c r="K550" s="87" t="n">
        <x:f>D550*(E550-1)*I550</x:f>
        <x:v>0</x:v>
      </x:c>
      <x:c r="L550" s="87" t="n">
        <x:f>D550*(E550-1)*J550</x:f>
        <x:v>2332850000</x:v>
      </x:c>
      <x:c r="M550" s="87" t="n">
        <x:f>0</x:f>
        <x:v>0</x:v>
      </x:c>
      <x:c r="N550" s="87" t="n">
        <x:f>H550+K550+M550</x:f>
        <x:v>400</x:v>
      </x:c>
      <x:c r="O550" s="87" t="n">
        <x:f>N550*'01 Base Costs'!$B$7+L550</x:f>
        <x:v>4256850000</x:v>
      </x:c>
      <x:c r="P550" s="87" t="n">
        <x:f>D550*E550</x:f>
        <x:v>2</x:v>
      </x:c>
      <x:c r="Q550" s="87" t="n">
        <x:f>P550*'01 Base Costs'!$B$12</x:f>
        <x:v>3888000</x:v>
      </x:c>
      <x:c r="R550" s="87" t="n">
        <x:f>'01 Base Costs'!$B$13</x:f>
        <x:v>100000</x:v>
      </x:c>
      <x:c r="S550" s="87" t="n">
        <x:f>Q550+R550</x:f>
        <x:v>3988000</x:v>
      </x:c>
      <x:c r="T550" s="141" t="n">
        <x:f>S550/'01 Base Costs'!$B$14</x:f>
        <x:v>7.976</x:v>
      </x:c>
      <x:c r="U550" s="87" t="n">
        <x:f>INT(T550)</x:f>
        <x:v>7</x:v>
      </x:c>
      <x:c r="V550" s="87" t="n">
        <x:f>S550-U550*'01 Base Costs'!$B$14</x:f>
        <x:v>488000</x:v>
      </x:c>
      <x:c r="W550" s="120" t="n">
        <x:f>'01 Base Costs'!$B$20*0.8/50</x:f>
        <x:v>89.6</x:v>
      </x:c>
      <x:c r="X550" s="120" t="n">
        <x:f>0</x:f>
        <x:v>0</x:v>
      </x:c>
      <x:c r="Y550" s="87" t="n">
        <x:f>T550*(W550*'01 Base Costs'!$B$7+X550)</x:f>
        <x:v>3437464576</x:v>
      </x:c>
      <x:c r="Z550" s="87" t="n">
        <x:f>T550*'01 Base Costs'!$B$8</x:f>
        <x:v>6005130400</x:v>
      </x:c>
      <x:c r="AA550" s="87" t="n">
        <x:f>Z550*'01 Base Costs'!$B$11</x:f>
        <x:v>300256520</x:v>
      </x:c>
      <x:c r="AB550" s="87" t="n">
        <x:f>Z550-AA550</x:f>
        <x:v>5704873880</x:v>
      </x:c>
      <x:c r="AC550" s="87" t="n">
        <x:f>O550+Y550</x:f>
        <x:v>7694314576</x:v>
      </x:c>
      <x:c r="AD550" s="87" t="n">
        <x:f>AB550-AC550</x:f>
        <x:v>-1989440696</x:v>
      </x:c>
      <x:c r="AE550" s="87" t="n">
        <x:f>AD550/D550</x:f>
        <x:v>-1989440696</x:v>
      </x:c>
      <x:c r="AF550" s="87" t="n">
        <x:f>AD550/P550</x:f>
        <x:v>-994720348</x:v>
      </x:c>
      <x:c r="AG550" s="87" t="n">
        <x:f>IF(T550=0,0,AC550/T550/(1-'01 Base Costs'!$B$11))</x:f>
        <x:v>1015456181.1751044</x:v>
      </x:c>
      <x:c r="AH550" s="88" t="str">
        <x:f>IF(AD550&gt;0,"PROFIT","LOSS")</x:f>
        <x:v>LOSS</x:v>
      </x:c>
      <x:c r="AI550" s="89" t="str">
        <x:v>Capsuleer Day XXIIII event from screenshot. MCT certificate bought with ISK market price. 50-pack at 20% off.</x:v>
      </x:c>
    </x:row>
    <x:row r="551">
      <x:c r="A551" s="86" t="n">
        <x:v>549</x:v>
      </x:c>
      <x:c r="B551" s="88" t="str">
        <x:v>Sale/Event</x:v>
      </x:c>
      <x:c r="C551" s="88" t="str">
        <x:v>Capsuleer Day 1M Omega + 100k SP + skin</x:v>
      </x:c>
      <x:c r="D551" s="88" t="n">
        <x:v>1</x:v>
      </x:c>
      <x:c r="E551" s="88" t="n">
        <x:v>2</x:v>
      </x:c>
      <x:c r="F551" s="88" t="str">
        <x:v>Market MCT certificate</x:v>
      </x:c>
      <x:c r="G551" s="88" t="str">
        <x:v>Market Skill Extractor</x:v>
      </x:c>
      <x:c r="H551" s="87" t="n">
        <x:f>'01 Base Costs'!$B$26</x:f>
        <x:v>400</x:v>
      </x:c>
      <x:c r="I551" s="87" t="n">
        <x:f>0</x:f>
        <x:v>0</x:v>
      </x:c>
      <x:c r="J551" s="87" t="n">
        <x:f>'01 Base Costs'!$B$10</x:f>
        <x:v>2332850000</x:v>
      </x:c>
      <x:c r="K551" s="87" t="n">
        <x:f>D551*(E551-1)*I551</x:f>
        <x:v>0</x:v>
      </x:c>
      <x:c r="L551" s="87" t="n">
        <x:f>D551*(E551-1)*J551</x:f>
        <x:v>2332850000</x:v>
      </x:c>
      <x:c r="M551" s="87" t="n">
        <x:f>0</x:f>
        <x:v>0</x:v>
      </x:c>
      <x:c r="N551" s="87" t="n">
        <x:f>H551+K551+M551</x:f>
        <x:v>400</x:v>
      </x:c>
      <x:c r="O551" s="87" t="n">
        <x:f>N551*'01 Base Costs'!$B$7+L551</x:f>
        <x:v>4256850000</x:v>
      </x:c>
      <x:c r="P551" s="87" t="n">
        <x:f>D551*E551</x:f>
        <x:v>2</x:v>
      </x:c>
      <x:c r="Q551" s="87" t="n">
        <x:f>P551*'01 Base Costs'!$B$12</x:f>
        <x:v>3888000</x:v>
      </x:c>
      <x:c r="R551" s="87" t="n">
        <x:f>'01 Base Costs'!$B$13</x:f>
        <x:v>100000</x:v>
      </x:c>
      <x:c r="S551" s="87" t="n">
        <x:f>Q551+R551</x:f>
        <x:v>3988000</x:v>
      </x:c>
      <x:c r="T551" s="141" t="n">
        <x:f>S551/'01 Base Costs'!$B$14</x:f>
        <x:v>7.976</x:v>
      </x:c>
      <x:c r="U551" s="87" t="n">
        <x:f>INT(T551)</x:f>
        <x:v>7</x:v>
      </x:c>
      <x:c r="V551" s="87" t="n">
        <x:f>S551-U551*'01 Base Costs'!$B$14</x:f>
        <x:v>488000</x:v>
      </x:c>
      <x:c r="W551" s="120" t="n">
        <x:f>0</x:f>
        <x:v>0</x:v>
      </x:c>
      <x:c r="X551" s="120" t="n">
        <x:f>'01 Base Costs'!$B$9</x:f>
        <x:v>463500000</x:v>
      </x:c>
      <x:c r="Y551" s="87" t="n">
        <x:f>T551*(W551*'01 Base Costs'!$B$7+X551)</x:f>
        <x:v>3696876000</x:v>
      </x:c>
      <x:c r="Z551" s="87" t="n">
        <x:f>T551*'01 Base Costs'!$B$8</x:f>
        <x:v>6005130400</x:v>
      </x:c>
      <x:c r="AA551" s="87" t="n">
        <x:f>Z551*'01 Base Costs'!$B$11</x:f>
        <x:v>300256520</x:v>
      </x:c>
      <x:c r="AB551" s="87" t="n">
        <x:f>Z551-AA551</x:f>
        <x:v>5704873880</x:v>
      </x:c>
      <x:c r="AC551" s="87" t="n">
        <x:f>O551+Y551</x:f>
        <x:v>7953726000</x:v>
      </x:c>
      <x:c r="AD551" s="87" t="n">
        <x:f>AB551-AC551</x:f>
        <x:v>-2248852120</x:v>
      </x:c>
      <x:c r="AE551" s="87" t="n">
        <x:f>AD551/D551</x:f>
        <x:v>-2248852120</x:v>
      </x:c>
      <x:c r="AF551" s="87" t="n">
        <x:f>AD551/P551</x:f>
        <x:v>-1124426060</x:v>
      </x:c>
      <x:c r="AG551" s="87" t="n">
        <x:f>IF(T551=0,0,AC551/T551/(1-'01 Base Costs'!$B$11))</x:f>
        <x:v>1049691970.6487886</x:v>
      </x:c>
      <x:c r="AH551" s="88" t="str">
        <x:f>IF(AD551&gt;0,"PROFIT","LOSS")</x:f>
        <x:v>LOSS</x:v>
      </x:c>
      <x:c r="AI551" s="89" t="str">
        <x:v>Capsuleer Day XXIIII event from screenshot. MCT certificate bought with ISK market price. Extractor bought on market with ISK.</x:v>
      </x:c>
    </x:row>
    <x:row r="552">
      <x:c r="A552" s="86" t="n">
        <x:v>550</x:v>
      </x:c>
      <x:c r="B552" s="88" t="str">
        <x:v>Sale/Event</x:v>
      </x:c>
      <x:c r="C552" s="88" t="str">
        <x:v>Capsuleer Day 1M Omega + 100k SP + skin</x:v>
      </x:c>
      <x:c r="D552" s="88" t="n">
        <x:v>1</x:v>
      </x:c>
      <x:c r="E552" s="88" t="n">
        <x:v>3</x:v>
      </x:c>
      <x:c r="F552" s="88" t="str">
        <x:v>NES base MCT</x:v>
      </x:c>
      <x:c r="G552" s="88" t="str">
        <x:v>NES single extractor</x:v>
      </x:c>
      <x:c r="H552" s="87" t="n">
        <x:f>'01 Base Costs'!$B$26</x:f>
        <x:v>400</x:v>
      </x:c>
      <x:c r="I552" s="87" t="n">
        <x:f>'01 Base Costs'!$B$16</x:f>
        <x:v>485</x:v>
      </x:c>
      <x:c r="J552" s="87" t="n">
        <x:f>0</x:f>
        <x:v>0</x:v>
      </x:c>
      <x:c r="K552" s="87" t="n">
        <x:f>D552*(E552-1)*I552</x:f>
        <x:v>970</x:v>
      </x:c>
      <x:c r="L552" s="87" t="n">
        <x:f>D552*(E552-1)*J552</x:f>
        <x:v>0</x:v>
      </x:c>
      <x:c r="M552" s="87" t="n">
        <x:f>0</x:f>
        <x:v>0</x:v>
      </x:c>
      <x:c r="N552" s="87" t="n">
        <x:f>H552+K552+M552</x:f>
        <x:v>1370</x:v>
      </x:c>
      <x:c r="O552" s="87" t="n">
        <x:f>N552*'01 Base Costs'!$B$7+L552</x:f>
        <x:v>6589700000</x:v>
      </x:c>
      <x:c r="P552" s="87" t="n">
        <x:f>D552*E552</x:f>
        <x:v>3</x:v>
      </x:c>
      <x:c r="Q552" s="87" t="n">
        <x:f>P552*'01 Base Costs'!$B$12</x:f>
        <x:v>5832000</x:v>
      </x:c>
      <x:c r="R552" s="87" t="n">
        <x:f>'01 Base Costs'!$B$13</x:f>
        <x:v>100000</x:v>
      </x:c>
      <x:c r="S552" s="87" t="n">
        <x:f>Q552+R552</x:f>
        <x:v>5932000</x:v>
      </x:c>
      <x:c r="T552" s="141" t="n">
        <x:f>S552/'01 Base Costs'!$B$14</x:f>
        <x:v>11.864</x:v>
      </x:c>
      <x:c r="U552" s="87" t="n">
        <x:f>INT(T552)</x:f>
        <x:v>11</x:v>
      </x:c>
      <x:c r="V552" s="87" t="n">
        <x:f>S552-U552*'01 Base Costs'!$B$14</x:f>
        <x:v>432000</x:v>
      </x:c>
      <x:c r="W552" s="120" t="n">
        <x:f>'01 Base Costs'!$B$17</x:f>
        <x:v>140</x:v>
      </x:c>
      <x:c r="X552" s="120" t="n">
        <x:f>0</x:f>
        <x:v>0</x:v>
      </x:c>
      <x:c r="Y552" s="87" t="n">
        <x:f>T552*(W552*'01 Base Costs'!$B$7+X552)</x:f>
        <x:v>7989217600.000001</x:v>
      </x:c>
      <x:c r="Z552" s="87" t="n">
        <x:f>T552*'01 Base Costs'!$B$8</x:f>
        <x:v>8932405600</x:v>
      </x:c>
      <x:c r="AA552" s="87" t="n">
        <x:f>Z552*'01 Base Costs'!$B$11</x:f>
        <x:v>446620280</x:v>
      </x:c>
      <x:c r="AB552" s="87" t="n">
        <x:f>Z552-AA552</x:f>
        <x:v>8485785320</x:v>
      </x:c>
      <x:c r="AC552" s="87" t="n">
        <x:f>O552+Y552</x:f>
        <x:v>14578917600</x:v>
      </x:c>
      <x:c r="AD552" s="87" t="n">
        <x:f>AB552-AC552</x:f>
        <x:v>-6093132280</x:v>
      </x:c>
      <x:c r="AE552" s="87" t="n">
        <x:f>AD552/D552</x:f>
        <x:v>-6093132280</x:v>
      </x:c>
      <x:c r="AF552" s="87" t="n">
        <x:f>AD552/P552</x:f>
        <x:v>-2031044093.3333333</x:v>
      </x:c>
      <x:c r="AG552" s="87" t="n">
        <x:f>IF(T552=0,0,AC552/T552/(1-'01 Base Costs'!$B$11))</x:f>
        <x:v>1293512226.2838485</x:v>
      </x:c>
      <x:c r="AH552" s="88" t="str">
        <x:f>IF(AD552&gt;0,"PROFIT","LOSS")</x:f>
        <x:v>LOSS</x:v>
      </x:c>
      <x:c r="AI552" s="89" t="str">
        <x:v>Capsuleer Day XXIIII event from screenshot. MCT purchased with PLEX in NES. Base single extractor.</x:v>
      </x:c>
    </x:row>
    <x:row r="553">
      <x:c r="A553" s="86" t="n">
        <x:v>551</x:v>
      </x:c>
      <x:c r="B553" s="88" t="str">
        <x:v>Sale/Event</x:v>
      </x:c>
      <x:c r="C553" s="88" t="str">
        <x:v>Capsuleer Day 1M Omega + 100k SP + skin</x:v>
      </x:c>
      <x:c r="D553" s="88" t="n">
        <x:v>1</x:v>
      </x:c>
      <x:c r="E553" s="88" t="n">
        <x:v>3</x:v>
      </x:c>
      <x:c r="F553" s="88" t="str">
        <x:v>NES base MCT</x:v>
      </x:c>
      <x:c r="G553" s="88" t="str">
        <x:v>NES 5-pack extractor</x:v>
      </x:c>
      <x:c r="H553" s="87" t="n">
        <x:f>'01 Base Costs'!$B$26</x:f>
        <x:v>400</x:v>
      </x:c>
      <x:c r="I553" s="87" t="n">
        <x:f>'01 Base Costs'!$B$16</x:f>
        <x:v>485</x:v>
      </x:c>
      <x:c r="J553" s="87" t="n">
        <x:f>0</x:f>
        <x:v>0</x:v>
      </x:c>
      <x:c r="K553" s="87" t="n">
        <x:f>D553*(E553-1)*I553</x:f>
        <x:v>970</x:v>
      </x:c>
      <x:c r="L553" s="87" t="n">
        <x:f>D553*(E553-1)*J553</x:f>
        <x:v>0</x:v>
      </x:c>
      <x:c r="M553" s="87" t="n">
        <x:f>0</x:f>
        <x:v>0</x:v>
      </x:c>
      <x:c r="N553" s="87" t="n">
        <x:f>H553+K553+M553</x:f>
        <x:v>1370</x:v>
      </x:c>
      <x:c r="O553" s="87" t="n">
        <x:f>N553*'01 Base Costs'!$B$7+L553</x:f>
        <x:v>6589700000</x:v>
      </x:c>
      <x:c r="P553" s="87" t="n">
        <x:f>D553*E553</x:f>
        <x:v>3</x:v>
      </x:c>
      <x:c r="Q553" s="87" t="n">
        <x:f>P553*'01 Base Costs'!$B$12</x:f>
        <x:v>5832000</x:v>
      </x:c>
      <x:c r="R553" s="87" t="n">
        <x:f>'01 Base Costs'!$B$13</x:f>
        <x:v>100000</x:v>
      </x:c>
      <x:c r="S553" s="87" t="n">
        <x:f>Q553+R553</x:f>
        <x:v>5932000</x:v>
      </x:c>
      <x:c r="T553" s="141" t="n">
        <x:f>S553/'01 Base Costs'!$B$14</x:f>
        <x:v>11.864</x:v>
      </x:c>
      <x:c r="U553" s="87" t="n">
        <x:f>INT(T553)</x:f>
        <x:v>11</x:v>
      </x:c>
      <x:c r="V553" s="87" t="n">
        <x:f>S553-U553*'01 Base Costs'!$B$14</x:f>
        <x:v>432000</x:v>
      </x:c>
      <x:c r="W553" s="120" t="n">
        <x:f>'01 Base Costs'!$B$18/5</x:f>
        <x:v>126</x:v>
      </x:c>
      <x:c r="X553" s="120" t="n">
        <x:f>0</x:f>
        <x:v>0</x:v>
      </x:c>
      <x:c r="Y553" s="87" t="n">
        <x:f>T553*(W553*'01 Base Costs'!$B$7+X553)</x:f>
        <x:v>7190295840</x:v>
      </x:c>
      <x:c r="Z553" s="87" t="n">
        <x:f>T553*'01 Base Costs'!$B$8</x:f>
        <x:v>8932405600</x:v>
      </x:c>
      <x:c r="AA553" s="87" t="n">
        <x:f>Z553*'01 Base Costs'!$B$11</x:f>
        <x:v>446620280</x:v>
      </x:c>
      <x:c r="AB553" s="87" t="n">
        <x:f>Z553-AA553</x:f>
        <x:v>8485785320</x:v>
      </x:c>
      <x:c r="AC553" s="87" t="n">
        <x:f>O553+Y553</x:f>
        <x:v>13779995840</x:v>
      </x:c>
      <x:c r="AD553" s="87" t="n">
        <x:f>AB553-AC553</x:f>
        <x:v>-5294210520</x:v>
      </x:c>
      <x:c r="AE553" s="87" t="n">
        <x:f>AD553/D553</x:f>
        <x:v>-5294210520</x:v>
      </x:c>
      <x:c r="AF553" s="87" t="n">
        <x:f>AD553/P553</x:f>
        <x:v>-1764736840</x:v>
      </x:c>
      <x:c r="AG553" s="87" t="n">
        <x:f>IF(T553=0,0,AC553/T553/(1-'01 Base Costs'!$B$11))</x:f>
        <x:v>1222628015.7575326</x:v>
      </x:c>
      <x:c r="AH553" s="88" t="str">
        <x:f>IF(AD553&gt;0,"PROFIT","LOSS")</x:f>
        <x:v>LOSS</x:v>
      </x:c>
      <x:c r="AI553" s="89" t="str">
        <x:v>Capsuleer Day XXIIII event from screenshot. MCT purchased with PLEX in NES. Base 5-pack average.</x:v>
      </x:c>
    </x:row>
    <x:row r="554">
      <x:c r="A554" s="86" t="n">
        <x:v>552</x:v>
      </x:c>
      <x:c r="B554" s="88" t="str">
        <x:v>Sale/Event</x:v>
      </x:c>
      <x:c r="C554" s="88" t="str">
        <x:v>Capsuleer Day 1M Omega + 100k SP + skin</x:v>
      </x:c>
      <x:c r="D554" s="88" t="n">
        <x:v>1</x:v>
      </x:c>
      <x:c r="E554" s="88" t="n">
        <x:v>3</x:v>
      </x:c>
      <x:c r="F554" s="88" t="str">
        <x:v>NES base MCT</x:v>
      </x:c>
      <x:c r="G554" s="88" t="str">
        <x:v>NES 10-pack extractor</x:v>
      </x:c>
      <x:c r="H554" s="87" t="n">
        <x:f>'01 Base Costs'!$B$26</x:f>
        <x:v>400</x:v>
      </x:c>
      <x:c r="I554" s="87" t="n">
        <x:f>'01 Base Costs'!$B$16</x:f>
        <x:v>485</x:v>
      </x:c>
      <x:c r="J554" s="87" t="n">
        <x:f>0</x:f>
        <x:v>0</x:v>
      </x:c>
      <x:c r="K554" s="87" t="n">
        <x:f>D554*(E554-1)*I554</x:f>
        <x:v>970</x:v>
      </x:c>
      <x:c r="L554" s="87" t="n">
        <x:f>D554*(E554-1)*J554</x:f>
        <x:v>0</x:v>
      </x:c>
      <x:c r="M554" s="87" t="n">
        <x:f>0</x:f>
        <x:v>0</x:v>
      </x:c>
      <x:c r="N554" s="87" t="n">
        <x:f>H554+K554+M554</x:f>
        <x:v>1370</x:v>
      </x:c>
      <x:c r="O554" s="87" t="n">
        <x:f>N554*'01 Base Costs'!$B$7+L554</x:f>
        <x:v>6589700000</x:v>
      </x:c>
      <x:c r="P554" s="87" t="n">
        <x:f>D554*E554</x:f>
        <x:v>3</x:v>
      </x:c>
      <x:c r="Q554" s="87" t="n">
        <x:f>P554*'01 Base Costs'!$B$12</x:f>
        <x:v>5832000</x:v>
      </x:c>
      <x:c r="R554" s="87" t="n">
        <x:f>'01 Base Costs'!$B$13</x:f>
        <x:v>100000</x:v>
      </x:c>
      <x:c r="S554" s="87" t="n">
        <x:f>Q554+R554</x:f>
        <x:v>5932000</x:v>
      </x:c>
      <x:c r="T554" s="141" t="n">
        <x:f>S554/'01 Base Costs'!$B$14</x:f>
        <x:v>11.864</x:v>
      </x:c>
      <x:c r="U554" s="87" t="n">
        <x:f>INT(T554)</x:f>
        <x:v>11</x:v>
      </x:c>
      <x:c r="V554" s="87" t="n">
        <x:f>S554-U554*'01 Base Costs'!$B$14</x:f>
        <x:v>432000</x:v>
      </x:c>
      <x:c r="W554" s="120" t="n">
        <x:f>'01 Base Costs'!$B$19/10</x:f>
        <x:v>119</x:v>
      </x:c>
      <x:c r="X554" s="120" t="n">
        <x:f>0</x:f>
        <x:v>0</x:v>
      </x:c>
      <x:c r="Y554" s="87" t="n">
        <x:f>T554*(W554*'01 Base Costs'!$B$7+X554)</x:f>
        <x:v>6790834960</x:v>
      </x:c>
      <x:c r="Z554" s="87" t="n">
        <x:f>T554*'01 Base Costs'!$B$8</x:f>
        <x:v>8932405600</x:v>
      </x:c>
      <x:c r="AA554" s="87" t="n">
        <x:f>Z554*'01 Base Costs'!$B$11</x:f>
        <x:v>446620280</x:v>
      </x:c>
      <x:c r="AB554" s="87" t="n">
        <x:f>Z554-AA554</x:f>
        <x:v>8485785320</x:v>
      </x:c>
      <x:c r="AC554" s="87" t="n">
        <x:f>O554+Y554</x:f>
        <x:v>13380534960</x:v>
      </x:c>
      <x:c r="AD554" s="87" t="n">
        <x:f>AB554-AC554</x:f>
        <x:v>-4894749640</x:v>
      </x:c>
      <x:c r="AE554" s="87" t="n">
        <x:f>AD554/D554</x:f>
        <x:v>-4894749640</x:v>
      </x:c>
      <x:c r="AF554" s="87" t="n">
        <x:f>AD554/P554</x:f>
        <x:v>-1631583213.3333333</x:v>
      </x:c>
      <x:c r="AG554" s="87" t="n">
        <x:f>IF(T554=0,0,AC554/T554/(1-'01 Base Costs'!$B$11))</x:f>
        <x:v>1187185910.4943748</x:v>
      </x:c>
      <x:c r="AH554" s="88" t="str">
        <x:f>IF(AD554&gt;0,"PROFIT","LOSS")</x:f>
        <x:v>LOSS</x:v>
      </x:c>
      <x:c r="AI554" s="89" t="str">
        <x:v>Capsuleer Day XXIIII event from screenshot. MCT purchased with PLEX in NES. Base 10-pack average.</x:v>
      </x:c>
    </x:row>
    <x:row r="555">
      <x:c r="A555" s="86" t="n">
        <x:v>553</x:v>
      </x:c>
      <x:c r="B555" s="88" t="str">
        <x:v>Sale/Event</x:v>
      </x:c>
      <x:c r="C555" s="88" t="str">
        <x:v>Capsuleer Day 1M Omega + 100k SP + skin</x:v>
      </x:c>
      <x:c r="D555" s="88" t="n">
        <x:v>1</x:v>
      </x:c>
      <x:c r="E555" s="88" t="n">
        <x:v>3</x:v>
      </x:c>
      <x:c r="F555" s="88" t="str">
        <x:v>NES base MCT</x:v>
      </x:c>
      <x:c r="G555" s="88" t="str">
        <x:v>NES 50-pack extractor</x:v>
      </x:c>
      <x:c r="H555" s="87" t="n">
        <x:f>'01 Base Costs'!$B$26</x:f>
        <x:v>400</x:v>
      </x:c>
      <x:c r="I555" s="87" t="n">
        <x:f>'01 Base Costs'!$B$16</x:f>
        <x:v>485</x:v>
      </x:c>
      <x:c r="J555" s="87" t="n">
        <x:f>0</x:f>
        <x:v>0</x:v>
      </x:c>
      <x:c r="K555" s="87" t="n">
        <x:f>D555*(E555-1)*I555</x:f>
        <x:v>970</x:v>
      </x:c>
      <x:c r="L555" s="87" t="n">
        <x:f>D555*(E555-1)*J555</x:f>
        <x:v>0</x:v>
      </x:c>
      <x:c r="M555" s="87" t="n">
        <x:f>0</x:f>
        <x:v>0</x:v>
      </x:c>
      <x:c r="N555" s="87" t="n">
        <x:f>H555+K555+M555</x:f>
        <x:v>1370</x:v>
      </x:c>
      <x:c r="O555" s="87" t="n">
        <x:f>N555*'01 Base Costs'!$B$7+L555</x:f>
        <x:v>6589700000</x:v>
      </x:c>
      <x:c r="P555" s="87" t="n">
        <x:f>D555*E555</x:f>
        <x:v>3</x:v>
      </x:c>
      <x:c r="Q555" s="87" t="n">
        <x:f>P555*'01 Base Costs'!$B$12</x:f>
        <x:v>5832000</x:v>
      </x:c>
      <x:c r="R555" s="87" t="n">
        <x:f>'01 Base Costs'!$B$13</x:f>
        <x:v>100000</x:v>
      </x:c>
      <x:c r="S555" s="87" t="n">
        <x:f>Q555+R555</x:f>
        <x:v>5932000</x:v>
      </x:c>
      <x:c r="T555" s="141" t="n">
        <x:f>S555/'01 Base Costs'!$B$14</x:f>
        <x:v>11.864</x:v>
      </x:c>
      <x:c r="U555" s="87" t="n">
        <x:f>INT(T555)</x:f>
        <x:v>11</x:v>
      </x:c>
      <x:c r="V555" s="87" t="n">
        <x:f>S555-U555*'01 Base Costs'!$B$14</x:f>
        <x:v>432000</x:v>
      </x:c>
      <x:c r="W555" s="120" t="n">
        <x:f>'01 Base Costs'!$B$20/50</x:f>
        <x:v>112</x:v>
      </x:c>
      <x:c r="X555" s="120" t="n">
        <x:f>0</x:f>
        <x:v>0</x:v>
      </x:c>
      <x:c r="Y555" s="87" t="n">
        <x:f>T555*(W555*'01 Base Costs'!$B$7+X555)</x:f>
        <x:v>6391374080</x:v>
      </x:c>
      <x:c r="Z555" s="87" t="n">
        <x:f>T555*'01 Base Costs'!$B$8</x:f>
        <x:v>8932405600</x:v>
      </x:c>
      <x:c r="AA555" s="87" t="n">
        <x:f>Z555*'01 Base Costs'!$B$11</x:f>
        <x:v>446620280</x:v>
      </x:c>
      <x:c r="AB555" s="87" t="n">
        <x:f>Z555-AA555</x:f>
        <x:v>8485785320</x:v>
      </x:c>
      <x:c r="AC555" s="87" t="n">
        <x:f>O555+Y555</x:f>
        <x:v>12981074080</x:v>
      </x:c>
      <x:c r="AD555" s="87" t="n">
        <x:f>AB555-AC555</x:f>
        <x:v>-4495288760</x:v>
      </x:c>
      <x:c r="AE555" s="87" t="n">
        <x:f>AD555/D555</x:f>
        <x:v>-4495288760</x:v>
      </x:c>
      <x:c r="AF555" s="87" t="n">
        <x:f>AD555/P555</x:f>
        <x:v>-1498429586.6666667</x:v>
      </x:c>
      <x:c r="AG555" s="87" t="n">
        <x:f>IF(T555=0,0,AC555/T555/(1-'01 Base Costs'!$B$11))</x:f>
        <x:v>1151743805.231217</x:v>
      </x:c>
      <x:c r="AH555" s="88" t="str">
        <x:f>IF(AD555&gt;0,"PROFIT","LOSS")</x:f>
        <x:v>LOSS</x:v>
      </x:c>
      <x:c r="AI555" s="89" t="str">
        <x:v>Capsuleer Day XXIIII event from screenshot. MCT purchased with PLEX in NES. Base 50-pack average.</x:v>
      </x:c>
    </x:row>
    <x:row r="556">
      <x:c r="A556" s="86" t="n">
        <x:v>554</x:v>
      </x:c>
      <x:c r="B556" s="88" t="str">
        <x:v>Sale/Event</x:v>
      </x:c>
      <x:c r="C556" s="88" t="str">
        <x:v>Capsuleer Day 1M Omega + 100k SP + skin</x:v>
      </x:c>
      <x:c r="D556" s="88" t="n">
        <x:v>1</x:v>
      </x:c>
      <x:c r="E556" s="88" t="n">
        <x:v>3</x:v>
      </x:c>
      <x:c r="F556" s="88" t="str">
        <x:v>NES base MCT</x:v>
      </x:c>
      <x:c r="G556" s="88" t="str">
        <x:v>NES 3-for-2 extractor sale</x:v>
      </x:c>
      <x:c r="H556" s="87" t="n">
        <x:f>'01 Base Costs'!$B$26</x:f>
        <x:v>400</x:v>
      </x:c>
      <x:c r="I556" s="87" t="n">
        <x:f>'01 Base Costs'!$B$16</x:f>
        <x:v>485</x:v>
      </x:c>
      <x:c r="J556" s="87" t="n">
        <x:f>0</x:f>
        <x:v>0</x:v>
      </x:c>
      <x:c r="K556" s="87" t="n">
        <x:f>D556*(E556-1)*I556</x:f>
        <x:v>970</x:v>
      </x:c>
      <x:c r="L556" s="87" t="n">
        <x:f>D556*(E556-1)*J556</x:f>
        <x:v>0</x:v>
      </x:c>
      <x:c r="M556" s="87" t="n">
        <x:f>0</x:f>
        <x:v>0</x:v>
      </x:c>
      <x:c r="N556" s="87" t="n">
        <x:f>H556+K556+M556</x:f>
        <x:v>1370</x:v>
      </x:c>
      <x:c r="O556" s="87" t="n">
        <x:f>N556*'01 Base Costs'!$B$7+L556</x:f>
        <x:v>6589700000</x:v>
      </x:c>
      <x:c r="P556" s="87" t="n">
        <x:f>D556*E556</x:f>
        <x:v>3</x:v>
      </x:c>
      <x:c r="Q556" s="87" t="n">
        <x:f>P556*'01 Base Costs'!$B$12</x:f>
        <x:v>5832000</x:v>
      </x:c>
      <x:c r="R556" s="87" t="n">
        <x:f>'01 Base Costs'!$B$13</x:f>
        <x:v>100000</x:v>
      </x:c>
      <x:c r="S556" s="87" t="n">
        <x:f>Q556+R556</x:f>
        <x:v>5932000</x:v>
      </x:c>
      <x:c r="T556" s="141" t="n">
        <x:f>S556/'01 Base Costs'!$B$14</x:f>
        <x:v>11.864</x:v>
      </x:c>
      <x:c r="U556" s="87" t="n">
        <x:f>INT(T556)</x:f>
        <x:v>11</x:v>
      </x:c>
      <x:c r="V556" s="87" t="n">
        <x:f>S556-U556*'01 Base Costs'!$B$14</x:f>
        <x:v>432000</x:v>
      </x:c>
      <x:c r="W556" s="120" t="n">
        <x:f>'01 Base Costs'!$B$17*2/3</x:f>
        <x:v>93.33333333333333</x:v>
      </x:c>
      <x:c r="X556" s="120" t="n">
        <x:f>0</x:f>
        <x:v>0</x:v>
      </x:c>
      <x:c r="Y556" s="87" t="n">
        <x:f>T556*(W556*'01 Base Costs'!$B$7+X556)</x:f>
        <x:v>5326145066.666667</x:v>
      </x:c>
      <x:c r="Z556" s="87" t="n">
        <x:f>T556*'01 Base Costs'!$B$8</x:f>
        <x:v>8932405600</x:v>
      </x:c>
      <x:c r="AA556" s="87" t="n">
        <x:f>Z556*'01 Base Costs'!$B$11</x:f>
        <x:v>446620280</x:v>
      </x:c>
      <x:c r="AB556" s="87" t="n">
        <x:f>Z556-AA556</x:f>
        <x:v>8485785320</x:v>
      </x:c>
      <x:c r="AC556" s="87" t="n">
        <x:f>O556+Y556</x:f>
        <x:v>11915845066.666668</x:v>
      </x:c>
      <x:c r="AD556" s="87" t="n">
        <x:f>AB556-AC556</x:f>
        <x:v>-3430059746.666668</x:v>
      </x:c>
      <x:c r="AE556" s="87" t="n">
        <x:f>AD556/D556</x:f>
        <x:v>-3430059746.666668</x:v>
      </x:c>
      <x:c r="AF556" s="87" t="n">
        <x:f>AD556/P556</x:f>
        <x:v>-1143353248.8888893</x:v>
      </x:c>
      <x:c r="AG556" s="87" t="n">
        <x:f>IF(T556=0,0,AC556/T556/(1-'01 Base Costs'!$B$11))</x:f>
        <x:v>1057231524.5294627</x:v>
      </x:c>
      <x:c r="AH556" s="88" t="str">
        <x:f>IF(AD556&gt;0,"PROFIT","LOSS")</x:f>
        <x:v>LOSS</x:v>
      </x:c>
      <x:c r="AI556" s="89" t="str">
        <x:v>Capsuleer Day XXIIII event from screenshot. MCT purchased with PLEX in NES. Extractor 3-for-2 sale.</x:v>
      </x:c>
    </x:row>
    <x:row r="557">
      <x:c r="A557" s="86" t="n">
        <x:v>555</x:v>
      </x:c>
      <x:c r="B557" s="88" t="str">
        <x:v>Sale/Event</x:v>
      </x:c>
      <x:c r="C557" s="88" t="str">
        <x:v>Capsuleer Day 1M Omega + 100k SP + skin</x:v>
      </x:c>
      <x:c r="D557" s="88" t="n">
        <x:v>1</x:v>
      </x:c>
      <x:c r="E557" s="88" t="n">
        <x:v>3</x:v>
      </x:c>
      <x:c r="F557" s="88" t="str">
        <x:v>NES base MCT</x:v>
      </x:c>
      <x:c r="G557" s="88" t="str">
        <x:v>NES 2-for-1 extractor sale</x:v>
      </x:c>
      <x:c r="H557" s="87" t="n">
        <x:f>'01 Base Costs'!$B$26</x:f>
        <x:v>400</x:v>
      </x:c>
      <x:c r="I557" s="87" t="n">
        <x:f>'01 Base Costs'!$B$16</x:f>
        <x:v>485</x:v>
      </x:c>
      <x:c r="J557" s="87" t="n">
        <x:f>0</x:f>
        <x:v>0</x:v>
      </x:c>
      <x:c r="K557" s="87" t="n">
        <x:f>D557*(E557-1)*I557</x:f>
        <x:v>970</x:v>
      </x:c>
      <x:c r="L557" s="87" t="n">
        <x:f>D557*(E557-1)*J557</x:f>
        <x:v>0</x:v>
      </x:c>
      <x:c r="M557" s="87" t="n">
        <x:f>0</x:f>
        <x:v>0</x:v>
      </x:c>
      <x:c r="N557" s="87" t="n">
        <x:f>H557+K557+M557</x:f>
        <x:v>1370</x:v>
      </x:c>
      <x:c r="O557" s="87" t="n">
        <x:f>N557*'01 Base Costs'!$B$7+L557</x:f>
        <x:v>6589700000</x:v>
      </x:c>
      <x:c r="P557" s="87" t="n">
        <x:f>D557*E557</x:f>
        <x:v>3</x:v>
      </x:c>
      <x:c r="Q557" s="87" t="n">
        <x:f>P557*'01 Base Costs'!$B$12</x:f>
        <x:v>5832000</x:v>
      </x:c>
      <x:c r="R557" s="87" t="n">
        <x:f>'01 Base Costs'!$B$13</x:f>
        <x:v>100000</x:v>
      </x:c>
      <x:c r="S557" s="87" t="n">
        <x:f>Q557+R557</x:f>
        <x:v>5932000</x:v>
      </x:c>
      <x:c r="T557" s="141" t="n">
        <x:f>S557/'01 Base Costs'!$B$14</x:f>
        <x:v>11.864</x:v>
      </x:c>
      <x:c r="U557" s="87" t="n">
        <x:f>INT(T557)</x:f>
        <x:v>11</x:v>
      </x:c>
      <x:c r="V557" s="87" t="n">
        <x:f>S557-U557*'01 Base Costs'!$B$14</x:f>
        <x:v>432000</x:v>
      </x:c>
      <x:c r="W557" s="120" t="n">
        <x:f>'01 Base Costs'!$B$17/2</x:f>
        <x:v>70</x:v>
      </x:c>
      <x:c r="X557" s="120" t="n">
        <x:f>0</x:f>
        <x:v>0</x:v>
      </x:c>
      <x:c r="Y557" s="87" t="n">
        <x:f>T557*(W557*'01 Base Costs'!$B$7+X557)</x:f>
        <x:v>3994608800.0000005</x:v>
      </x:c>
      <x:c r="Z557" s="87" t="n">
        <x:f>T557*'01 Base Costs'!$B$8</x:f>
        <x:v>8932405600</x:v>
      </x:c>
      <x:c r="AA557" s="87" t="n">
        <x:f>Z557*'01 Base Costs'!$B$11</x:f>
        <x:v>446620280</x:v>
      </x:c>
      <x:c r="AB557" s="87" t="n">
        <x:f>Z557-AA557</x:f>
        <x:v>8485785320</x:v>
      </x:c>
      <x:c r="AC557" s="87" t="n">
        <x:f>O557+Y557</x:f>
        <x:v>10584308800</x:v>
      </x:c>
      <x:c r="AD557" s="87" t="n">
        <x:f>AB557-AC557</x:f>
        <x:v>-2098523480</x:v>
      </x:c>
      <x:c r="AE557" s="87" t="n">
        <x:f>AD557/D557</x:f>
        <x:v>-2098523480</x:v>
      </x:c>
      <x:c r="AF557" s="87" t="n">
        <x:f>AD557/P557</x:f>
        <x:v>-699507826.6666666</x:v>
      </x:c>
      <x:c r="AG557" s="87" t="n">
        <x:f>IF(T557=0,0,AC557/T557/(1-'01 Base Costs'!$B$11))</x:f>
        <x:v>939091173.6522695</x:v>
      </x:c>
      <x:c r="AH557" s="88" t="str">
        <x:f>IF(AD557&gt;0,"PROFIT","LOSS")</x:f>
        <x:v>LOSS</x:v>
      </x:c>
      <x:c r="AI557" s="89" t="str">
        <x:v>Capsuleer Day XXIIII event from screenshot. MCT purchased with PLEX in NES. Extractor 2-for-1 sale.</x:v>
      </x:c>
    </x:row>
    <x:row r="558">
      <x:c r="A558" s="86" t="n">
        <x:v>556</x:v>
      </x:c>
      <x:c r="B558" s="88" t="str">
        <x:v>Sale/Event</x:v>
      </x:c>
      <x:c r="C558" s="88" t="str">
        <x:v>Capsuleer Day 1M Omega + 100k SP + skin</x:v>
      </x:c>
      <x:c r="D558" s="88" t="n">
        <x:v>1</x:v>
      </x:c>
      <x:c r="E558" s="88" t="n">
        <x:v>3</x:v>
      </x:c>
      <x:c r="F558" s="88" t="str">
        <x:v>NES base MCT</x:v>
      </x:c>
      <x:c r="G558" s="88" t="str">
        <x:v>NES 10-pack extractor 20% sale</x:v>
      </x:c>
      <x:c r="H558" s="87" t="n">
        <x:f>'01 Base Costs'!$B$26</x:f>
        <x:v>400</x:v>
      </x:c>
      <x:c r="I558" s="87" t="n">
        <x:f>'01 Base Costs'!$B$16</x:f>
        <x:v>485</x:v>
      </x:c>
      <x:c r="J558" s="87" t="n">
        <x:f>0</x:f>
        <x:v>0</x:v>
      </x:c>
      <x:c r="K558" s="87" t="n">
        <x:f>D558*(E558-1)*I558</x:f>
        <x:v>970</x:v>
      </x:c>
      <x:c r="L558" s="87" t="n">
        <x:f>D558*(E558-1)*J558</x:f>
        <x:v>0</x:v>
      </x:c>
      <x:c r="M558" s="87" t="n">
        <x:f>0</x:f>
        <x:v>0</x:v>
      </x:c>
      <x:c r="N558" s="87" t="n">
        <x:f>H558+K558+M558</x:f>
        <x:v>1370</x:v>
      </x:c>
      <x:c r="O558" s="87" t="n">
        <x:f>N558*'01 Base Costs'!$B$7+L558</x:f>
        <x:v>6589700000</x:v>
      </x:c>
      <x:c r="P558" s="87" t="n">
        <x:f>D558*E558</x:f>
        <x:v>3</x:v>
      </x:c>
      <x:c r="Q558" s="87" t="n">
        <x:f>P558*'01 Base Costs'!$B$12</x:f>
        <x:v>5832000</x:v>
      </x:c>
      <x:c r="R558" s="87" t="n">
        <x:f>'01 Base Costs'!$B$13</x:f>
        <x:v>100000</x:v>
      </x:c>
      <x:c r="S558" s="87" t="n">
        <x:f>Q558+R558</x:f>
        <x:v>5932000</x:v>
      </x:c>
      <x:c r="T558" s="141" t="n">
        <x:f>S558/'01 Base Costs'!$B$14</x:f>
        <x:v>11.864</x:v>
      </x:c>
      <x:c r="U558" s="87" t="n">
        <x:f>INT(T558)</x:f>
        <x:v>11</x:v>
      </x:c>
      <x:c r="V558" s="87" t="n">
        <x:f>S558-U558*'01 Base Costs'!$B$14</x:f>
        <x:v>432000</x:v>
      </x:c>
      <x:c r="W558" s="120" t="n">
        <x:f>'01 Base Costs'!$B$19*0.8/10</x:f>
        <x:v>95.2</x:v>
      </x:c>
      <x:c r="X558" s="120" t="n">
        <x:f>0</x:f>
        <x:v>0</x:v>
      </x:c>
      <x:c r="Y558" s="87" t="n">
        <x:f>T558*(W558*'01 Base Costs'!$B$7+X558)</x:f>
        <x:v>5432667968</x:v>
      </x:c>
      <x:c r="Z558" s="87" t="n">
        <x:f>T558*'01 Base Costs'!$B$8</x:f>
        <x:v>8932405600</x:v>
      </x:c>
      <x:c r="AA558" s="87" t="n">
        <x:f>Z558*'01 Base Costs'!$B$11</x:f>
        <x:v>446620280</x:v>
      </x:c>
      <x:c r="AB558" s="87" t="n">
        <x:f>Z558-AA558</x:f>
        <x:v>8485785320</x:v>
      </x:c>
      <x:c r="AC558" s="87" t="n">
        <x:f>O558+Y558</x:f>
        <x:v>12022367968</x:v>
      </x:c>
      <x:c r="AD558" s="87" t="n">
        <x:f>AB558-AC558</x:f>
        <x:v>-3536582648</x:v>
      </x:c>
      <x:c r="AE558" s="87" t="n">
        <x:f>AD558/D558</x:f>
        <x:v>-3536582648</x:v>
      </x:c>
      <x:c r="AF558" s="87" t="n">
        <x:f>AD558/P558</x:f>
        <x:v>-1178860882.6666667</x:v>
      </x:c>
      <x:c r="AG558" s="87" t="n">
        <x:f>IF(T558=0,0,AC558/T558/(1-'01 Base Costs'!$B$11))</x:f>
        <x:v>1066682752.599638</x:v>
      </x:c>
      <x:c r="AH558" s="88" t="str">
        <x:f>IF(AD558&gt;0,"PROFIT","LOSS")</x:f>
        <x:v>LOSS</x:v>
      </x:c>
      <x:c r="AI558" s="89" t="str">
        <x:v>Capsuleer Day XXIIII event from screenshot. MCT purchased with PLEX in NES. 10-pack at 20% off.</x:v>
      </x:c>
    </x:row>
    <x:row r="559">
      <x:c r="A559" s="86" t="n">
        <x:v>557</x:v>
      </x:c>
      <x:c r="B559" s="88" t="str">
        <x:v>Sale/Event</x:v>
      </x:c>
      <x:c r="C559" s="88" t="str">
        <x:v>Capsuleer Day 1M Omega + 100k SP + skin</x:v>
      </x:c>
      <x:c r="D559" s="88" t="n">
        <x:v>1</x:v>
      </x:c>
      <x:c r="E559" s="88" t="n">
        <x:v>3</x:v>
      </x:c>
      <x:c r="F559" s="88" t="str">
        <x:v>NES base MCT</x:v>
      </x:c>
      <x:c r="G559" s="88" t="str">
        <x:v>NES 50-pack extractor 20% sale</x:v>
      </x:c>
      <x:c r="H559" s="87" t="n">
        <x:f>'01 Base Costs'!$B$26</x:f>
        <x:v>400</x:v>
      </x:c>
      <x:c r="I559" s="87" t="n">
        <x:f>'01 Base Costs'!$B$16</x:f>
        <x:v>485</x:v>
      </x:c>
      <x:c r="J559" s="87" t="n">
        <x:f>0</x:f>
        <x:v>0</x:v>
      </x:c>
      <x:c r="K559" s="87" t="n">
        <x:f>D559*(E559-1)*I559</x:f>
        <x:v>970</x:v>
      </x:c>
      <x:c r="L559" s="87" t="n">
        <x:f>D559*(E559-1)*J559</x:f>
        <x:v>0</x:v>
      </x:c>
      <x:c r="M559" s="87" t="n">
        <x:f>0</x:f>
        <x:v>0</x:v>
      </x:c>
      <x:c r="N559" s="87" t="n">
        <x:f>H559+K559+M559</x:f>
        <x:v>1370</x:v>
      </x:c>
      <x:c r="O559" s="87" t="n">
        <x:f>N559*'01 Base Costs'!$B$7+L559</x:f>
        <x:v>6589700000</x:v>
      </x:c>
      <x:c r="P559" s="87" t="n">
        <x:f>D559*E559</x:f>
        <x:v>3</x:v>
      </x:c>
      <x:c r="Q559" s="87" t="n">
        <x:f>P559*'01 Base Costs'!$B$12</x:f>
        <x:v>5832000</x:v>
      </x:c>
      <x:c r="R559" s="87" t="n">
        <x:f>'01 Base Costs'!$B$13</x:f>
        <x:v>100000</x:v>
      </x:c>
      <x:c r="S559" s="87" t="n">
        <x:f>Q559+R559</x:f>
        <x:v>5932000</x:v>
      </x:c>
      <x:c r="T559" s="141" t="n">
        <x:f>S559/'01 Base Costs'!$B$14</x:f>
        <x:v>11.864</x:v>
      </x:c>
      <x:c r="U559" s="87" t="n">
        <x:f>INT(T559)</x:f>
        <x:v>11</x:v>
      </x:c>
      <x:c r="V559" s="87" t="n">
        <x:f>S559-U559*'01 Base Costs'!$B$14</x:f>
        <x:v>432000</x:v>
      </x:c>
      <x:c r="W559" s="120" t="n">
        <x:f>'01 Base Costs'!$B$20*0.8/50</x:f>
        <x:v>89.6</x:v>
      </x:c>
      <x:c r="X559" s="120" t="n">
        <x:f>0</x:f>
        <x:v>0</x:v>
      </x:c>
      <x:c r="Y559" s="87" t="n">
        <x:f>T559*(W559*'01 Base Costs'!$B$7+X559)</x:f>
        <x:v>5113099264</x:v>
      </x:c>
      <x:c r="Z559" s="87" t="n">
        <x:f>T559*'01 Base Costs'!$B$8</x:f>
        <x:v>8932405600</x:v>
      </x:c>
      <x:c r="AA559" s="87" t="n">
        <x:f>Z559*'01 Base Costs'!$B$11</x:f>
        <x:v>446620280</x:v>
      </x:c>
      <x:c r="AB559" s="87" t="n">
        <x:f>Z559-AA559</x:f>
        <x:v>8485785320</x:v>
      </x:c>
      <x:c r="AC559" s="87" t="n">
        <x:f>O559+Y559</x:f>
        <x:v>11702799264</x:v>
      </x:c>
      <x:c r="AD559" s="87" t="n">
        <x:f>AB559-AC559</x:f>
        <x:v>-3217013944</x:v>
      </x:c>
      <x:c r="AE559" s="87" t="n">
        <x:f>AD559/D559</x:f>
        <x:v>-3217013944</x:v>
      </x:c>
      <x:c r="AF559" s="87" t="n">
        <x:f>AD559/P559</x:f>
        <x:v>-1072337981.3333334</x:v>
      </x:c>
      <x:c r="AG559" s="87" t="n">
        <x:f>IF(T559=0,0,AC559/T559/(1-'01 Base Costs'!$B$11))</x:f>
        <x:v>1038329068.3891116</x:v>
      </x:c>
      <x:c r="AH559" s="88" t="str">
        <x:f>IF(AD559&gt;0,"PROFIT","LOSS")</x:f>
        <x:v>LOSS</x:v>
      </x:c>
      <x:c r="AI559" s="89" t="str">
        <x:v>Capsuleer Day XXIIII event from screenshot. MCT purchased with PLEX in NES. 50-pack at 20% off.</x:v>
      </x:c>
    </x:row>
    <x:row r="560">
      <x:c r="A560" s="86" t="n">
        <x:v>558</x:v>
      </x:c>
      <x:c r="B560" s="88" t="str">
        <x:v>Sale/Event</x:v>
      </x:c>
      <x:c r="C560" s="88" t="str">
        <x:v>Capsuleer Day 1M Omega + 100k SP + skin</x:v>
      </x:c>
      <x:c r="D560" s="88" t="n">
        <x:v>1</x:v>
      </x:c>
      <x:c r="E560" s="88" t="n">
        <x:v>3</x:v>
      </x:c>
      <x:c r="F560" s="88" t="str">
        <x:v>NES base MCT</x:v>
      </x:c>
      <x:c r="G560" s="88" t="str">
        <x:v>Market Skill Extractor</x:v>
      </x:c>
      <x:c r="H560" s="87" t="n">
        <x:f>'01 Base Costs'!$B$26</x:f>
        <x:v>400</x:v>
      </x:c>
      <x:c r="I560" s="87" t="n">
        <x:f>'01 Base Costs'!$B$16</x:f>
        <x:v>485</x:v>
      </x:c>
      <x:c r="J560" s="87" t="n">
        <x:f>0</x:f>
        <x:v>0</x:v>
      </x:c>
      <x:c r="K560" s="87" t="n">
        <x:f>D560*(E560-1)*I560</x:f>
        <x:v>970</x:v>
      </x:c>
      <x:c r="L560" s="87" t="n">
        <x:f>D560*(E560-1)*J560</x:f>
        <x:v>0</x:v>
      </x:c>
      <x:c r="M560" s="87" t="n">
        <x:f>0</x:f>
        <x:v>0</x:v>
      </x:c>
      <x:c r="N560" s="87" t="n">
        <x:f>H560+K560+M560</x:f>
        <x:v>1370</x:v>
      </x:c>
      <x:c r="O560" s="87" t="n">
        <x:f>N560*'01 Base Costs'!$B$7+L560</x:f>
        <x:v>6589700000</x:v>
      </x:c>
      <x:c r="P560" s="87" t="n">
        <x:f>D560*E560</x:f>
        <x:v>3</x:v>
      </x:c>
      <x:c r="Q560" s="87" t="n">
        <x:f>P560*'01 Base Costs'!$B$12</x:f>
        <x:v>5832000</x:v>
      </x:c>
      <x:c r="R560" s="87" t="n">
        <x:f>'01 Base Costs'!$B$13</x:f>
        <x:v>100000</x:v>
      </x:c>
      <x:c r="S560" s="87" t="n">
        <x:f>Q560+R560</x:f>
        <x:v>5932000</x:v>
      </x:c>
      <x:c r="T560" s="141" t="n">
        <x:f>S560/'01 Base Costs'!$B$14</x:f>
        <x:v>11.864</x:v>
      </x:c>
      <x:c r="U560" s="87" t="n">
        <x:f>INT(T560)</x:f>
        <x:v>11</x:v>
      </x:c>
      <x:c r="V560" s="87" t="n">
        <x:f>S560-U560*'01 Base Costs'!$B$14</x:f>
        <x:v>432000</x:v>
      </x:c>
      <x:c r="W560" s="120" t="n">
        <x:f>0</x:f>
        <x:v>0</x:v>
      </x:c>
      <x:c r="X560" s="120" t="n">
        <x:f>'01 Base Costs'!$B$9</x:f>
        <x:v>463500000</x:v>
      </x:c>
      <x:c r="Y560" s="87" t="n">
        <x:f>T560*(W560*'01 Base Costs'!$B$7+X560)</x:f>
        <x:v>5498964000</x:v>
      </x:c>
      <x:c r="Z560" s="87" t="n">
        <x:f>T560*'01 Base Costs'!$B$8</x:f>
        <x:v>8932405600</x:v>
      </x:c>
      <x:c r="AA560" s="87" t="n">
        <x:f>Z560*'01 Base Costs'!$B$11</x:f>
        <x:v>446620280</x:v>
      </x:c>
      <x:c r="AB560" s="87" t="n">
        <x:f>Z560-AA560</x:f>
        <x:v>8485785320</x:v>
      </x:c>
      <x:c r="AC560" s="87" t="n">
        <x:f>O560+Y560</x:f>
        <x:v>12088664000</x:v>
      </x:c>
      <x:c r="AD560" s="87" t="n">
        <x:f>AB560-AC560</x:f>
        <x:v>-3602878680</x:v>
      </x:c>
      <x:c r="AE560" s="87" t="n">
        <x:f>AD560/D560</x:f>
        <x:v>-3602878680</x:v>
      </x:c>
      <x:c r="AF560" s="87" t="n">
        <x:f>AD560/P560</x:f>
        <x:v>-1200959560</x:v>
      </x:c>
      <x:c r="AG560" s="87" t="n">
        <x:f>IF(T560=0,0,AC560/T560/(1-'01 Base Costs'!$B$11))</x:f>
        <x:v>1072564857.8627958</x:v>
      </x:c>
      <x:c r="AH560" s="88" t="str">
        <x:f>IF(AD560&gt;0,"PROFIT","LOSS")</x:f>
        <x:v>LOSS</x:v>
      </x:c>
      <x:c r="AI560" s="89" t="str">
        <x:v>Capsuleer Day XXIIII event from screenshot. MCT purchased with PLEX in NES. Extractor bought on market with ISK.</x:v>
      </x:c>
    </x:row>
    <x:row r="561">
      <x:c r="A561" s="86" t="n">
        <x:v>559</x:v>
      </x:c>
      <x:c r="B561" s="88" t="str">
        <x:v>Sale/Event</x:v>
      </x:c>
      <x:c r="C561" s="88" t="str">
        <x:v>Capsuleer Day 1M Omega + 100k SP + skin</x:v>
      </x:c>
      <x:c r="D561" s="88" t="n">
        <x:v>1</x:v>
      </x:c>
      <x:c r="E561" s="88" t="n">
        <x:v>3</x:v>
      </x:c>
      <x:c r="F561" s="88" t="str">
        <x:v>NES MCT 20% sale</x:v>
      </x:c>
      <x:c r="G561" s="88" t="str">
        <x:v>NES single extractor</x:v>
      </x:c>
      <x:c r="H561" s="87" t="n">
        <x:f>'01 Base Costs'!$B$26</x:f>
        <x:v>400</x:v>
      </x:c>
      <x:c r="I561" s="87" t="n">
        <x:f>'01 Base Costs'!$B$16*0.8</x:f>
        <x:v>388</x:v>
      </x:c>
      <x:c r="J561" s="87" t="n">
        <x:f>0</x:f>
        <x:v>0</x:v>
      </x:c>
      <x:c r="K561" s="87" t="n">
        <x:f>D561*(E561-1)*I561</x:f>
        <x:v>776</x:v>
      </x:c>
      <x:c r="L561" s="87" t="n">
        <x:f>D561*(E561-1)*J561</x:f>
        <x:v>0</x:v>
      </x:c>
      <x:c r="M561" s="87" t="n">
        <x:f>0</x:f>
        <x:v>0</x:v>
      </x:c>
      <x:c r="N561" s="87" t="n">
        <x:f>H561+K561+M561</x:f>
        <x:v>1176</x:v>
      </x:c>
      <x:c r="O561" s="87" t="n">
        <x:f>N561*'01 Base Costs'!$B$7+L561</x:f>
        <x:v>5656560000</x:v>
      </x:c>
      <x:c r="P561" s="87" t="n">
        <x:f>D561*E561</x:f>
        <x:v>3</x:v>
      </x:c>
      <x:c r="Q561" s="87" t="n">
        <x:f>P561*'01 Base Costs'!$B$12</x:f>
        <x:v>5832000</x:v>
      </x:c>
      <x:c r="R561" s="87" t="n">
        <x:f>'01 Base Costs'!$B$13</x:f>
        <x:v>100000</x:v>
      </x:c>
      <x:c r="S561" s="87" t="n">
        <x:f>Q561+R561</x:f>
        <x:v>5932000</x:v>
      </x:c>
      <x:c r="T561" s="141" t="n">
        <x:f>S561/'01 Base Costs'!$B$14</x:f>
        <x:v>11.864</x:v>
      </x:c>
      <x:c r="U561" s="87" t="n">
        <x:f>INT(T561)</x:f>
        <x:v>11</x:v>
      </x:c>
      <x:c r="V561" s="87" t="n">
        <x:f>S561-U561*'01 Base Costs'!$B$14</x:f>
        <x:v>432000</x:v>
      </x:c>
      <x:c r="W561" s="120" t="n">
        <x:f>'01 Base Costs'!$B$17</x:f>
        <x:v>140</x:v>
      </x:c>
      <x:c r="X561" s="120" t="n">
        <x:f>0</x:f>
        <x:v>0</x:v>
      </x:c>
      <x:c r="Y561" s="87" t="n">
        <x:f>T561*(W561*'01 Base Costs'!$B$7+X561)</x:f>
        <x:v>7989217600.000001</x:v>
      </x:c>
      <x:c r="Z561" s="87" t="n">
        <x:f>T561*'01 Base Costs'!$B$8</x:f>
        <x:v>8932405600</x:v>
      </x:c>
      <x:c r="AA561" s="87" t="n">
        <x:f>Z561*'01 Base Costs'!$B$11</x:f>
        <x:v>446620280</x:v>
      </x:c>
      <x:c r="AB561" s="87" t="n">
        <x:f>Z561-AA561</x:f>
        <x:v>8485785320</x:v>
      </x:c>
      <x:c r="AC561" s="87" t="n">
        <x:f>O561+Y561</x:f>
        <x:v>13645777600</x:v>
      </x:c>
      <x:c r="AD561" s="87" t="n">
        <x:f>AB561-AC561</x:f>
        <x:v>-5159992280</x:v>
      </x:c>
      <x:c r="AE561" s="87" t="n">
        <x:f>AD561/D561</x:f>
        <x:v>-5159992280</x:v>
      </x:c>
      <x:c r="AF561" s="87" t="n">
        <x:f>AD561/P561</x:f>
        <x:v>-1719997426.6666667</x:v>
      </x:c>
      <x:c r="AG561" s="87" t="n">
        <x:f>IF(T561=0,0,AC561/T561/(1-'01 Base Costs'!$B$11))</x:f>
        <x:v>1210719523.0152252</x:v>
      </x:c>
      <x:c r="AH561" s="88" t="str">
        <x:f>IF(AD561&gt;0,"PROFIT","LOSS")</x:f>
        <x:v>LOSS</x:v>
      </x:c>
      <x:c r="AI561" s="89" t="str">
        <x:v>Capsuleer Day XXIIII event from screenshot. MCT sale 20% off. Base single extractor.</x:v>
      </x:c>
    </x:row>
    <x:row r="562">
      <x:c r="A562" s="86" t="n">
        <x:v>560</x:v>
      </x:c>
      <x:c r="B562" s="88" t="str">
        <x:v>Sale/Event</x:v>
      </x:c>
      <x:c r="C562" s="88" t="str">
        <x:v>Capsuleer Day 1M Omega + 100k SP + skin</x:v>
      </x:c>
      <x:c r="D562" s="88" t="n">
        <x:v>1</x:v>
      </x:c>
      <x:c r="E562" s="88" t="n">
        <x:v>3</x:v>
      </x:c>
      <x:c r="F562" s="88" t="str">
        <x:v>NES MCT 20% sale</x:v>
      </x:c>
      <x:c r="G562" s="88" t="str">
        <x:v>NES 5-pack extractor</x:v>
      </x:c>
      <x:c r="H562" s="87" t="n">
        <x:f>'01 Base Costs'!$B$26</x:f>
        <x:v>400</x:v>
      </x:c>
      <x:c r="I562" s="87" t="n">
        <x:f>'01 Base Costs'!$B$16*0.8</x:f>
        <x:v>388</x:v>
      </x:c>
      <x:c r="J562" s="87" t="n">
        <x:f>0</x:f>
        <x:v>0</x:v>
      </x:c>
      <x:c r="K562" s="87" t="n">
        <x:f>D562*(E562-1)*I562</x:f>
        <x:v>776</x:v>
      </x:c>
      <x:c r="L562" s="87" t="n">
        <x:f>D562*(E562-1)*J562</x:f>
        <x:v>0</x:v>
      </x:c>
      <x:c r="M562" s="87" t="n">
        <x:f>0</x:f>
        <x:v>0</x:v>
      </x:c>
      <x:c r="N562" s="87" t="n">
        <x:f>H562+K562+M562</x:f>
        <x:v>1176</x:v>
      </x:c>
      <x:c r="O562" s="87" t="n">
        <x:f>N562*'01 Base Costs'!$B$7+L562</x:f>
        <x:v>5656560000</x:v>
      </x:c>
      <x:c r="P562" s="87" t="n">
        <x:f>D562*E562</x:f>
        <x:v>3</x:v>
      </x:c>
      <x:c r="Q562" s="87" t="n">
        <x:f>P562*'01 Base Costs'!$B$12</x:f>
        <x:v>5832000</x:v>
      </x:c>
      <x:c r="R562" s="87" t="n">
        <x:f>'01 Base Costs'!$B$13</x:f>
        <x:v>100000</x:v>
      </x:c>
      <x:c r="S562" s="87" t="n">
        <x:f>Q562+R562</x:f>
        <x:v>5932000</x:v>
      </x:c>
      <x:c r="T562" s="141" t="n">
        <x:f>S562/'01 Base Costs'!$B$14</x:f>
        <x:v>11.864</x:v>
      </x:c>
      <x:c r="U562" s="87" t="n">
        <x:f>INT(T562)</x:f>
        <x:v>11</x:v>
      </x:c>
      <x:c r="V562" s="87" t="n">
        <x:f>S562-U562*'01 Base Costs'!$B$14</x:f>
        <x:v>432000</x:v>
      </x:c>
      <x:c r="W562" s="120" t="n">
        <x:f>'01 Base Costs'!$B$18/5</x:f>
        <x:v>126</x:v>
      </x:c>
      <x:c r="X562" s="120" t="n">
        <x:f>0</x:f>
        <x:v>0</x:v>
      </x:c>
      <x:c r="Y562" s="87" t="n">
        <x:f>T562*(W562*'01 Base Costs'!$B$7+X562)</x:f>
        <x:v>7190295840</x:v>
      </x:c>
      <x:c r="Z562" s="87" t="n">
        <x:f>T562*'01 Base Costs'!$B$8</x:f>
        <x:v>8932405600</x:v>
      </x:c>
      <x:c r="AA562" s="87" t="n">
        <x:f>Z562*'01 Base Costs'!$B$11</x:f>
        <x:v>446620280</x:v>
      </x:c>
      <x:c r="AB562" s="87" t="n">
        <x:f>Z562-AA562</x:f>
        <x:v>8485785320</x:v>
      </x:c>
      <x:c r="AC562" s="87" t="n">
        <x:f>O562+Y562</x:f>
        <x:v>12846855840</x:v>
      </x:c>
      <x:c r="AD562" s="87" t="n">
        <x:f>AB562-AC562</x:f>
        <x:v>-4361070520</x:v>
      </x:c>
      <x:c r="AE562" s="87" t="n">
        <x:f>AD562/D562</x:f>
        <x:v>-4361070520</x:v>
      </x:c>
      <x:c r="AF562" s="87" t="n">
        <x:f>AD562/P562</x:f>
        <x:v>-1453690173.3333333</x:v>
      </x:c>
      <x:c r="AG562" s="87" t="n">
        <x:f>IF(T562=0,0,AC562/T562/(1-'01 Base Costs'!$B$11))</x:f>
        <x:v>1139835312.4889092</x:v>
      </x:c>
      <x:c r="AH562" s="88" t="str">
        <x:f>IF(AD562&gt;0,"PROFIT","LOSS")</x:f>
        <x:v>LOSS</x:v>
      </x:c>
      <x:c r="AI562" s="89" t="str">
        <x:v>Capsuleer Day XXIIII event from screenshot. MCT sale 20% off. Base 5-pack average.</x:v>
      </x:c>
    </x:row>
    <x:row r="563">
      <x:c r="A563" s="86" t="n">
        <x:v>561</x:v>
      </x:c>
      <x:c r="B563" s="88" t="str">
        <x:v>Sale/Event</x:v>
      </x:c>
      <x:c r="C563" s="88" t="str">
        <x:v>Capsuleer Day 1M Omega + 100k SP + skin</x:v>
      </x:c>
      <x:c r="D563" s="88" t="n">
        <x:v>1</x:v>
      </x:c>
      <x:c r="E563" s="88" t="n">
        <x:v>3</x:v>
      </x:c>
      <x:c r="F563" s="88" t="str">
        <x:v>NES MCT 20% sale</x:v>
      </x:c>
      <x:c r="G563" s="88" t="str">
        <x:v>NES 10-pack extractor</x:v>
      </x:c>
      <x:c r="H563" s="87" t="n">
        <x:f>'01 Base Costs'!$B$26</x:f>
        <x:v>400</x:v>
      </x:c>
      <x:c r="I563" s="87" t="n">
        <x:f>'01 Base Costs'!$B$16*0.8</x:f>
        <x:v>388</x:v>
      </x:c>
      <x:c r="J563" s="87" t="n">
        <x:f>0</x:f>
        <x:v>0</x:v>
      </x:c>
      <x:c r="K563" s="87" t="n">
        <x:f>D563*(E563-1)*I563</x:f>
        <x:v>776</x:v>
      </x:c>
      <x:c r="L563" s="87" t="n">
        <x:f>D563*(E563-1)*J563</x:f>
        <x:v>0</x:v>
      </x:c>
      <x:c r="M563" s="87" t="n">
        <x:f>0</x:f>
        <x:v>0</x:v>
      </x:c>
      <x:c r="N563" s="87" t="n">
        <x:f>H563+K563+M563</x:f>
        <x:v>1176</x:v>
      </x:c>
      <x:c r="O563" s="87" t="n">
        <x:f>N563*'01 Base Costs'!$B$7+L563</x:f>
        <x:v>5656560000</x:v>
      </x:c>
      <x:c r="P563" s="87" t="n">
        <x:f>D563*E563</x:f>
        <x:v>3</x:v>
      </x:c>
      <x:c r="Q563" s="87" t="n">
        <x:f>P563*'01 Base Costs'!$B$12</x:f>
        <x:v>5832000</x:v>
      </x:c>
      <x:c r="R563" s="87" t="n">
        <x:f>'01 Base Costs'!$B$13</x:f>
        <x:v>100000</x:v>
      </x:c>
      <x:c r="S563" s="87" t="n">
        <x:f>Q563+R563</x:f>
        <x:v>5932000</x:v>
      </x:c>
      <x:c r="T563" s="141" t="n">
        <x:f>S563/'01 Base Costs'!$B$14</x:f>
        <x:v>11.864</x:v>
      </x:c>
      <x:c r="U563" s="87" t="n">
        <x:f>INT(T563)</x:f>
        <x:v>11</x:v>
      </x:c>
      <x:c r="V563" s="87" t="n">
        <x:f>S563-U563*'01 Base Costs'!$B$14</x:f>
        <x:v>432000</x:v>
      </x:c>
      <x:c r="W563" s="120" t="n">
        <x:f>'01 Base Costs'!$B$19/10</x:f>
        <x:v>119</x:v>
      </x:c>
      <x:c r="X563" s="120" t="n">
        <x:f>0</x:f>
        <x:v>0</x:v>
      </x:c>
      <x:c r="Y563" s="87" t="n">
        <x:f>T563*(W563*'01 Base Costs'!$B$7+X563)</x:f>
        <x:v>6790834960</x:v>
      </x:c>
      <x:c r="Z563" s="87" t="n">
        <x:f>T563*'01 Base Costs'!$B$8</x:f>
        <x:v>8932405600</x:v>
      </x:c>
      <x:c r="AA563" s="87" t="n">
        <x:f>Z563*'01 Base Costs'!$B$11</x:f>
        <x:v>446620280</x:v>
      </x:c>
      <x:c r="AB563" s="87" t="n">
        <x:f>Z563-AA563</x:f>
        <x:v>8485785320</x:v>
      </x:c>
      <x:c r="AC563" s="87" t="n">
        <x:f>O563+Y563</x:f>
        <x:v>12447394960</x:v>
      </x:c>
      <x:c r="AD563" s="87" t="n">
        <x:f>AB563-AC563</x:f>
        <x:v>-3961609640</x:v>
      </x:c>
      <x:c r="AE563" s="87" t="n">
        <x:f>AD563/D563</x:f>
        <x:v>-3961609640</x:v>
      </x:c>
      <x:c r="AF563" s="87" t="n">
        <x:f>AD563/P563</x:f>
        <x:v>-1320536546.6666667</x:v>
      </x:c>
      <x:c r="AG563" s="87" t="n">
        <x:f>IF(T563=0,0,AC563/T563/(1-'01 Base Costs'!$B$11))</x:f>
        <x:v>1104393207.2257514</x:v>
      </x:c>
      <x:c r="AH563" s="88" t="str">
        <x:f>IF(AD563&gt;0,"PROFIT","LOSS")</x:f>
        <x:v>LOSS</x:v>
      </x:c>
      <x:c r="AI563" s="89" t="str">
        <x:v>Capsuleer Day XXIIII event from screenshot. MCT sale 20% off. Base 10-pack average.</x:v>
      </x:c>
    </x:row>
    <x:row r="564">
      <x:c r="A564" s="86" t="n">
        <x:v>562</x:v>
      </x:c>
      <x:c r="B564" s="88" t="str">
        <x:v>Sale/Event</x:v>
      </x:c>
      <x:c r="C564" s="88" t="str">
        <x:v>Capsuleer Day 1M Omega + 100k SP + skin</x:v>
      </x:c>
      <x:c r="D564" s="88" t="n">
        <x:v>1</x:v>
      </x:c>
      <x:c r="E564" s="88" t="n">
        <x:v>3</x:v>
      </x:c>
      <x:c r="F564" s="88" t="str">
        <x:v>NES MCT 20% sale</x:v>
      </x:c>
      <x:c r="G564" s="88" t="str">
        <x:v>NES 50-pack extractor</x:v>
      </x:c>
      <x:c r="H564" s="87" t="n">
        <x:f>'01 Base Costs'!$B$26</x:f>
        <x:v>400</x:v>
      </x:c>
      <x:c r="I564" s="87" t="n">
        <x:f>'01 Base Costs'!$B$16*0.8</x:f>
        <x:v>388</x:v>
      </x:c>
      <x:c r="J564" s="87" t="n">
        <x:f>0</x:f>
        <x:v>0</x:v>
      </x:c>
      <x:c r="K564" s="87" t="n">
        <x:f>D564*(E564-1)*I564</x:f>
        <x:v>776</x:v>
      </x:c>
      <x:c r="L564" s="87" t="n">
        <x:f>D564*(E564-1)*J564</x:f>
        <x:v>0</x:v>
      </x:c>
      <x:c r="M564" s="87" t="n">
        <x:f>0</x:f>
        <x:v>0</x:v>
      </x:c>
      <x:c r="N564" s="87" t="n">
        <x:f>H564+K564+M564</x:f>
        <x:v>1176</x:v>
      </x:c>
      <x:c r="O564" s="87" t="n">
        <x:f>N564*'01 Base Costs'!$B$7+L564</x:f>
        <x:v>5656560000</x:v>
      </x:c>
      <x:c r="P564" s="87" t="n">
        <x:f>D564*E564</x:f>
        <x:v>3</x:v>
      </x:c>
      <x:c r="Q564" s="87" t="n">
        <x:f>P564*'01 Base Costs'!$B$12</x:f>
        <x:v>5832000</x:v>
      </x:c>
      <x:c r="R564" s="87" t="n">
        <x:f>'01 Base Costs'!$B$13</x:f>
        <x:v>100000</x:v>
      </x:c>
      <x:c r="S564" s="87" t="n">
        <x:f>Q564+R564</x:f>
        <x:v>5932000</x:v>
      </x:c>
      <x:c r="T564" s="141" t="n">
        <x:f>S564/'01 Base Costs'!$B$14</x:f>
        <x:v>11.864</x:v>
      </x:c>
      <x:c r="U564" s="87" t="n">
        <x:f>INT(T564)</x:f>
        <x:v>11</x:v>
      </x:c>
      <x:c r="V564" s="87" t="n">
        <x:f>S564-U564*'01 Base Costs'!$B$14</x:f>
        <x:v>432000</x:v>
      </x:c>
      <x:c r="W564" s="120" t="n">
        <x:f>'01 Base Costs'!$B$20/50</x:f>
        <x:v>112</x:v>
      </x:c>
      <x:c r="X564" s="120" t="n">
        <x:f>0</x:f>
        <x:v>0</x:v>
      </x:c>
      <x:c r="Y564" s="87" t="n">
        <x:f>T564*(W564*'01 Base Costs'!$B$7+X564)</x:f>
        <x:v>6391374080</x:v>
      </x:c>
      <x:c r="Z564" s="87" t="n">
        <x:f>T564*'01 Base Costs'!$B$8</x:f>
        <x:v>8932405600</x:v>
      </x:c>
      <x:c r="AA564" s="87" t="n">
        <x:f>Z564*'01 Base Costs'!$B$11</x:f>
        <x:v>446620280</x:v>
      </x:c>
      <x:c r="AB564" s="87" t="n">
        <x:f>Z564-AA564</x:f>
        <x:v>8485785320</x:v>
      </x:c>
      <x:c r="AC564" s="87" t="n">
        <x:f>O564+Y564</x:f>
        <x:v>12047934080</x:v>
      </x:c>
      <x:c r="AD564" s="87" t="n">
        <x:f>AB564-AC564</x:f>
        <x:v>-3562148760</x:v>
      </x:c>
      <x:c r="AE564" s="87" t="n">
        <x:f>AD564/D564</x:f>
        <x:v>-3562148760</x:v>
      </x:c>
      <x:c r="AF564" s="87" t="n">
        <x:f>AD564/P564</x:f>
        <x:v>-1187382920</x:v>
      </x:c>
      <x:c r="AG564" s="87" t="n">
        <x:f>IF(T564=0,0,AC564/T564/(1-'01 Base Costs'!$B$11))</x:f>
        <x:v>1068951101.9625936</x:v>
      </x:c>
      <x:c r="AH564" s="88" t="str">
        <x:f>IF(AD564&gt;0,"PROFIT","LOSS")</x:f>
        <x:v>LOSS</x:v>
      </x:c>
      <x:c r="AI564" s="89" t="str">
        <x:v>Capsuleer Day XXIIII event from screenshot. MCT sale 20% off. Base 50-pack average.</x:v>
      </x:c>
    </x:row>
    <x:row r="565">
      <x:c r="A565" s="86" t="n">
        <x:v>563</x:v>
      </x:c>
      <x:c r="B565" s="88" t="str">
        <x:v>Sale/Event</x:v>
      </x:c>
      <x:c r="C565" s="88" t="str">
        <x:v>Capsuleer Day 1M Omega + 100k SP + skin</x:v>
      </x:c>
      <x:c r="D565" s="88" t="n">
        <x:v>1</x:v>
      </x:c>
      <x:c r="E565" s="88" t="n">
        <x:v>3</x:v>
      </x:c>
      <x:c r="F565" s="88" t="str">
        <x:v>NES MCT 20% sale</x:v>
      </x:c>
      <x:c r="G565" s="88" t="str">
        <x:v>NES 3-for-2 extractor sale</x:v>
      </x:c>
      <x:c r="H565" s="87" t="n">
        <x:f>'01 Base Costs'!$B$26</x:f>
        <x:v>400</x:v>
      </x:c>
      <x:c r="I565" s="87" t="n">
        <x:f>'01 Base Costs'!$B$16*0.8</x:f>
        <x:v>388</x:v>
      </x:c>
      <x:c r="J565" s="87" t="n">
        <x:f>0</x:f>
        <x:v>0</x:v>
      </x:c>
      <x:c r="K565" s="87" t="n">
        <x:f>D565*(E565-1)*I565</x:f>
        <x:v>776</x:v>
      </x:c>
      <x:c r="L565" s="87" t="n">
        <x:f>D565*(E565-1)*J565</x:f>
        <x:v>0</x:v>
      </x:c>
      <x:c r="M565" s="87" t="n">
        <x:f>0</x:f>
        <x:v>0</x:v>
      </x:c>
      <x:c r="N565" s="87" t="n">
        <x:f>H565+K565+M565</x:f>
        <x:v>1176</x:v>
      </x:c>
      <x:c r="O565" s="87" t="n">
        <x:f>N565*'01 Base Costs'!$B$7+L565</x:f>
        <x:v>5656560000</x:v>
      </x:c>
      <x:c r="P565" s="87" t="n">
        <x:f>D565*E565</x:f>
        <x:v>3</x:v>
      </x:c>
      <x:c r="Q565" s="87" t="n">
        <x:f>P565*'01 Base Costs'!$B$12</x:f>
        <x:v>5832000</x:v>
      </x:c>
      <x:c r="R565" s="87" t="n">
        <x:f>'01 Base Costs'!$B$13</x:f>
        <x:v>100000</x:v>
      </x:c>
      <x:c r="S565" s="87" t="n">
        <x:f>Q565+R565</x:f>
        <x:v>5932000</x:v>
      </x:c>
      <x:c r="T565" s="141" t="n">
        <x:f>S565/'01 Base Costs'!$B$14</x:f>
        <x:v>11.864</x:v>
      </x:c>
      <x:c r="U565" s="87" t="n">
        <x:f>INT(T565)</x:f>
        <x:v>11</x:v>
      </x:c>
      <x:c r="V565" s="87" t="n">
        <x:f>S565-U565*'01 Base Costs'!$B$14</x:f>
        <x:v>432000</x:v>
      </x:c>
      <x:c r="W565" s="120" t="n">
        <x:f>'01 Base Costs'!$B$17*2/3</x:f>
        <x:v>93.33333333333333</x:v>
      </x:c>
      <x:c r="X565" s="120" t="n">
        <x:f>0</x:f>
        <x:v>0</x:v>
      </x:c>
      <x:c r="Y565" s="87" t="n">
        <x:f>T565*(W565*'01 Base Costs'!$B$7+X565)</x:f>
        <x:v>5326145066.666667</x:v>
      </x:c>
      <x:c r="Z565" s="87" t="n">
        <x:f>T565*'01 Base Costs'!$B$8</x:f>
        <x:v>8932405600</x:v>
      </x:c>
      <x:c r="AA565" s="87" t="n">
        <x:f>Z565*'01 Base Costs'!$B$11</x:f>
        <x:v>446620280</x:v>
      </x:c>
      <x:c r="AB565" s="87" t="n">
        <x:f>Z565-AA565</x:f>
        <x:v>8485785320</x:v>
      </x:c>
      <x:c r="AC565" s="87" t="n">
        <x:f>O565+Y565</x:f>
        <x:v>10982705066.666668</x:v>
      </x:c>
      <x:c r="AD565" s="87" t="n">
        <x:f>AB565-AC565</x:f>
        <x:v>-2496919746.666668</x:v>
      </x:c>
      <x:c r="AE565" s="87" t="n">
        <x:f>AD565/D565</x:f>
        <x:v>-2496919746.666668</x:v>
      </x:c>
      <x:c r="AF565" s="87" t="n">
        <x:f>AD565/P565</x:f>
        <x:v>-832306582.2222227</x:v>
      </x:c>
      <x:c r="AG565" s="87" t="n">
        <x:f>IF(T565=0,0,AC565/T565/(1-'01 Base Costs'!$B$11))</x:f>
        <x:v>974438821.2608393</x:v>
      </x:c>
      <x:c r="AH565" s="88" t="str">
        <x:f>IF(AD565&gt;0,"PROFIT","LOSS")</x:f>
        <x:v>LOSS</x:v>
      </x:c>
      <x:c r="AI565" s="89" t="str">
        <x:v>Capsuleer Day XXIIII event from screenshot. MCT sale 20% off. Extractor 3-for-2 sale.</x:v>
      </x:c>
    </x:row>
    <x:row r="566">
      <x:c r="A566" s="86" t="n">
        <x:v>564</x:v>
      </x:c>
      <x:c r="B566" s="88" t="str">
        <x:v>Sale/Event</x:v>
      </x:c>
      <x:c r="C566" s="88" t="str">
        <x:v>Capsuleer Day 1M Omega + 100k SP + skin</x:v>
      </x:c>
      <x:c r="D566" s="88" t="n">
        <x:v>1</x:v>
      </x:c>
      <x:c r="E566" s="88" t="n">
        <x:v>3</x:v>
      </x:c>
      <x:c r="F566" s="88" t="str">
        <x:v>NES MCT 20% sale</x:v>
      </x:c>
      <x:c r="G566" s="88" t="str">
        <x:v>NES 2-for-1 extractor sale</x:v>
      </x:c>
      <x:c r="H566" s="87" t="n">
        <x:f>'01 Base Costs'!$B$26</x:f>
        <x:v>400</x:v>
      </x:c>
      <x:c r="I566" s="87" t="n">
        <x:f>'01 Base Costs'!$B$16*0.8</x:f>
        <x:v>388</x:v>
      </x:c>
      <x:c r="J566" s="87" t="n">
        <x:f>0</x:f>
        <x:v>0</x:v>
      </x:c>
      <x:c r="K566" s="87" t="n">
        <x:f>D566*(E566-1)*I566</x:f>
        <x:v>776</x:v>
      </x:c>
      <x:c r="L566" s="87" t="n">
        <x:f>D566*(E566-1)*J566</x:f>
        <x:v>0</x:v>
      </x:c>
      <x:c r="M566" s="87" t="n">
        <x:f>0</x:f>
        <x:v>0</x:v>
      </x:c>
      <x:c r="N566" s="87" t="n">
        <x:f>H566+K566+M566</x:f>
        <x:v>1176</x:v>
      </x:c>
      <x:c r="O566" s="87" t="n">
        <x:f>N566*'01 Base Costs'!$B$7+L566</x:f>
        <x:v>5656560000</x:v>
      </x:c>
      <x:c r="P566" s="87" t="n">
        <x:f>D566*E566</x:f>
        <x:v>3</x:v>
      </x:c>
      <x:c r="Q566" s="87" t="n">
        <x:f>P566*'01 Base Costs'!$B$12</x:f>
        <x:v>5832000</x:v>
      </x:c>
      <x:c r="R566" s="87" t="n">
        <x:f>'01 Base Costs'!$B$13</x:f>
        <x:v>100000</x:v>
      </x:c>
      <x:c r="S566" s="87" t="n">
        <x:f>Q566+R566</x:f>
        <x:v>5932000</x:v>
      </x:c>
      <x:c r="T566" s="141" t="n">
        <x:f>S566/'01 Base Costs'!$B$14</x:f>
        <x:v>11.864</x:v>
      </x:c>
      <x:c r="U566" s="87" t="n">
        <x:f>INT(T566)</x:f>
        <x:v>11</x:v>
      </x:c>
      <x:c r="V566" s="87" t="n">
        <x:f>S566-U566*'01 Base Costs'!$B$14</x:f>
        <x:v>432000</x:v>
      </x:c>
      <x:c r="W566" s="120" t="n">
        <x:f>'01 Base Costs'!$B$17/2</x:f>
        <x:v>70</x:v>
      </x:c>
      <x:c r="X566" s="120" t="n">
        <x:f>0</x:f>
        <x:v>0</x:v>
      </x:c>
      <x:c r="Y566" s="87" t="n">
        <x:f>T566*(W566*'01 Base Costs'!$B$7+X566)</x:f>
        <x:v>3994608800.0000005</x:v>
      </x:c>
      <x:c r="Z566" s="87" t="n">
        <x:f>T566*'01 Base Costs'!$B$8</x:f>
        <x:v>8932405600</x:v>
      </x:c>
      <x:c r="AA566" s="87" t="n">
        <x:f>Z566*'01 Base Costs'!$B$11</x:f>
        <x:v>446620280</x:v>
      </x:c>
      <x:c r="AB566" s="87" t="n">
        <x:f>Z566-AA566</x:f>
        <x:v>8485785320</x:v>
      </x:c>
      <x:c r="AC566" s="87" t="n">
        <x:f>O566+Y566</x:f>
        <x:v>9651168800</x:v>
      </x:c>
      <x:c r="AD566" s="87" t="n">
        <x:f>AB566-AC566</x:f>
        <x:v>-1165383480</x:v>
      </x:c>
      <x:c r="AE566" s="87" t="n">
        <x:f>AD566/D566</x:f>
        <x:v>-1165383480</x:v>
      </x:c>
      <x:c r="AF566" s="87" t="n">
        <x:f>AD566/P566</x:f>
        <x:v>-388461160</x:v>
      </x:c>
      <x:c r="AG566" s="87" t="n">
        <x:f>IF(T566=0,0,AC566/T566/(1-'01 Base Costs'!$B$11))</x:f>
        <x:v>856298470.3836462</x:v>
      </x:c>
      <x:c r="AH566" s="88" t="str">
        <x:f>IF(AD566&gt;0,"PROFIT","LOSS")</x:f>
        <x:v>LOSS</x:v>
      </x:c>
      <x:c r="AI566" s="89" t="str">
        <x:v>Capsuleer Day XXIIII event from screenshot. MCT sale 20% off. Extractor 2-for-1 sale.</x:v>
      </x:c>
    </x:row>
    <x:row r="567">
      <x:c r="A567" s="86" t="n">
        <x:v>565</x:v>
      </x:c>
      <x:c r="B567" s="88" t="str">
        <x:v>Sale/Event</x:v>
      </x:c>
      <x:c r="C567" s="88" t="str">
        <x:v>Capsuleer Day 1M Omega + 100k SP + skin</x:v>
      </x:c>
      <x:c r="D567" s="88" t="n">
        <x:v>1</x:v>
      </x:c>
      <x:c r="E567" s="88" t="n">
        <x:v>3</x:v>
      </x:c>
      <x:c r="F567" s="88" t="str">
        <x:v>NES MCT 20% sale</x:v>
      </x:c>
      <x:c r="G567" s="88" t="str">
        <x:v>NES 10-pack extractor 20% sale</x:v>
      </x:c>
      <x:c r="H567" s="87" t="n">
        <x:f>'01 Base Costs'!$B$26</x:f>
        <x:v>400</x:v>
      </x:c>
      <x:c r="I567" s="87" t="n">
        <x:f>'01 Base Costs'!$B$16*0.8</x:f>
        <x:v>388</x:v>
      </x:c>
      <x:c r="J567" s="87" t="n">
        <x:f>0</x:f>
        <x:v>0</x:v>
      </x:c>
      <x:c r="K567" s="87" t="n">
        <x:f>D567*(E567-1)*I567</x:f>
        <x:v>776</x:v>
      </x:c>
      <x:c r="L567" s="87" t="n">
        <x:f>D567*(E567-1)*J567</x:f>
        <x:v>0</x:v>
      </x:c>
      <x:c r="M567" s="87" t="n">
        <x:f>0</x:f>
        <x:v>0</x:v>
      </x:c>
      <x:c r="N567" s="87" t="n">
        <x:f>H567+K567+M567</x:f>
        <x:v>1176</x:v>
      </x:c>
      <x:c r="O567" s="87" t="n">
        <x:f>N567*'01 Base Costs'!$B$7+L567</x:f>
        <x:v>5656560000</x:v>
      </x:c>
      <x:c r="P567" s="87" t="n">
        <x:f>D567*E567</x:f>
        <x:v>3</x:v>
      </x:c>
      <x:c r="Q567" s="87" t="n">
        <x:f>P567*'01 Base Costs'!$B$12</x:f>
        <x:v>5832000</x:v>
      </x:c>
      <x:c r="R567" s="87" t="n">
        <x:f>'01 Base Costs'!$B$13</x:f>
        <x:v>100000</x:v>
      </x:c>
      <x:c r="S567" s="87" t="n">
        <x:f>Q567+R567</x:f>
        <x:v>5932000</x:v>
      </x:c>
      <x:c r="T567" s="141" t="n">
        <x:f>S567/'01 Base Costs'!$B$14</x:f>
        <x:v>11.864</x:v>
      </x:c>
      <x:c r="U567" s="87" t="n">
        <x:f>INT(T567)</x:f>
        <x:v>11</x:v>
      </x:c>
      <x:c r="V567" s="87" t="n">
        <x:f>S567-U567*'01 Base Costs'!$B$14</x:f>
        <x:v>432000</x:v>
      </x:c>
      <x:c r="W567" s="120" t="n">
        <x:f>'01 Base Costs'!$B$19*0.8/10</x:f>
        <x:v>95.2</x:v>
      </x:c>
      <x:c r="X567" s="120" t="n">
        <x:f>0</x:f>
        <x:v>0</x:v>
      </x:c>
      <x:c r="Y567" s="87" t="n">
        <x:f>T567*(W567*'01 Base Costs'!$B$7+X567)</x:f>
        <x:v>5432667968</x:v>
      </x:c>
      <x:c r="Z567" s="87" t="n">
        <x:f>T567*'01 Base Costs'!$B$8</x:f>
        <x:v>8932405600</x:v>
      </x:c>
      <x:c r="AA567" s="87" t="n">
        <x:f>Z567*'01 Base Costs'!$B$11</x:f>
        <x:v>446620280</x:v>
      </x:c>
      <x:c r="AB567" s="87" t="n">
        <x:f>Z567-AA567</x:f>
        <x:v>8485785320</x:v>
      </x:c>
      <x:c r="AC567" s="87" t="n">
        <x:f>O567+Y567</x:f>
        <x:v>11089227968</x:v>
      </x:c>
      <x:c r="AD567" s="87" t="n">
        <x:f>AB567-AC567</x:f>
        <x:v>-2603442648</x:v>
      </x:c>
      <x:c r="AE567" s="87" t="n">
        <x:f>AD567/D567</x:f>
        <x:v>-2603442648</x:v>
      </x:c>
      <x:c r="AF567" s="87" t="n">
        <x:f>AD567/P567</x:f>
        <x:v>-867814216</x:v>
      </x:c>
      <x:c r="AG567" s="87" t="n">
        <x:f>IF(T567=0,0,AC567/T567/(1-'01 Base Costs'!$B$11))</x:f>
        <x:v>983890049.3310146</x:v>
      </x:c>
      <x:c r="AH567" s="88" t="str">
        <x:f>IF(AD567&gt;0,"PROFIT","LOSS")</x:f>
        <x:v>LOSS</x:v>
      </x:c>
      <x:c r="AI567" s="89" t="str">
        <x:v>Capsuleer Day XXIIII event from screenshot. MCT sale 20% off. 10-pack at 20% off.</x:v>
      </x:c>
    </x:row>
    <x:row r="568">
      <x:c r="A568" s="86" t="n">
        <x:v>566</x:v>
      </x:c>
      <x:c r="B568" s="88" t="str">
        <x:v>Sale/Event</x:v>
      </x:c>
      <x:c r="C568" s="88" t="str">
        <x:v>Capsuleer Day 1M Omega + 100k SP + skin</x:v>
      </x:c>
      <x:c r="D568" s="88" t="n">
        <x:v>1</x:v>
      </x:c>
      <x:c r="E568" s="88" t="n">
        <x:v>3</x:v>
      </x:c>
      <x:c r="F568" s="88" t="str">
        <x:v>NES MCT 20% sale</x:v>
      </x:c>
      <x:c r="G568" s="88" t="str">
        <x:v>NES 50-pack extractor 20% sale</x:v>
      </x:c>
      <x:c r="H568" s="87" t="n">
        <x:f>'01 Base Costs'!$B$26</x:f>
        <x:v>400</x:v>
      </x:c>
      <x:c r="I568" s="87" t="n">
        <x:f>'01 Base Costs'!$B$16*0.8</x:f>
        <x:v>388</x:v>
      </x:c>
      <x:c r="J568" s="87" t="n">
        <x:f>0</x:f>
        <x:v>0</x:v>
      </x:c>
      <x:c r="K568" s="87" t="n">
        <x:f>D568*(E568-1)*I568</x:f>
        <x:v>776</x:v>
      </x:c>
      <x:c r="L568" s="87" t="n">
        <x:f>D568*(E568-1)*J568</x:f>
        <x:v>0</x:v>
      </x:c>
      <x:c r="M568" s="87" t="n">
        <x:f>0</x:f>
        <x:v>0</x:v>
      </x:c>
      <x:c r="N568" s="87" t="n">
        <x:f>H568+K568+M568</x:f>
        <x:v>1176</x:v>
      </x:c>
      <x:c r="O568" s="87" t="n">
        <x:f>N568*'01 Base Costs'!$B$7+L568</x:f>
        <x:v>5656560000</x:v>
      </x:c>
      <x:c r="P568" s="87" t="n">
        <x:f>D568*E568</x:f>
        <x:v>3</x:v>
      </x:c>
      <x:c r="Q568" s="87" t="n">
        <x:f>P568*'01 Base Costs'!$B$12</x:f>
        <x:v>5832000</x:v>
      </x:c>
      <x:c r="R568" s="87" t="n">
        <x:f>'01 Base Costs'!$B$13</x:f>
        <x:v>100000</x:v>
      </x:c>
      <x:c r="S568" s="87" t="n">
        <x:f>Q568+R568</x:f>
        <x:v>5932000</x:v>
      </x:c>
      <x:c r="T568" s="141" t="n">
        <x:f>S568/'01 Base Costs'!$B$14</x:f>
        <x:v>11.864</x:v>
      </x:c>
      <x:c r="U568" s="87" t="n">
        <x:f>INT(T568)</x:f>
        <x:v>11</x:v>
      </x:c>
      <x:c r="V568" s="87" t="n">
        <x:f>S568-U568*'01 Base Costs'!$B$14</x:f>
        <x:v>432000</x:v>
      </x:c>
      <x:c r="W568" s="120" t="n">
        <x:f>'01 Base Costs'!$B$20*0.8/50</x:f>
        <x:v>89.6</x:v>
      </x:c>
      <x:c r="X568" s="120" t="n">
        <x:f>0</x:f>
        <x:v>0</x:v>
      </x:c>
      <x:c r="Y568" s="87" t="n">
        <x:f>T568*(W568*'01 Base Costs'!$B$7+X568)</x:f>
        <x:v>5113099264</x:v>
      </x:c>
      <x:c r="Z568" s="87" t="n">
        <x:f>T568*'01 Base Costs'!$B$8</x:f>
        <x:v>8932405600</x:v>
      </x:c>
      <x:c r="AA568" s="87" t="n">
        <x:f>Z568*'01 Base Costs'!$B$11</x:f>
        <x:v>446620280</x:v>
      </x:c>
      <x:c r="AB568" s="87" t="n">
        <x:f>Z568-AA568</x:f>
        <x:v>8485785320</x:v>
      </x:c>
      <x:c r="AC568" s="87" t="n">
        <x:f>O568+Y568</x:f>
        <x:v>10769659264</x:v>
      </x:c>
      <x:c r="AD568" s="87" t="n">
        <x:f>AB568-AC568</x:f>
        <x:v>-2283873944</x:v>
      </x:c>
      <x:c r="AE568" s="87" t="n">
        <x:f>AD568/D568</x:f>
        <x:v>-2283873944</x:v>
      </x:c>
      <x:c r="AF568" s="87" t="n">
        <x:f>AD568/P568</x:f>
        <x:v>-761291314.6666666</x:v>
      </x:c>
      <x:c r="AG568" s="87" t="n">
        <x:f>IF(T568=0,0,AC568/T568/(1-'01 Base Costs'!$B$11))</x:f>
        <x:v>955536365.1204884</x:v>
      </x:c>
      <x:c r="AH568" s="88" t="str">
        <x:f>IF(AD568&gt;0,"PROFIT","LOSS")</x:f>
        <x:v>LOSS</x:v>
      </x:c>
      <x:c r="AI568" s="89" t="str">
        <x:v>Capsuleer Day XXIIII event from screenshot. MCT sale 20% off. 50-pack at 20% off.</x:v>
      </x:c>
    </x:row>
    <x:row r="569">
      <x:c r="A569" s="86" t="n">
        <x:v>567</x:v>
      </x:c>
      <x:c r="B569" s="88" t="str">
        <x:v>Sale/Event</x:v>
      </x:c>
      <x:c r="C569" s="88" t="str">
        <x:v>Capsuleer Day 1M Omega + 100k SP + skin</x:v>
      </x:c>
      <x:c r="D569" s="88" t="n">
        <x:v>1</x:v>
      </x:c>
      <x:c r="E569" s="88" t="n">
        <x:v>3</x:v>
      </x:c>
      <x:c r="F569" s="88" t="str">
        <x:v>NES MCT 20% sale</x:v>
      </x:c>
      <x:c r="G569" s="88" t="str">
        <x:v>Market Skill Extractor</x:v>
      </x:c>
      <x:c r="H569" s="87" t="n">
        <x:f>'01 Base Costs'!$B$26</x:f>
        <x:v>400</x:v>
      </x:c>
      <x:c r="I569" s="87" t="n">
        <x:f>'01 Base Costs'!$B$16*0.8</x:f>
        <x:v>388</x:v>
      </x:c>
      <x:c r="J569" s="87" t="n">
        <x:f>0</x:f>
        <x:v>0</x:v>
      </x:c>
      <x:c r="K569" s="87" t="n">
        <x:f>D569*(E569-1)*I569</x:f>
        <x:v>776</x:v>
      </x:c>
      <x:c r="L569" s="87" t="n">
        <x:f>D569*(E569-1)*J569</x:f>
        <x:v>0</x:v>
      </x:c>
      <x:c r="M569" s="87" t="n">
        <x:f>0</x:f>
        <x:v>0</x:v>
      </x:c>
      <x:c r="N569" s="87" t="n">
        <x:f>H569+K569+M569</x:f>
        <x:v>1176</x:v>
      </x:c>
      <x:c r="O569" s="87" t="n">
        <x:f>N569*'01 Base Costs'!$B$7+L569</x:f>
        <x:v>5656560000</x:v>
      </x:c>
      <x:c r="P569" s="87" t="n">
        <x:f>D569*E569</x:f>
        <x:v>3</x:v>
      </x:c>
      <x:c r="Q569" s="87" t="n">
        <x:f>P569*'01 Base Costs'!$B$12</x:f>
        <x:v>5832000</x:v>
      </x:c>
      <x:c r="R569" s="87" t="n">
        <x:f>'01 Base Costs'!$B$13</x:f>
        <x:v>100000</x:v>
      </x:c>
      <x:c r="S569" s="87" t="n">
        <x:f>Q569+R569</x:f>
        <x:v>5932000</x:v>
      </x:c>
      <x:c r="T569" s="141" t="n">
        <x:f>S569/'01 Base Costs'!$B$14</x:f>
        <x:v>11.864</x:v>
      </x:c>
      <x:c r="U569" s="87" t="n">
        <x:f>INT(T569)</x:f>
        <x:v>11</x:v>
      </x:c>
      <x:c r="V569" s="87" t="n">
        <x:f>S569-U569*'01 Base Costs'!$B$14</x:f>
        <x:v>432000</x:v>
      </x:c>
      <x:c r="W569" s="120" t="n">
        <x:f>0</x:f>
        <x:v>0</x:v>
      </x:c>
      <x:c r="X569" s="120" t="n">
        <x:f>'01 Base Costs'!$B$9</x:f>
        <x:v>463500000</x:v>
      </x:c>
      <x:c r="Y569" s="87" t="n">
        <x:f>T569*(W569*'01 Base Costs'!$B$7+X569)</x:f>
        <x:v>5498964000</x:v>
      </x:c>
      <x:c r="Z569" s="87" t="n">
        <x:f>T569*'01 Base Costs'!$B$8</x:f>
        <x:v>8932405600</x:v>
      </x:c>
      <x:c r="AA569" s="87" t="n">
        <x:f>Z569*'01 Base Costs'!$B$11</x:f>
        <x:v>446620280</x:v>
      </x:c>
      <x:c r="AB569" s="87" t="n">
        <x:f>Z569-AA569</x:f>
        <x:v>8485785320</x:v>
      </x:c>
      <x:c r="AC569" s="87" t="n">
        <x:f>O569+Y569</x:f>
        <x:v>11155524000</x:v>
      </x:c>
      <x:c r="AD569" s="87" t="n">
        <x:f>AB569-AC569</x:f>
        <x:v>-2669738680</x:v>
      </x:c>
      <x:c r="AE569" s="87" t="n">
        <x:f>AD569/D569</x:f>
        <x:v>-2669738680</x:v>
      </x:c>
      <x:c r="AF569" s="87" t="n">
        <x:f>AD569/P569</x:f>
        <x:v>-889912893.3333334</x:v>
      </x:c>
      <x:c r="AG569" s="87" t="n">
        <x:f>IF(T569=0,0,AC569/T569/(1-'01 Base Costs'!$B$11))</x:f>
        <x:v>989772154.5941725</x:v>
      </x:c>
      <x:c r="AH569" s="88" t="str">
        <x:f>IF(AD569&gt;0,"PROFIT","LOSS")</x:f>
        <x:v>LOSS</x:v>
      </x:c>
      <x:c r="AI569" s="89" t="str">
        <x:v>Capsuleer Day XXIIII event from screenshot. MCT sale 20% off. Extractor bought on market with ISK.</x:v>
      </x:c>
    </x:row>
    <x:row r="570">
      <x:c r="A570" s="86" t="n">
        <x:v>568</x:v>
      </x:c>
      <x:c r="B570" s="88" t="str">
        <x:v>Sale/Event</x:v>
      </x:c>
      <x:c r="C570" s="88" t="str">
        <x:v>Capsuleer Day 1M Omega + 100k SP + skin</x:v>
      </x:c>
      <x:c r="D570" s="88" t="n">
        <x:v>1</x:v>
      </x:c>
      <x:c r="E570" s="88" t="n">
        <x:v>3</x:v>
      </x:c>
      <x:c r="F570" s="88" t="str">
        <x:v>NES MCT 30% sale</x:v>
      </x:c>
      <x:c r="G570" s="88" t="str">
        <x:v>NES single extractor</x:v>
      </x:c>
      <x:c r="H570" s="87" t="n">
        <x:f>'01 Base Costs'!$B$26</x:f>
        <x:v>400</x:v>
      </x:c>
      <x:c r="I570" s="87" t="n">
        <x:f>'01 Base Costs'!$B$16*0.7</x:f>
        <x:v>339.5</x:v>
      </x:c>
      <x:c r="J570" s="87" t="n">
        <x:f>0</x:f>
        <x:v>0</x:v>
      </x:c>
      <x:c r="K570" s="87" t="n">
        <x:f>D570*(E570-1)*I570</x:f>
        <x:v>679</x:v>
      </x:c>
      <x:c r="L570" s="87" t="n">
        <x:f>D570*(E570-1)*J570</x:f>
        <x:v>0</x:v>
      </x:c>
      <x:c r="M570" s="87" t="n">
        <x:f>0</x:f>
        <x:v>0</x:v>
      </x:c>
      <x:c r="N570" s="87" t="n">
        <x:f>H570+K570+M570</x:f>
        <x:v>1079</x:v>
      </x:c>
      <x:c r="O570" s="87" t="n">
        <x:f>N570*'01 Base Costs'!$B$7+L570</x:f>
        <x:v>5189990000</x:v>
      </x:c>
      <x:c r="P570" s="87" t="n">
        <x:f>D570*E570</x:f>
        <x:v>3</x:v>
      </x:c>
      <x:c r="Q570" s="87" t="n">
        <x:f>P570*'01 Base Costs'!$B$12</x:f>
        <x:v>5832000</x:v>
      </x:c>
      <x:c r="R570" s="87" t="n">
        <x:f>'01 Base Costs'!$B$13</x:f>
        <x:v>100000</x:v>
      </x:c>
      <x:c r="S570" s="87" t="n">
        <x:f>Q570+R570</x:f>
        <x:v>5932000</x:v>
      </x:c>
      <x:c r="T570" s="141" t="n">
        <x:f>S570/'01 Base Costs'!$B$14</x:f>
        <x:v>11.864</x:v>
      </x:c>
      <x:c r="U570" s="87" t="n">
        <x:f>INT(T570)</x:f>
        <x:v>11</x:v>
      </x:c>
      <x:c r="V570" s="87" t="n">
        <x:f>S570-U570*'01 Base Costs'!$B$14</x:f>
        <x:v>432000</x:v>
      </x:c>
      <x:c r="W570" s="120" t="n">
        <x:f>'01 Base Costs'!$B$17</x:f>
        <x:v>140</x:v>
      </x:c>
      <x:c r="X570" s="120" t="n">
        <x:f>0</x:f>
        <x:v>0</x:v>
      </x:c>
      <x:c r="Y570" s="87" t="n">
        <x:f>T570*(W570*'01 Base Costs'!$B$7+X570)</x:f>
        <x:v>7989217600.000001</x:v>
      </x:c>
      <x:c r="Z570" s="87" t="n">
        <x:f>T570*'01 Base Costs'!$B$8</x:f>
        <x:v>8932405600</x:v>
      </x:c>
      <x:c r="AA570" s="87" t="n">
        <x:f>Z570*'01 Base Costs'!$B$11</x:f>
        <x:v>446620280</x:v>
      </x:c>
      <x:c r="AB570" s="87" t="n">
        <x:f>Z570-AA570</x:f>
        <x:v>8485785320</x:v>
      </x:c>
      <x:c r="AC570" s="87" t="n">
        <x:f>O570+Y570</x:f>
        <x:v>13179207600</x:v>
      </x:c>
      <x:c r="AD570" s="87" t="n">
        <x:f>AB570-AC570</x:f>
        <x:v>-4693422280</x:v>
      </x:c>
      <x:c r="AE570" s="87" t="n">
        <x:f>AD570/D570</x:f>
        <x:v>-4693422280</x:v>
      </x:c>
      <x:c r="AF570" s="87" t="n">
        <x:f>AD570/P570</x:f>
        <x:v>-1564474093.3333333</x:v>
      </x:c>
      <x:c r="AG570" s="87" t="n">
        <x:f>IF(T570=0,0,AC570/T570/(1-'01 Base Costs'!$B$11))</x:f>
        <x:v>1169323171.3809135</x:v>
      </x:c>
      <x:c r="AH570" s="88" t="str">
        <x:f>IF(AD570&gt;0,"PROFIT","LOSS")</x:f>
        <x:v>LOSS</x:v>
      </x:c>
      <x:c r="AI570" s="89" t="str">
        <x:v>Capsuleer Day XXIIII event from screenshot. MCT sale 30% off. Base single extractor.</x:v>
      </x:c>
    </x:row>
    <x:row r="571">
      <x:c r="A571" s="86" t="n">
        <x:v>569</x:v>
      </x:c>
      <x:c r="B571" s="88" t="str">
        <x:v>Sale/Event</x:v>
      </x:c>
      <x:c r="C571" s="88" t="str">
        <x:v>Capsuleer Day 1M Omega + 100k SP + skin</x:v>
      </x:c>
      <x:c r="D571" s="88" t="n">
        <x:v>1</x:v>
      </x:c>
      <x:c r="E571" s="88" t="n">
        <x:v>3</x:v>
      </x:c>
      <x:c r="F571" s="88" t="str">
        <x:v>NES MCT 30% sale</x:v>
      </x:c>
      <x:c r="G571" s="88" t="str">
        <x:v>NES 5-pack extractor</x:v>
      </x:c>
      <x:c r="H571" s="87" t="n">
        <x:f>'01 Base Costs'!$B$26</x:f>
        <x:v>400</x:v>
      </x:c>
      <x:c r="I571" s="87" t="n">
        <x:f>'01 Base Costs'!$B$16*0.7</x:f>
        <x:v>339.5</x:v>
      </x:c>
      <x:c r="J571" s="87" t="n">
        <x:f>0</x:f>
        <x:v>0</x:v>
      </x:c>
      <x:c r="K571" s="87" t="n">
        <x:f>D571*(E571-1)*I571</x:f>
        <x:v>679</x:v>
      </x:c>
      <x:c r="L571" s="87" t="n">
        <x:f>D571*(E571-1)*J571</x:f>
        <x:v>0</x:v>
      </x:c>
      <x:c r="M571" s="87" t="n">
        <x:f>0</x:f>
        <x:v>0</x:v>
      </x:c>
      <x:c r="N571" s="87" t="n">
        <x:f>H571+K571+M571</x:f>
        <x:v>1079</x:v>
      </x:c>
      <x:c r="O571" s="87" t="n">
        <x:f>N571*'01 Base Costs'!$B$7+L571</x:f>
        <x:v>5189990000</x:v>
      </x:c>
      <x:c r="P571" s="87" t="n">
        <x:f>D571*E571</x:f>
        <x:v>3</x:v>
      </x:c>
      <x:c r="Q571" s="87" t="n">
        <x:f>P571*'01 Base Costs'!$B$12</x:f>
        <x:v>5832000</x:v>
      </x:c>
      <x:c r="R571" s="87" t="n">
        <x:f>'01 Base Costs'!$B$13</x:f>
        <x:v>100000</x:v>
      </x:c>
      <x:c r="S571" s="87" t="n">
        <x:f>Q571+R571</x:f>
        <x:v>5932000</x:v>
      </x:c>
      <x:c r="T571" s="141" t="n">
        <x:f>S571/'01 Base Costs'!$B$14</x:f>
        <x:v>11.864</x:v>
      </x:c>
      <x:c r="U571" s="87" t="n">
        <x:f>INT(T571)</x:f>
        <x:v>11</x:v>
      </x:c>
      <x:c r="V571" s="87" t="n">
        <x:f>S571-U571*'01 Base Costs'!$B$14</x:f>
        <x:v>432000</x:v>
      </x:c>
      <x:c r="W571" s="120" t="n">
        <x:f>'01 Base Costs'!$B$18/5</x:f>
        <x:v>126</x:v>
      </x:c>
      <x:c r="X571" s="120" t="n">
        <x:f>0</x:f>
        <x:v>0</x:v>
      </x:c>
      <x:c r="Y571" s="87" t="n">
        <x:f>T571*(W571*'01 Base Costs'!$B$7+X571)</x:f>
        <x:v>7190295840</x:v>
      </x:c>
      <x:c r="Z571" s="87" t="n">
        <x:f>T571*'01 Base Costs'!$B$8</x:f>
        <x:v>8932405600</x:v>
      </x:c>
      <x:c r="AA571" s="87" t="n">
        <x:f>Z571*'01 Base Costs'!$B$11</x:f>
        <x:v>446620280</x:v>
      </x:c>
      <x:c r="AB571" s="87" t="n">
        <x:f>Z571-AA571</x:f>
        <x:v>8485785320</x:v>
      </x:c>
      <x:c r="AC571" s="87" t="n">
        <x:f>O571+Y571</x:f>
        <x:v>12380285840</x:v>
      </x:c>
      <x:c r="AD571" s="87" t="n">
        <x:f>AB571-AC571</x:f>
        <x:v>-3894500520</x:v>
      </x:c>
      <x:c r="AE571" s="87" t="n">
        <x:f>AD571/D571</x:f>
        <x:v>-3894500520</x:v>
      </x:c>
      <x:c r="AF571" s="87" t="n">
        <x:f>AD571/P571</x:f>
        <x:v>-1298166840</x:v>
      </x:c>
      <x:c r="AG571" s="87" t="n">
        <x:f>IF(T571=0,0,AC571/T571/(1-'01 Base Costs'!$B$11))</x:f>
        <x:v>1098438960.8545976</x:v>
      </x:c>
      <x:c r="AH571" s="88" t="str">
        <x:f>IF(AD571&gt;0,"PROFIT","LOSS")</x:f>
        <x:v>LOSS</x:v>
      </x:c>
      <x:c r="AI571" s="89" t="str">
        <x:v>Capsuleer Day XXIIII event from screenshot. MCT sale 30% off. Base 5-pack average.</x:v>
      </x:c>
    </x:row>
    <x:row r="572">
      <x:c r="A572" s="86" t="n">
        <x:v>570</x:v>
      </x:c>
      <x:c r="B572" s="88" t="str">
        <x:v>Sale/Event</x:v>
      </x:c>
      <x:c r="C572" s="88" t="str">
        <x:v>Capsuleer Day 1M Omega + 100k SP + skin</x:v>
      </x:c>
      <x:c r="D572" s="88" t="n">
        <x:v>1</x:v>
      </x:c>
      <x:c r="E572" s="88" t="n">
        <x:v>3</x:v>
      </x:c>
      <x:c r="F572" s="88" t="str">
        <x:v>NES MCT 30% sale</x:v>
      </x:c>
      <x:c r="G572" s="88" t="str">
        <x:v>NES 10-pack extractor</x:v>
      </x:c>
      <x:c r="H572" s="87" t="n">
        <x:f>'01 Base Costs'!$B$26</x:f>
        <x:v>400</x:v>
      </x:c>
      <x:c r="I572" s="87" t="n">
        <x:f>'01 Base Costs'!$B$16*0.7</x:f>
        <x:v>339.5</x:v>
      </x:c>
      <x:c r="J572" s="87" t="n">
        <x:f>0</x:f>
        <x:v>0</x:v>
      </x:c>
      <x:c r="K572" s="87" t="n">
        <x:f>D572*(E572-1)*I572</x:f>
        <x:v>679</x:v>
      </x:c>
      <x:c r="L572" s="87" t="n">
        <x:f>D572*(E572-1)*J572</x:f>
        <x:v>0</x:v>
      </x:c>
      <x:c r="M572" s="87" t="n">
        <x:f>0</x:f>
        <x:v>0</x:v>
      </x:c>
      <x:c r="N572" s="87" t="n">
        <x:f>H572+K572+M572</x:f>
        <x:v>1079</x:v>
      </x:c>
      <x:c r="O572" s="87" t="n">
        <x:f>N572*'01 Base Costs'!$B$7+L572</x:f>
        <x:v>5189990000</x:v>
      </x:c>
      <x:c r="P572" s="87" t="n">
        <x:f>D572*E572</x:f>
        <x:v>3</x:v>
      </x:c>
      <x:c r="Q572" s="87" t="n">
        <x:f>P572*'01 Base Costs'!$B$12</x:f>
        <x:v>5832000</x:v>
      </x:c>
      <x:c r="R572" s="87" t="n">
        <x:f>'01 Base Costs'!$B$13</x:f>
        <x:v>100000</x:v>
      </x:c>
      <x:c r="S572" s="87" t="n">
        <x:f>Q572+R572</x:f>
        <x:v>5932000</x:v>
      </x:c>
      <x:c r="T572" s="141" t="n">
        <x:f>S572/'01 Base Costs'!$B$14</x:f>
        <x:v>11.864</x:v>
      </x:c>
      <x:c r="U572" s="87" t="n">
        <x:f>INT(T572)</x:f>
        <x:v>11</x:v>
      </x:c>
      <x:c r="V572" s="87" t="n">
        <x:f>S572-U572*'01 Base Costs'!$B$14</x:f>
        <x:v>432000</x:v>
      </x:c>
      <x:c r="W572" s="120" t="n">
        <x:f>'01 Base Costs'!$B$19/10</x:f>
        <x:v>119</x:v>
      </x:c>
      <x:c r="X572" s="120" t="n">
        <x:f>0</x:f>
        <x:v>0</x:v>
      </x:c>
      <x:c r="Y572" s="87" t="n">
        <x:f>T572*(W572*'01 Base Costs'!$B$7+X572)</x:f>
        <x:v>6790834960</x:v>
      </x:c>
      <x:c r="Z572" s="87" t="n">
        <x:f>T572*'01 Base Costs'!$B$8</x:f>
        <x:v>8932405600</x:v>
      </x:c>
      <x:c r="AA572" s="87" t="n">
        <x:f>Z572*'01 Base Costs'!$B$11</x:f>
        <x:v>446620280</x:v>
      </x:c>
      <x:c r="AB572" s="87" t="n">
        <x:f>Z572-AA572</x:f>
        <x:v>8485785320</x:v>
      </x:c>
      <x:c r="AC572" s="87" t="n">
        <x:f>O572+Y572</x:f>
        <x:v>11980824960</x:v>
      </x:c>
      <x:c r="AD572" s="87" t="n">
        <x:f>AB572-AC572</x:f>
        <x:v>-3495039640</x:v>
      </x:c>
      <x:c r="AE572" s="87" t="n">
        <x:f>AD572/D572</x:f>
        <x:v>-3495039640</x:v>
      </x:c>
      <x:c r="AF572" s="87" t="n">
        <x:f>AD572/P572</x:f>
        <x:v>-1165013213.3333333</x:v>
      </x:c>
      <x:c r="AG572" s="87" t="n">
        <x:f>IF(T572=0,0,AC572/T572/(1-'01 Base Costs'!$B$11))</x:f>
        <x:v>1062996855.5914397</x:v>
      </x:c>
      <x:c r="AH572" s="88" t="str">
        <x:f>IF(AD572&gt;0,"PROFIT","LOSS")</x:f>
        <x:v>LOSS</x:v>
      </x:c>
      <x:c r="AI572" s="89" t="str">
        <x:v>Capsuleer Day XXIIII event from screenshot. MCT sale 30% off. Base 10-pack average.</x:v>
      </x:c>
    </x:row>
    <x:row r="573">
      <x:c r="A573" s="86" t="n">
        <x:v>571</x:v>
      </x:c>
      <x:c r="B573" s="88" t="str">
        <x:v>Sale/Event</x:v>
      </x:c>
      <x:c r="C573" s="88" t="str">
        <x:v>Capsuleer Day 1M Omega + 100k SP + skin</x:v>
      </x:c>
      <x:c r="D573" s="88" t="n">
        <x:v>1</x:v>
      </x:c>
      <x:c r="E573" s="88" t="n">
        <x:v>3</x:v>
      </x:c>
      <x:c r="F573" s="88" t="str">
        <x:v>NES MCT 30% sale</x:v>
      </x:c>
      <x:c r="G573" s="88" t="str">
        <x:v>NES 50-pack extractor</x:v>
      </x:c>
      <x:c r="H573" s="87" t="n">
        <x:f>'01 Base Costs'!$B$26</x:f>
        <x:v>400</x:v>
      </x:c>
      <x:c r="I573" s="87" t="n">
        <x:f>'01 Base Costs'!$B$16*0.7</x:f>
        <x:v>339.5</x:v>
      </x:c>
      <x:c r="J573" s="87" t="n">
        <x:f>0</x:f>
        <x:v>0</x:v>
      </x:c>
      <x:c r="K573" s="87" t="n">
        <x:f>D573*(E573-1)*I573</x:f>
        <x:v>679</x:v>
      </x:c>
      <x:c r="L573" s="87" t="n">
        <x:f>D573*(E573-1)*J573</x:f>
        <x:v>0</x:v>
      </x:c>
      <x:c r="M573" s="87" t="n">
        <x:f>0</x:f>
        <x:v>0</x:v>
      </x:c>
      <x:c r="N573" s="87" t="n">
        <x:f>H573+K573+M573</x:f>
        <x:v>1079</x:v>
      </x:c>
      <x:c r="O573" s="87" t="n">
        <x:f>N573*'01 Base Costs'!$B$7+L573</x:f>
        <x:v>5189990000</x:v>
      </x:c>
      <x:c r="P573" s="87" t="n">
        <x:f>D573*E573</x:f>
        <x:v>3</x:v>
      </x:c>
      <x:c r="Q573" s="87" t="n">
        <x:f>P573*'01 Base Costs'!$B$12</x:f>
        <x:v>5832000</x:v>
      </x:c>
      <x:c r="R573" s="87" t="n">
        <x:f>'01 Base Costs'!$B$13</x:f>
        <x:v>100000</x:v>
      </x:c>
      <x:c r="S573" s="87" t="n">
        <x:f>Q573+R573</x:f>
        <x:v>5932000</x:v>
      </x:c>
      <x:c r="T573" s="141" t="n">
        <x:f>S573/'01 Base Costs'!$B$14</x:f>
        <x:v>11.864</x:v>
      </x:c>
      <x:c r="U573" s="87" t="n">
        <x:f>INT(T573)</x:f>
        <x:v>11</x:v>
      </x:c>
      <x:c r="V573" s="87" t="n">
        <x:f>S573-U573*'01 Base Costs'!$B$14</x:f>
        <x:v>432000</x:v>
      </x:c>
      <x:c r="W573" s="120" t="n">
        <x:f>'01 Base Costs'!$B$20/50</x:f>
        <x:v>112</x:v>
      </x:c>
      <x:c r="X573" s="120" t="n">
        <x:f>0</x:f>
        <x:v>0</x:v>
      </x:c>
      <x:c r="Y573" s="87" t="n">
        <x:f>T573*(W573*'01 Base Costs'!$B$7+X573)</x:f>
        <x:v>6391374080</x:v>
      </x:c>
      <x:c r="Z573" s="87" t="n">
        <x:f>T573*'01 Base Costs'!$B$8</x:f>
        <x:v>8932405600</x:v>
      </x:c>
      <x:c r="AA573" s="87" t="n">
        <x:f>Z573*'01 Base Costs'!$B$11</x:f>
        <x:v>446620280</x:v>
      </x:c>
      <x:c r="AB573" s="87" t="n">
        <x:f>Z573-AA573</x:f>
        <x:v>8485785320</x:v>
      </x:c>
      <x:c r="AC573" s="87" t="n">
        <x:f>O573+Y573</x:f>
        <x:v>11581364080</x:v>
      </x:c>
      <x:c r="AD573" s="87" t="n">
        <x:f>AB573-AC573</x:f>
        <x:v>-3095578760</x:v>
      </x:c>
      <x:c r="AE573" s="87" t="n">
        <x:f>AD573/D573</x:f>
        <x:v>-3095578760</x:v>
      </x:c>
      <x:c r="AF573" s="87" t="n">
        <x:f>AD573/P573</x:f>
        <x:v>-1031859586.6666666</x:v>
      </x:c>
      <x:c r="AG573" s="87" t="n">
        <x:f>IF(T573=0,0,AC573/T573/(1-'01 Base Costs'!$B$11))</x:f>
        <x:v>1027554750.3282819</x:v>
      </x:c>
      <x:c r="AH573" s="88" t="str">
        <x:f>IF(AD573&gt;0,"PROFIT","LOSS")</x:f>
        <x:v>LOSS</x:v>
      </x:c>
      <x:c r="AI573" s="89" t="str">
        <x:v>Capsuleer Day XXIIII event from screenshot. MCT sale 30% off. Base 50-pack average.</x:v>
      </x:c>
    </x:row>
    <x:row r="574">
      <x:c r="A574" s="86" t="n">
        <x:v>572</x:v>
      </x:c>
      <x:c r="B574" s="88" t="str">
        <x:v>Sale/Event</x:v>
      </x:c>
      <x:c r="C574" s="88" t="str">
        <x:v>Capsuleer Day 1M Omega + 100k SP + skin</x:v>
      </x:c>
      <x:c r="D574" s="88" t="n">
        <x:v>1</x:v>
      </x:c>
      <x:c r="E574" s="88" t="n">
        <x:v>3</x:v>
      </x:c>
      <x:c r="F574" s="88" t="str">
        <x:v>NES MCT 30% sale</x:v>
      </x:c>
      <x:c r="G574" s="88" t="str">
        <x:v>NES 3-for-2 extractor sale</x:v>
      </x:c>
      <x:c r="H574" s="87" t="n">
        <x:f>'01 Base Costs'!$B$26</x:f>
        <x:v>400</x:v>
      </x:c>
      <x:c r="I574" s="87" t="n">
        <x:f>'01 Base Costs'!$B$16*0.7</x:f>
        <x:v>339.5</x:v>
      </x:c>
      <x:c r="J574" s="87" t="n">
        <x:f>0</x:f>
        <x:v>0</x:v>
      </x:c>
      <x:c r="K574" s="87" t="n">
        <x:f>D574*(E574-1)*I574</x:f>
        <x:v>679</x:v>
      </x:c>
      <x:c r="L574" s="87" t="n">
        <x:f>D574*(E574-1)*J574</x:f>
        <x:v>0</x:v>
      </x:c>
      <x:c r="M574" s="87" t="n">
        <x:f>0</x:f>
        <x:v>0</x:v>
      </x:c>
      <x:c r="N574" s="87" t="n">
        <x:f>H574+K574+M574</x:f>
        <x:v>1079</x:v>
      </x:c>
      <x:c r="O574" s="87" t="n">
        <x:f>N574*'01 Base Costs'!$B$7+L574</x:f>
        <x:v>5189990000</x:v>
      </x:c>
      <x:c r="P574" s="87" t="n">
        <x:f>D574*E574</x:f>
        <x:v>3</x:v>
      </x:c>
      <x:c r="Q574" s="87" t="n">
        <x:f>P574*'01 Base Costs'!$B$12</x:f>
        <x:v>5832000</x:v>
      </x:c>
      <x:c r="R574" s="87" t="n">
        <x:f>'01 Base Costs'!$B$13</x:f>
        <x:v>100000</x:v>
      </x:c>
      <x:c r="S574" s="87" t="n">
        <x:f>Q574+R574</x:f>
        <x:v>5932000</x:v>
      </x:c>
      <x:c r="T574" s="141" t="n">
        <x:f>S574/'01 Base Costs'!$B$14</x:f>
        <x:v>11.864</x:v>
      </x:c>
      <x:c r="U574" s="87" t="n">
        <x:f>INT(T574)</x:f>
        <x:v>11</x:v>
      </x:c>
      <x:c r="V574" s="87" t="n">
        <x:f>S574-U574*'01 Base Costs'!$B$14</x:f>
        <x:v>432000</x:v>
      </x:c>
      <x:c r="W574" s="120" t="n">
        <x:f>'01 Base Costs'!$B$17*2/3</x:f>
        <x:v>93.33333333333333</x:v>
      </x:c>
      <x:c r="X574" s="120" t="n">
        <x:f>0</x:f>
        <x:v>0</x:v>
      </x:c>
      <x:c r="Y574" s="87" t="n">
        <x:f>T574*(W574*'01 Base Costs'!$B$7+X574)</x:f>
        <x:v>5326145066.666667</x:v>
      </x:c>
      <x:c r="Z574" s="87" t="n">
        <x:f>T574*'01 Base Costs'!$B$8</x:f>
        <x:v>8932405600</x:v>
      </x:c>
      <x:c r="AA574" s="87" t="n">
        <x:f>Z574*'01 Base Costs'!$B$11</x:f>
        <x:v>446620280</x:v>
      </x:c>
      <x:c r="AB574" s="87" t="n">
        <x:f>Z574-AA574</x:f>
        <x:v>8485785320</x:v>
      </x:c>
      <x:c r="AC574" s="87" t="n">
        <x:f>O574+Y574</x:f>
        <x:v>10516135066.666668</x:v>
      </x:c>
      <x:c r="AD574" s="87" t="n">
        <x:f>AB574-AC574</x:f>
        <x:v>-2030349746.666668</x:v>
      </x:c>
      <x:c r="AE574" s="87" t="n">
        <x:f>AD574/D574</x:f>
        <x:v>-2030349746.666668</x:v>
      </x:c>
      <x:c r="AF574" s="87" t="n">
        <x:f>AD574/P574</x:f>
        <x:v>-676783248.8888893</x:v>
      </x:c>
      <x:c r="AG574" s="87" t="n">
        <x:f>IF(T574=0,0,AC574/T574/(1-'01 Base Costs'!$B$11))</x:f>
        <x:v>933042469.6265277</x:v>
      </x:c>
      <x:c r="AH574" s="88" t="str">
        <x:f>IF(AD574&gt;0,"PROFIT","LOSS")</x:f>
        <x:v>LOSS</x:v>
      </x:c>
      <x:c r="AI574" s="89" t="str">
        <x:v>Capsuleer Day XXIIII event from screenshot. MCT sale 30% off. Extractor 3-for-2 sale.</x:v>
      </x:c>
    </x:row>
    <x:row r="575">
      <x:c r="A575" s="86" t="n">
        <x:v>573</x:v>
      </x:c>
      <x:c r="B575" s="88" t="str">
        <x:v>Sale/Event</x:v>
      </x:c>
      <x:c r="C575" s="88" t="str">
        <x:v>Capsuleer Day 1M Omega + 100k SP + skin</x:v>
      </x:c>
      <x:c r="D575" s="88" t="n">
        <x:v>1</x:v>
      </x:c>
      <x:c r="E575" s="88" t="n">
        <x:v>3</x:v>
      </x:c>
      <x:c r="F575" s="88" t="str">
        <x:v>NES MCT 30% sale</x:v>
      </x:c>
      <x:c r="G575" s="88" t="str">
        <x:v>NES 2-for-1 extractor sale</x:v>
      </x:c>
      <x:c r="H575" s="87" t="n">
        <x:f>'01 Base Costs'!$B$26</x:f>
        <x:v>400</x:v>
      </x:c>
      <x:c r="I575" s="87" t="n">
        <x:f>'01 Base Costs'!$B$16*0.7</x:f>
        <x:v>339.5</x:v>
      </x:c>
      <x:c r="J575" s="87" t="n">
        <x:f>0</x:f>
        <x:v>0</x:v>
      </x:c>
      <x:c r="K575" s="87" t="n">
        <x:f>D575*(E575-1)*I575</x:f>
        <x:v>679</x:v>
      </x:c>
      <x:c r="L575" s="87" t="n">
        <x:f>D575*(E575-1)*J575</x:f>
        <x:v>0</x:v>
      </x:c>
      <x:c r="M575" s="87" t="n">
        <x:f>0</x:f>
        <x:v>0</x:v>
      </x:c>
      <x:c r="N575" s="87" t="n">
        <x:f>H575+K575+M575</x:f>
        <x:v>1079</x:v>
      </x:c>
      <x:c r="O575" s="87" t="n">
        <x:f>N575*'01 Base Costs'!$B$7+L575</x:f>
        <x:v>5189990000</x:v>
      </x:c>
      <x:c r="P575" s="87" t="n">
        <x:f>D575*E575</x:f>
        <x:v>3</x:v>
      </x:c>
      <x:c r="Q575" s="87" t="n">
        <x:f>P575*'01 Base Costs'!$B$12</x:f>
        <x:v>5832000</x:v>
      </x:c>
      <x:c r="R575" s="87" t="n">
        <x:f>'01 Base Costs'!$B$13</x:f>
        <x:v>100000</x:v>
      </x:c>
      <x:c r="S575" s="87" t="n">
        <x:f>Q575+R575</x:f>
        <x:v>5932000</x:v>
      </x:c>
      <x:c r="T575" s="141" t="n">
        <x:f>S575/'01 Base Costs'!$B$14</x:f>
        <x:v>11.864</x:v>
      </x:c>
      <x:c r="U575" s="87" t="n">
        <x:f>INT(T575)</x:f>
        <x:v>11</x:v>
      </x:c>
      <x:c r="V575" s="87" t="n">
        <x:f>S575-U575*'01 Base Costs'!$B$14</x:f>
        <x:v>432000</x:v>
      </x:c>
      <x:c r="W575" s="120" t="n">
        <x:f>'01 Base Costs'!$B$17/2</x:f>
        <x:v>70</x:v>
      </x:c>
      <x:c r="X575" s="120" t="n">
        <x:f>0</x:f>
        <x:v>0</x:v>
      </x:c>
      <x:c r="Y575" s="87" t="n">
        <x:f>T575*(W575*'01 Base Costs'!$B$7+X575)</x:f>
        <x:v>3994608800.0000005</x:v>
      </x:c>
      <x:c r="Z575" s="87" t="n">
        <x:f>T575*'01 Base Costs'!$B$8</x:f>
        <x:v>8932405600</x:v>
      </x:c>
      <x:c r="AA575" s="87" t="n">
        <x:f>Z575*'01 Base Costs'!$B$11</x:f>
        <x:v>446620280</x:v>
      </x:c>
      <x:c r="AB575" s="87" t="n">
        <x:f>Z575-AA575</x:f>
        <x:v>8485785320</x:v>
      </x:c>
      <x:c r="AC575" s="87" t="n">
        <x:f>O575+Y575</x:f>
        <x:v>9184598800</x:v>
      </x:c>
      <x:c r="AD575" s="87" t="n">
        <x:f>AB575-AC575</x:f>
        <x:v>-698813480</x:v>
      </x:c>
      <x:c r="AE575" s="87" t="n">
        <x:f>AD575/D575</x:f>
        <x:v>-698813480</x:v>
      </x:c>
      <x:c r="AF575" s="87" t="n">
        <x:f>AD575/P575</x:f>
        <x:v>-232937826.66666666</x:v>
      </x:c>
      <x:c r="AG575" s="87" t="n">
        <x:f>IF(T575=0,0,AC575/T575/(1-'01 Base Costs'!$B$11))</x:f>
        <x:v>814902118.7493346</x:v>
      </x:c>
      <x:c r="AH575" s="88" t="str">
        <x:f>IF(AD575&gt;0,"PROFIT","LOSS")</x:f>
        <x:v>LOSS</x:v>
      </x:c>
      <x:c r="AI575" s="89" t="str">
        <x:v>Capsuleer Day XXIIII event from screenshot. MCT sale 30% off. Extractor 2-for-1 sale.</x:v>
      </x:c>
    </x:row>
    <x:row r="576">
      <x:c r="A576" s="86" t="n">
        <x:v>574</x:v>
      </x:c>
      <x:c r="B576" s="88" t="str">
        <x:v>Sale/Event</x:v>
      </x:c>
      <x:c r="C576" s="88" t="str">
        <x:v>Capsuleer Day 1M Omega + 100k SP + skin</x:v>
      </x:c>
      <x:c r="D576" s="88" t="n">
        <x:v>1</x:v>
      </x:c>
      <x:c r="E576" s="88" t="n">
        <x:v>3</x:v>
      </x:c>
      <x:c r="F576" s="88" t="str">
        <x:v>NES MCT 30% sale</x:v>
      </x:c>
      <x:c r="G576" s="88" t="str">
        <x:v>NES 10-pack extractor 20% sale</x:v>
      </x:c>
      <x:c r="H576" s="87" t="n">
        <x:f>'01 Base Costs'!$B$26</x:f>
        <x:v>400</x:v>
      </x:c>
      <x:c r="I576" s="87" t="n">
        <x:f>'01 Base Costs'!$B$16*0.7</x:f>
        <x:v>339.5</x:v>
      </x:c>
      <x:c r="J576" s="87" t="n">
        <x:f>0</x:f>
        <x:v>0</x:v>
      </x:c>
      <x:c r="K576" s="87" t="n">
        <x:f>D576*(E576-1)*I576</x:f>
        <x:v>679</x:v>
      </x:c>
      <x:c r="L576" s="87" t="n">
        <x:f>D576*(E576-1)*J576</x:f>
        <x:v>0</x:v>
      </x:c>
      <x:c r="M576" s="87" t="n">
        <x:f>0</x:f>
        <x:v>0</x:v>
      </x:c>
      <x:c r="N576" s="87" t="n">
        <x:f>H576+K576+M576</x:f>
        <x:v>1079</x:v>
      </x:c>
      <x:c r="O576" s="87" t="n">
        <x:f>N576*'01 Base Costs'!$B$7+L576</x:f>
        <x:v>5189990000</x:v>
      </x:c>
      <x:c r="P576" s="87" t="n">
        <x:f>D576*E576</x:f>
        <x:v>3</x:v>
      </x:c>
      <x:c r="Q576" s="87" t="n">
        <x:f>P576*'01 Base Costs'!$B$12</x:f>
        <x:v>5832000</x:v>
      </x:c>
      <x:c r="R576" s="87" t="n">
        <x:f>'01 Base Costs'!$B$13</x:f>
        <x:v>100000</x:v>
      </x:c>
      <x:c r="S576" s="87" t="n">
        <x:f>Q576+R576</x:f>
        <x:v>5932000</x:v>
      </x:c>
      <x:c r="T576" s="141" t="n">
        <x:f>S576/'01 Base Costs'!$B$14</x:f>
        <x:v>11.864</x:v>
      </x:c>
      <x:c r="U576" s="87" t="n">
        <x:f>INT(T576)</x:f>
        <x:v>11</x:v>
      </x:c>
      <x:c r="V576" s="87" t="n">
        <x:f>S576-U576*'01 Base Costs'!$B$14</x:f>
        <x:v>432000</x:v>
      </x:c>
      <x:c r="W576" s="120" t="n">
        <x:f>'01 Base Costs'!$B$19*0.8/10</x:f>
        <x:v>95.2</x:v>
      </x:c>
      <x:c r="X576" s="120" t="n">
        <x:f>0</x:f>
        <x:v>0</x:v>
      </x:c>
      <x:c r="Y576" s="87" t="n">
        <x:f>T576*(W576*'01 Base Costs'!$B$7+X576)</x:f>
        <x:v>5432667968</x:v>
      </x:c>
      <x:c r="Z576" s="87" t="n">
        <x:f>T576*'01 Base Costs'!$B$8</x:f>
        <x:v>8932405600</x:v>
      </x:c>
      <x:c r="AA576" s="87" t="n">
        <x:f>Z576*'01 Base Costs'!$B$11</x:f>
        <x:v>446620280</x:v>
      </x:c>
      <x:c r="AB576" s="87" t="n">
        <x:f>Z576-AA576</x:f>
        <x:v>8485785320</x:v>
      </x:c>
      <x:c r="AC576" s="87" t="n">
        <x:f>O576+Y576</x:f>
        <x:v>10622657968</x:v>
      </x:c>
      <x:c r="AD576" s="87" t="n">
        <x:f>AB576-AC576</x:f>
        <x:v>-2136872648</x:v>
      </x:c>
      <x:c r="AE576" s="87" t="n">
        <x:f>AD576/D576</x:f>
        <x:v>-2136872648</x:v>
      </x:c>
      <x:c r="AF576" s="87" t="n">
        <x:f>AD576/P576</x:f>
        <x:v>-712290882.6666666</x:v>
      </x:c>
      <x:c r="AG576" s="87" t="n">
        <x:f>IF(T576=0,0,AC576/T576/(1-'01 Base Costs'!$B$11))</x:f>
        <x:v>942493697.6967031</x:v>
      </x:c>
      <x:c r="AH576" s="88" t="str">
        <x:f>IF(AD576&gt;0,"PROFIT","LOSS")</x:f>
        <x:v>LOSS</x:v>
      </x:c>
      <x:c r="AI576" s="89" t="str">
        <x:v>Capsuleer Day XXIIII event from screenshot. MCT sale 30% off. 10-pack at 20% off.</x:v>
      </x:c>
    </x:row>
    <x:row r="577">
      <x:c r="A577" s="86" t="n">
        <x:v>575</x:v>
      </x:c>
      <x:c r="B577" s="88" t="str">
        <x:v>Sale/Event</x:v>
      </x:c>
      <x:c r="C577" s="88" t="str">
        <x:v>Capsuleer Day 1M Omega + 100k SP + skin</x:v>
      </x:c>
      <x:c r="D577" s="88" t="n">
        <x:v>1</x:v>
      </x:c>
      <x:c r="E577" s="88" t="n">
        <x:v>3</x:v>
      </x:c>
      <x:c r="F577" s="88" t="str">
        <x:v>NES MCT 30% sale</x:v>
      </x:c>
      <x:c r="G577" s="88" t="str">
        <x:v>NES 50-pack extractor 20% sale</x:v>
      </x:c>
      <x:c r="H577" s="87" t="n">
        <x:f>'01 Base Costs'!$B$26</x:f>
        <x:v>400</x:v>
      </x:c>
      <x:c r="I577" s="87" t="n">
        <x:f>'01 Base Costs'!$B$16*0.7</x:f>
        <x:v>339.5</x:v>
      </x:c>
      <x:c r="J577" s="87" t="n">
        <x:f>0</x:f>
        <x:v>0</x:v>
      </x:c>
      <x:c r="K577" s="87" t="n">
        <x:f>D577*(E577-1)*I577</x:f>
        <x:v>679</x:v>
      </x:c>
      <x:c r="L577" s="87" t="n">
        <x:f>D577*(E577-1)*J577</x:f>
        <x:v>0</x:v>
      </x:c>
      <x:c r="M577" s="87" t="n">
        <x:f>0</x:f>
        <x:v>0</x:v>
      </x:c>
      <x:c r="N577" s="87" t="n">
        <x:f>H577+K577+M577</x:f>
        <x:v>1079</x:v>
      </x:c>
      <x:c r="O577" s="87" t="n">
        <x:f>N577*'01 Base Costs'!$B$7+L577</x:f>
        <x:v>5189990000</x:v>
      </x:c>
      <x:c r="P577" s="87" t="n">
        <x:f>D577*E577</x:f>
        <x:v>3</x:v>
      </x:c>
      <x:c r="Q577" s="87" t="n">
        <x:f>P577*'01 Base Costs'!$B$12</x:f>
        <x:v>5832000</x:v>
      </x:c>
      <x:c r="R577" s="87" t="n">
        <x:f>'01 Base Costs'!$B$13</x:f>
        <x:v>100000</x:v>
      </x:c>
      <x:c r="S577" s="87" t="n">
        <x:f>Q577+R577</x:f>
        <x:v>5932000</x:v>
      </x:c>
      <x:c r="T577" s="141" t="n">
        <x:f>S577/'01 Base Costs'!$B$14</x:f>
        <x:v>11.864</x:v>
      </x:c>
      <x:c r="U577" s="87" t="n">
        <x:f>INT(T577)</x:f>
        <x:v>11</x:v>
      </x:c>
      <x:c r="V577" s="87" t="n">
        <x:f>S577-U577*'01 Base Costs'!$B$14</x:f>
        <x:v>432000</x:v>
      </x:c>
      <x:c r="W577" s="120" t="n">
        <x:f>'01 Base Costs'!$B$20*0.8/50</x:f>
        <x:v>89.6</x:v>
      </x:c>
      <x:c r="X577" s="120" t="n">
        <x:f>0</x:f>
        <x:v>0</x:v>
      </x:c>
      <x:c r="Y577" s="87" t="n">
        <x:f>T577*(W577*'01 Base Costs'!$B$7+X577)</x:f>
        <x:v>5113099264</x:v>
      </x:c>
      <x:c r="Z577" s="87" t="n">
        <x:f>T577*'01 Base Costs'!$B$8</x:f>
        <x:v>8932405600</x:v>
      </x:c>
      <x:c r="AA577" s="87" t="n">
        <x:f>Z577*'01 Base Costs'!$B$11</x:f>
        <x:v>446620280</x:v>
      </x:c>
      <x:c r="AB577" s="87" t="n">
        <x:f>Z577-AA577</x:f>
        <x:v>8485785320</x:v>
      </x:c>
      <x:c r="AC577" s="87" t="n">
        <x:f>O577+Y577</x:f>
        <x:v>10303089264</x:v>
      </x:c>
      <x:c r="AD577" s="87" t="n">
        <x:f>AB577-AC577</x:f>
        <x:v>-1817303944</x:v>
      </x:c>
      <x:c r="AE577" s="87" t="n">
        <x:f>AD577/D577</x:f>
        <x:v>-1817303944</x:v>
      </x:c>
      <x:c r="AF577" s="87" t="n">
        <x:f>AD577/P577</x:f>
        <x:v>-605767981.3333334</x:v>
      </x:c>
      <x:c r="AG577" s="87" t="n">
        <x:f>IF(T577=0,0,AC577/T577/(1-'01 Base Costs'!$B$11))</x:f>
        <x:v>914140013.4861767</x:v>
      </x:c>
      <x:c r="AH577" s="88" t="str">
        <x:f>IF(AD577&gt;0,"PROFIT","LOSS")</x:f>
        <x:v>LOSS</x:v>
      </x:c>
      <x:c r="AI577" s="89" t="str">
        <x:v>Capsuleer Day XXIIII event from screenshot. MCT sale 30% off. 50-pack at 20% off.</x:v>
      </x:c>
    </x:row>
    <x:row r="578">
      <x:c r="A578" s="86" t="n">
        <x:v>576</x:v>
      </x:c>
      <x:c r="B578" s="88" t="str">
        <x:v>Sale/Event</x:v>
      </x:c>
      <x:c r="C578" s="88" t="str">
        <x:v>Capsuleer Day 1M Omega + 100k SP + skin</x:v>
      </x:c>
      <x:c r="D578" s="88" t="n">
        <x:v>1</x:v>
      </x:c>
      <x:c r="E578" s="88" t="n">
        <x:v>3</x:v>
      </x:c>
      <x:c r="F578" s="88" t="str">
        <x:v>NES MCT 30% sale</x:v>
      </x:c>
      <x:c r="G578" s="88" t="str">
        <x:v>Market Skill Extractor</x:v>
      </x:c>
      <x:c r="H578" s="87" t="n">
        <x:f>'01 Base Costs'!$B$26</x:f>
        <x:v>400</x:v>
      </x:c>
      <x:c r="I578" s="87" t="n">
        <x:f>'01 Base Costs'!$B$16*0.7</x:f>
        <x:v>339.5</x:v>
      </x:c>
      <x:c r="J578" s="87" t="n">
        <x:f>0</x:f>
        <x:v>0</x:v>
      </x:c>
      <x:c r="K578" s="87" t="n">
        <x:f>D578*(E578-1)*I578</x:f>
        <x:v>679</x:v>
      </x:c>
      <x:c r="L578" s="87" t="n">
        <x:f>D578*(E578-1)*J578</x:f>
        <x:v>0</x:v>
      </x:c>
      <x:c r="M578" s="87" t="n">
        <x:f>0</x:f>
        <x:v>0</x:v>
      </x:c>
      <x:c r="N578" s="87" t="n">
        <x:f>H578+K578+M578</x:f>
        <x:v>1079</x:v>
      </x:c>
      <x:c r="O578" s="87" t="n">
        <x:f>N578*'01 Base Costs'!$B$7+L578</x:f>
        <x:v>5189990000</x:v>
      </x:c>
      <x:c r="P578" s="87" t="n">
        <x:f>D578*E578</x:f>
        <x:v>3</x:v>
      </x:c>
      <x:c r="Q578" s="87" t="n">
        <x:f>P578*'01 Base Costs'!$B$12</x:f>
        <x:v>5832000</x:v>
      </x:c>
      <x:c r="R578" s="87" t="n">
        <x:f>'01 Base Costs'!$B$13</x:f>
        <x:v>100000</x:v>
      </x:c>
      <x:c r="S578" s="87" t="n">
        <x:f>Q578+R578</x:f>
        <x:v>5932000</x:v>
      </x:c>
      <x:c r="T578" s="141" t="n">
        <x:f>S578/'01 Base Costs'!$B$14</x:f>
        <x:v>11.864</x:v>
      </x:c>
      <x:c r="U578" s="87" t="n">
        <x:f>INT(T578)</x:f>
        <x:v>11</x:v>
      </x:c>
      <x:c r="V578" s="87" t="n">
        <x:f>S578-U578*'01 Base Costs'!$B$14</x:f>
        <x:v>432000</x:v>
      </x:c>
      <x:c r="W578" s="120" t="n">
        <x:f>0</x:f>
        <x:v>0</x:v>
      </x:c>
      <x:c r="X578" s="120" t="n">
        <x:f>'01 Base Costs'!$B$9</x:f>
        <x:v>463500000</x:v>
      </x:c>
      <x:c r="Y578" s="87" t="n">
        <x:f>T578*(W578*'01 Base Costs'!$B$7+X578)</x:f>
        <x:v>5498964000</x:v>
      </x:c>
      <x:c r="Z578" s="87" t="n">
        <x:f>T578*'01 Base Costs'!$B$8</x:f>
        <x:v>8932405600</x:v>
      </x:c>
      <x:c r="AA578" s="87" t="n">
        <x:f>Z578*'01 Base Costs'!$B$11</x:f>
        <x:v>446620280</x:v>
      </x:c>
      <x:c r="AB578" s="87" t="n">
        <x:f>Z578-AA578</x:f>
        <x:v>8485785320</x:v>
      </x:c>
      <x:c r="AC578" s="87" t="n">
        <x:f>O578+Y578</x:f>
        <x:v>10688954000</x:v>
      </x:c>
      <x:c r="AD578" s="87" t="n">
        <x:f>AB578-AC578</x:f>
        <x:v>-2203168680</x:v>
      </x:c>
      <x:c r="AE578" s="87" t="n">
        <x:f>AD578/D578</x:f>
        <x:v>-2203168680</x:v>
      </x:c>
      <x:c r="AF578" s="87" t="n">
        <x:f>AD578/P578</x:f>
        <x:v>-734389560</x:v>
      </x:c>
      <x:c r="AG578" s="87" t="n">
        <x:f>IF(T578=0,0,AC578/T578/(1-'01 Base Costs'!$B$11))</x:f>
        <x:v>948375802.9598609</x:v>
      </x:c>
      <x:c r="AH578" s="88" t="str">
        <x:f>IF(AD578&gt;0,"PROFIT","LOSS")</x:f>
        <x:v>LOSS</x:v>
      </x:c>
      <x:c r="AI578" s="89" t="str">
        <x:v>Capsuleer Day XXIIII event from screenshot. MCT sale 30% off. Extractor bought on market with ISK.</x:v>
      </x:c>
    </x:row>
    <x:row r="579">
      <x:c r="A579" s="86" t="n">
        <x:v>577</x:v>
      </x:c>
      <x:c r="B579" s="88" t="str">
        <x:v>Sale/Event</x:v>
      </x:c>
      <x:c r="C579" s="88" t="str">
        <x:v>Capsuleer Day 1M Omega + 100k SP + skin</x:v>
      </x:c>
      <x:c r="D579" s="88" t="n">
        <x:v>1</x:v>
      </x:c>
      <x:c r="E579" s="88" t="n">
        <x:v>3</x:v>
      </x:c>
      <x:c r="F579" s="88" t="str">
        <x:v>NES MCT 40% sale</x:v>
      </x:c>
      <x:c r="G579" s="88" t="str">
        <x:v>NES single extractor</x:v>
      </x:c>
      <x:c r="H579" s="87" t="n">
        <x:f>'01 Base Costs'!$B$26</x:f>
        <x:v>400</x:v>
      </x:c>
      <x:c r="I579" s="87" t="n">
        <x:f>'01 Base Costs'!$B$16*0.6</x:f>
        <x:v>291</x:v>
      </x:c>
      <x:c r="J579" s="87" t="n">
        <x:f>0</x:f>
        <x:v>0</x:v>
      </x:c>
      <x:c r="K579" s="87" t="n">
        <x:f>D579*(E579-1)*I579</x:f>
        <x:v>582</x:v>
      </x:c>
      <x:c r="L579" s="87" t="n">
        <x:f>D579*(E579-1)*J579</x:f>
        <x:v>0</x:v>
      </x:c>
      <x:c r="M579" s="87" t="n">
        <x:f>0</x:f>
        <x:v>0</x:v>
      </x:c>
      <x:c r="N579" s="87" t="n">
        <x:f>H579+K579+M579</x:f>
        <x:v>982</x:v>
      </x:c>
      <x:c r="O579" s="87" t="n">
        <x:f>N579*'01 Base Costs'!$B$7+L579</x:f>
        <x:v>4723420000</x:v>
      </x:c>
      <x:c r="P579" s="87" t="n">
        <x:f>D579*E579</x:f>
        <x:v>3</x:v>
      </x:c>
      <x:c r="Q579" s="87" t="n">
        <x:f>P579*'01 Base Costs'!$B$12</x:f>
        <x:v>5832000</x:v>
      </x:c>
      <x:c r="R579" s="87" t="n">
        <x:f>'01 Base Costs'!$B$13</x:f>
        <x:v>100000</x:v>
      </x:c>
      <x:c r="S579" s="87" t="n">
        <x:f>Q579+R579</x:f>
        <x:v>5932000</x:v>
      </x:c>
      <x:c r="T579" s="141" t="n">
        <x:f>S579/'01 Base Costs'!$B$14</x:f>
        <x:v>11.864</x:v>
      </x:c>
      <x:c r="U579" s="87" t="n">
        <x:f>INT(T579)</x:f>
        <x:v>11</x:v>
      </x:c>
      <x:c r="V579" s="87" t="n">
        <x:f>S579-U579*'01 Base Costs'!$B$14</x:f>
        <x:v>432000</x:v>
      </x:c>
      <x:c r="W579" s="120" t="n">
        <x:f>'01 Base Costs'!$B$17</x:f>
        <x:v>140</x:v>
      </x:c>
      <x:c r="X579" s="120" t="n">
        <x:f>0</x:f>
        <x:v>0</x:v>
      </x:c>
      <x:c r="Y579" s="87" t="n">
        <x:f>T579*(W579*'01 Base Costs'!$B$7+X579)</x:f>
        <x:v>7989217600.000001</x:v>
      </x:c>
      <x:c r="Z579" s="87" t="n">
        <x:f>T579*'01 Base Costs'!$B$8</x:f>
        <x:v>8932405600</x:v>
      </x:c>
      <x:c r="AA579" s="87" t="n">
        <x:f>Z579*'01 Base Costs'!$B$11</x:f>
        <x:v>446620280</x:v>
      </x:c>
      <x:c r="AB579" s="87" t="n">
        <x:f>Z579-AA579</x:f>
        <x:v>8485785320</x:v>
      </x:c>
      <x:c r="AC579" s="87" t="n">
        <x:f>O579+Y579</x:f>
        <x:v>12712637600</x:v>
      </x:c>
      <x:c r="AD579" s="87" t="n">
        <x:f>AB579-AC579</x:f>
        <x:v>-4226852280</x:v>
      </x:c>
      <x:c r="AE579" s="87" t="n">
        <x:f>AD579/D579</x:f>
        <x:v>-4226852280</x:v>
      </x:c>
      <x:c r="AF579" s="87" t="n">
        <x:f>AD579/P579</x:f>
        <x:v>-1408950760</x:v>
      </x:c>
      <x:c r="AG579" s="87" t="n">
        <x:f>IF(T579=0,0,AC579/T579/(1-'01 Base Costs'!$B$11))</x:f>
        <x:v>1127926819.7466018</x:v>
      </x:c>
      <x:c r="AH579" s="88" t="str">
        <x:f>IF(AD579&gt;0,"PROFIT","LOSS")</x:f>
        <x:v>LOSS</x:v>
      </x:c>
      <x:c r="AI579" s="89" t="str">
        <x:v>Capsuleer Day XXIIII event from screenshot. MCT sale 40% off. Base single extractor.</x:v>
      </x:c>
    </x:row>
    <x:row r="580">
      <x:c r="A580" s="86" t="n">
        <x:v>578</x:v>
      </x:c>
      <x:c r="B580" s="88" t="str">
        <x:v>Sale/Event</x:v>
      </x:c>
      <x:c r="C580" s="88" t="str">
        <x:v>Capsuleer Day 1M Omega + 100k SP + skin</x:v>
      </x:c>
      <x:c r="D580" s="88" t="n">
        <x:v>1</x:v>
      </x:c>
      <x:c r="E580" s="88" t="n">
        <x:v>3</x:v>
      </x:c>
      <x:c r="F580" s="88" t="str">
        <x:v>NES MCT 40% sale</x:v>
      </x:c>
      <x:c r="G580" s="88" t="str">
        <x:v>NES 5-pack extractor</x:v>
      </x:c>
      <x:c r="H580" s="87" t="n">
        <x:f>'01 Base Costs'!$B$26</x:f>
        <x:v>400</x:v>
      </x:c>
      <x:c r="I580" s="87" t="n">
        <x:f>'01 Base Costs'!$B$16*0.6</x:f>
        <x:v>291</x:v>
      </x:c>
      <x:c r="J580" s="87" t="n">
        <x:f>0</x:f>
        <x:v>0</x:v>
      </x:c>
      <x:c r="K580" s="87" t="n">
        <x:f>D580*(E580-1)*I580</x:f>
        <x:v>582</x:v>
      </x:c>
      <x:c r="L580" s="87" t="n">
        <x:f>D580*(E580-1)*J580</x:f>
        <x:v>0</x:v>
      </x:c>
      <x:c r="M580" s="87" t="n">
        <x:f>0</x:f>
        <x:v>0</x:v>
      </x:c>
      <x:c r="N580" s="87" t="n">
        <x:f>H580+K580+M580</x:f>
        <x:v>982</x:v>
      </x:c>
      <x:c r="O580" s="87" t="n">
        <x:f>N580*'01 Base Costs'!$B$7+L580</x:f>
        <x:v>4723420000</x:v>
      </x:c>
      <x:c r="P580" s="87" t="n">
        <x:f>D580*E580</x:f>
        <x:v>3</x:v>
      </x:c>
      <x:c r="Q580" s="87" t="n">
        <x:f>P580*'01 Base Costs'!$B$12</x:f>
        <x:v>5832000</x:v>
      </x:c>
      <x:c r="R580" s="87" t="n">
        <x:f>'01 Base Costs'!$B$13</x:f>
        <x:v>100000</x:v>
      </x:c>
      <x:c r="S580" s="87" t="n">
        <x:f>Q580+R580</x:f>
        <x:v>5932000</x:v>
      </x:c>
      <x:c r="T580" s="141" t="n">
        <x:f>S580/'01 Base Costs'!$B$14</x:f>
        <x:v>11.864</x:v>
      </x:c>
      <x:c r="U580" s="87" t="n">
        <x:f>INT(T580)</x:f>
        <x:v>11</x:v>
      </x:c>
      <x:c r="V580" s="87" t="n">
        <x:f>S580-U580*'01 Base Costs'!$B$14</x:f>
        <x:v>432000</x:v>
      </x:c>
      <x:c r="W580" s="120" t="n">
        <x:f>'01 Base Costs'!$B$18/5</x:f>
        <x:v>126</x:v>
      </x:c>
      <x:c r="X580" s="120" t="n">
        <x:f>0</x:f>
        <x:v>0</x:v>
      </x:c>
      <x:c r="Y580" s="87" t="n">
        <x:f>T580*(W580*'01 Base Costs'!$B$7+X580)</x:f>
        <x:v>7190295840</x:v>
      </x:c>
      <x:c r="Z580" s="87" t="n">
        <x:f>T580*'01 Base Costs'!$B$8</x:f>
        <x:v>8932405600</x:v>
      </x:c>
      <x:c r="AA580" s="87" t="n">
        <x:f>Z580*'01 Base Costs'!$B$11</x:f>
        <x:v>446620280</x:v>
      </x:c>
      <x:c r="AB580" s="87" t="n">
        <x:f>Z580-AA580</x:f>
        <x:v>8485785320</x:v>
      </x:c>
      <x:c r="AC580" s="87" t="n">
        <x:f>O580+Y580</x:f>
        <x:v>11913715840</x:v>
      </x:c>
      <x:c r="AD580" s="87" t="n">
        <x:f>AB580-AC580</x:f>
        <x:v>-3427930520</x:v>
      </x:c>
      <x:c r="AE580" s="87" t="n">
        <x:f>AD580/D580</x:f>
        <x:v>-3427930520</x:v>
      </x:c>
      <x:c r="AF580" s="87" t="n">
        <x:f>AD580/P580</x:f>
        <x:v>-1142643506.6666667</x:v>
      </x:c>
      <x:c r="AG580" s="87" t="n">
        <x:f>IF(T580=0,0,AC580/T580/(1-'01 Base Costs'!$B$11))</x:f>
        <x:v>1057042609.2202861</x:v>
      </x:c>
      <x:c r="AH580" s="88" t="str">
        <x:f>IF(AD580&gt;0,"PROFIT","LOSS")</x:f>
        <x:v>LOSS</x:v>
      </x:c>
      <x:c r="AI580" s="89" t="str">
        <x:v>Capsuleer Day XXIIII event from screenshot. MCT sale 40% off. Base 5-pack average.</x:v>
      </x:c>
    </x:row>
    <x:row r="581">
      <x:c r="A581" s="86" t="n">
        <x:v>579</x:v>
      </x:c>
      <x:c r="B581" s="88" t="str">
        <x:v>Sale/Event</x:v>
      </x:c>
      <x:c r="C581" s="88" t="str">
        <x:v>Capsuleer Day 1M Omega + 100k SP + skin</x:v>
      </x:c>
      <x:c r="D581" s="88" t="n">
        <x:v>1</x:v>
      </x:c>
      <x:c r="E581" s="88" t="n">
        <x:v>3</x:v>
      </x:c>
      <x:c r="F581" s="88" t="str">
        <x:v>NES MCT 40% sale</x:v>
      </x:c>
      <x:c r="G581" s="88" t="str">
        <x:v>NES 10-pack extractor</x:v>
      </x:c>
      <x:c r="H581" s="87" t="n">
        <x:f>'01 Base Costs'!$B$26</x:f>
        <x:v>400</x:v>
      </x:c>
      <x:c r="I581" s="87" t="n">
        <x:f>'01 Base Costs'!$B$16*0.6</x:f>
        <x:v>291</x:v>
      </x:c>
      <x:c r="J581" s="87" t="n">
        <x:f>0</x:f>
        <x:v>0</x:v>
      </x:c>
      <x:c r="K581" s="87" t="n">
        <x:f>D581*(E581-1)*I581</x:f>
        <x:v>582</x:v>
      </x:c>
      <x:c r="L581" s="87" t="n">
        <x:f>D581*(E581-1)*J581</x:f>
        <x:v>0</x:v>
      </x:c>
      <x:c r="M581" s="87" t="n">
        <x:f>0</x:f>
        <x:v>0</x:v>
      </x:c>
      <x:c r="N581" s="87" t="n">
        <x:f>H581+K581+M581</x:f>
        <x:v>982</x:v>
      </x:c>
      <x:c r="O581" s="87" t="n">
        <x:f>N581*'01 Base Costs'!$B$7+L581</x:f>
        <x:v>4723420000</x:v>
      </x:c>
      <x:c r="P581" s="87" t="n">
        <x:f>D581*E581</x:f>
        <x:v>3</x:v>
      </x:c>
      <x:c r="Q581" s="87" t="n">
        <x:f>P581*'01 Base Costs'!$B$12</x:f>
        <x:v>5832000</x:v>
      </x:c>
      <x:c r="R581" s="87" t="n">
        <x:f>'01 Base Costs'!$B$13</x:f>
        <x:v>100000</x:v>
      </x:c>
      <x:c r="S581" s="87" t="n">
        <x:f>Q581+R581</x:f>
        <x:v>5932000</x:v>
      </x:c>
      <x:c r="T581" s="141" t="n">
        <x:f>S581/'01 Base Costs'!$B$14</x:f>
        <x:v>11.864</x:v>
      </x:c>
      <x:c r="U581" s="87" t="n">
        <x:f>INT(T581)</x:f>
        <x:v>11</x:v>
      </x:c>
      <x:c r="V581" s="87" t="n">
        <x:f>S581-U581*'01 Base Costs'!$B$14</x:f>
        <x:v>432000</x:v>
      </x:c>
      <x:c r="W581" s="120" t="n">
        <x:f>'01 Base Costs'!$B$19/10</x:f>
        <x:v>119</x:v>
      </x:c>
      <x:c r="X581" s="120" t="n">
        <x:f>0</x:f>
        <x:v>0</x:v>
      </x:c>
      <x:c r="Y581" s="87" t="n">
        <x:f>T581*(W581*'01 Base Costs'!$B$7+X581)</x:f>
        <x:v>6790834960</x:v>
      </x:c>
      <x:c r="Z581" s="87" t="n">
        <x:f>T581*'01 Base Costs'!$B$8</x:f>
        <x:v>8932405600</x:v>
      </x:c>
      <x:c r="AA581" s="87" t="n">
        <x:f>Z581*'01 Base Costs'!$B$11</x:f>
        <x:v>446620280</x:v>
      </x:c>
      <x:c r="AB581" s="87" t="n">
        <x:f>Z581-AA581</x:f>
        <x:v>8485785320</x:v>
      </x:c>
      <x:c r="AC581" s="87" t="n">
        <x:f>O581+Y581</x:f>
        <x:v>11514254960</x:v>
      </x:c>
      <x:c r="AD581" s="87" t="n">
        <x:f>AB581-AC581</x:f>
        <x:v>-3028469640</x:v>
      </x:c>
      <x:c r="AE581" s="87" t="n">
        <x:f>AD581/D581</x:f>
        <x:v>-3028469640</x:v>
      </x:c>
      <x:c r="AF581" s="87" t="n">
        <x:f>AD581/P581</x:f>
        <x:v>-1009489880</x:v>
      </x:c>
      <x:c r="AG581" s="87" t="n">
        <x:f>IF(T581=0,0,AC581/T581/(1-'01 Base Costs'!$B$11))</x:f>
        <x:v>1021600503.9571282</x:v>
      </x:c>
      <x:c r="AH581" s="88" t="str">
        <x:f>IF(AD581&gt;0,"PROFIT","LOSS")</x:f>
        <x:v>LOSS</x:v>
      </x:c>
      <x:c r="AI581" s="89" t="str">
        <x:v>Capsuleer Day XXIIII event from screenshot. MCT sale 40% off. Base 10-pack average.</x:v>
      </x:c>
    </x:row>
    <x:row r="582">
      <x:c r="A582" s="86" t="n">
        <x:v>580</x:v>
      </x:c>
      <x:c r="B582" s="88" t="str">
        <x:v>Sale/Event</x:v>
      </x:c>
      <x:c r="C582" s="88" t="str">
        <x:v>Capsuleer Day 1M Omega + 100k SP + skin</x:v>
      </x:c>
      <x:c r="D582" s="88" t="n">
        <x:v>1</x:v>
      </x:c>
      <x:c r="E582" s="88" t="n">
        <x:v>3</x:v>
      </x:c>
      <x:c r="F582" s="88" t="str">
        <x:v>NES MCT 40% sale</x:v>
      </x:c>
      <x:c r="G582" s="88" t="str">
        <x:v>NES 50-pack extractor</x:v>
      </x:c>
      <x:c r="H582" s="87" t="n">
        <x:f>'01 Base Costs'!$B$26</x:f>
        <x:v>400</x:v>
      </x:c>
      <x:c r="I582" s="87" t="n">
        <x:f>'01 Base Costs'!$B$16*0.6</x:f>
        <x:v>291</x:v>
      </x:c>
      <x:c r="J582" s="87" t="n">
        <x:f>0</x:f>
        <x:v>0</x:v>
      </x:c>
      <x:c r="K582" s="87" t="n">
        <x:f>D582*(E582-1)*I582</x:f>
        <x:v>582</x:v>
      </x:c>
      <x:c r="L582" s="87" t="n">
        <x:f>D582*(E582-1)*J582</x:f>
        <x:v>0</x:v>
      </x:c>
      <x:c r="M582" s="87" t="n">
        <x:f>0</x:f>
        <x:v>0</x:v>
      </x:c>
      <x:c r="N582" s="87" t="n">
        <x:f>H582+K582+M582</x:f>
        <x:v>982</x:v>
      </x:c>
      <x:c r="O582" s="87" t="n">
        <x:f>N582*'01 Base Costs'!$B$7+L582</x:f>
        <x:v>4723420000</x:v>
      </x:c>
      <x:c r="P582" s="87" t="n">
        <x:f>D582*E582</x:f>
        <x:v>3</x:v>
      </x:c>
      <x:c r="Q582" s="87" t="n">
        <x:f>P582*'01 Base Costs'!$B$12</x:f>
        <x:v>5832000</x:v>
      </x:c>
      <x:c r="R582" s="87" t="n">
        <x:f>'01 Base Costs'!$B$13</x:f>
        <x:v>100000</x:v>
      </x:c>
      <x:c r="S582" s="87" t="n">
        <x:f>Q582+R582</x:f>
        <x:v>5932000</x:v>
      </x:c>
      <x:c r="T582" s="141" t="n">
        <x:f>S582/'01 Base Costs'!$B$14</x:f>
        <x:v>11.864</x:v>
      </x:c>
      <x:c r="U582" s="87" t="n">
        <x:f>INT(T582)</x:f>
        <x:v>11</x:v>
      </x:c>
      <x:c r="V582" s="87" t="n">
        <x:f>S582-U582*'01 Base Costs'!$B$14</x:f>
        <x:v>432000</x:v>
      </x:c>
      <x:c r="W582" s="120" t="n">
        <x:f>'01 Base Costs'!$B$20/50</x:f>
        <x:v>112</x:v>
      </x:c>
      <x:c r="X582" s="120" t="n">
        <x:f>0</x:f>
        <x:v>0</x:v>
      </x:c>
      <x:c r="Y582" s="87" t="n">
        <x:f>T582*(W582*'01 Base Costs'!$B$7+X582)</x:f>
        <x:v>6391374080</x:v>
      </x:c>
      <x:c r="Z582" s="87" t="n">
        <x:f>T582*'01 Base Costs'!$B$8</x:f>
        <x:v>8932405600</x:v>
      </x:c>
      <x:c r="AA582" s="87" t="n">
        <x:f>Z582*'01 Base Costs'!$B$11</x:f>
        <x:v>446620280</x:v>
      </x:c>
      <x:c r="AB582" s="87" t="n">
        <x:f>Z582-AA582</x:f>
        <x:v>8485785320</x:v>
      </x:c>
      <x:c r="AC582" s="87" t="n">
        <x:f>O582+Y582</x:f>
        <x:v>11114794080</x:v>
      </x:c>
      <x:c r="AD582" s="87" t="n">
        <x:f>AB582-AC582</x:f>
        <x:v>-2629008760</x:v>
      </x:c>
      <x:c r="AE582" s="87" t="n">
        <x:f>AD582/D582</x:f>
        <x:v>-2629008760</x:v>
      </x:c>
      <x:c r="AF582" s="87" t="n">
        <x:f>AD582/P582</x:f>
        <x:v>-876336253.3333334</x:v>
      </x:c>
      <x:c r="AG582" s="87" t="n">
        <x:f>IF(T582=0,0,AC582/T582/(1-'01 Base Costs'!$B$11))</x:f>
        <x:v>986158398.6939703</x:v>
      </x:c>
      <x:c r="AH582" s="88" t="str">
        <x:f>IF(AD582&gt;0,"PROFIT","LOSS")</x:f>
        <x:v>LOSS</x:v>
      </x:c>
      <x:c r="AI582" s="89" t="str">
        <x:v>Capsuleer Day XXIIII event from screenshot. MCT sale 40% off. Base 50-pack average.</x:v>
      </x:c>
    </x:row>
    <x:row r="583">
      <x:c r="A583" s="86" t="n">
        <x:v>581</x:v>
      </x:c>
      <x:c r="B583" s="88" t="str">
        <x:v>Sale/Event</x:v>
      </x:c>
      <x:c r="C583" s="88" t="str">
        <x:v>Capsuleer Day 1M Omega + 100k SP + skin</x:v>
      </x:c>
      <x:c r="D583" s="88" t="n">
        <x:v>1</x:v>
      </x:c>
      <x:c r="E583" s="88" t="n">
        <x:v>3</x:v>
      </x:c>
      <x:c r="F583" s="88" t="str">
        <x:v>NES MCT 40% sale</x:v>
      </x:c>
      <x:c r="G583" s="88" t="str">
        <x:v>NES 3-for-2 extractor sale</x:v>
      </x:c>
      <x:c r="H583" s="87" t="n">
        <x:f>'01 Base Costs'!$B$26</x:f>
        <x:v>400</x:v>
      </x:c>
      <x:c r="I583" s="87" t="n">
        <x:f>'01 Base Costs'!$B$16*0.6</x:f>
        <x:v>291</x:v>
      </x:c>
      <x:c r="J583" s="87" t="n">
        <x:f>0</x:f>
        <x:v>0</x:v>
      </x:c>
      <x:c r="K583" s="87" t="n">
        <x:f>D583*(E583-1)*I583</x:f>
        <x:v>582</x:v>
      </x:c>
      <x:c r="L583" s="87" t="n">
        <x:f>D583*(E583-1)*J583</x:f>
        <x:v>0</x:v>
      </x:c>
      <x:c r="M583" s="87" t="n">
        <x:f>0</x:f>
        <x:v>0</x:v>
      </x:c>
      <x:c r="N583" s="87" t="n">
        <x:f>H583+K583+M583</x:f>
        <x:v>982</x:v>
      </x:c>
      <x:c r="O583" s="87" t="n">
        <x:f>N583*'01 Base Costs'!$B$7+L583</x:f>
        <x:v>4723420000</x:v>
      </x:c>
      <x:c r="P583" s="87" t="n">
        <x:f>D583*E583</x:f>
        <x:v>3</x:v>
      </x:c>
      <x:c r="Q583" s="87" t="n">
        <x:f>P583*'01 Base Costs'!$B$12</x:f>
        <x:v>5832000</x:v>
      </x:c>
      <x:c r="R583" s="87" t="n">
        <x:f>'01 Base Costs'!$B$13</x:f>
        <x:v>100000</x:v>
      </x:c>
      <x:c r="S583" s="87" t="n">
        <x:f>Q583+R583</x:f>
        <x:v>5932000</x:v>
      </x:c>
      <x:c r="T583" s="141" t="n">
        <x:f>S583/'01 Base Costs'!$B$14</x:f>
        <x:v>11.864</x:v>
      </x:c>
      <x:c r="U583" s="87" t="n">
        <x:f>INT(T583)</x:f>
        <x:v>11</x:v>
      </x:c>
      <x:c r="V583" s="87" t="n">
        <x:f>S583-U583*'01 Base Costs'!$B$14</x:f>
        <x:v>432000</x:v>
      </x:c>
      <x:c r="W583" s="120" t="n">
        <x:f>'01 Base Costs'!$B$17*2/3</x:f>
        <x:v>93.33333333333333</x:v>
      </x:c>
      <x:c r="X583" s="120" t="n">
        <x:f>0</x:f>
        <x:v>0</x:v>
      </x:c>
      <x:c r="Y583" s="87" t="n">
        <x:f>T583*(W583*'01 Base Costs'!$B$7+X583)</x:f>
        <x:v>5326145066.666667</x:v>
      </x:c>
      <x:c r="Z583" s="87" t="n">
        <x:f>T583*'01 Base Costs'!$B$8</x:f>
        <x:v>8932405600</x:v>
      </x:c>
      <x:c r="AA583" s="87" t="n">
        <x:f>Z583*'01 Base Costs'!$B$11</x:f>
        <x:v>446620280</x:v>
      </x:c>
      <x:c r="AB583" s="87" t="n">
        <x:f>Z583-AA583</x:f>
        <x:v>8485785320</x:v>
      </x:c>
      <x:c r="AC583" s="87" t="n">
        <x:f>O583+Y583</x:f>
        <x:v>10049565066.666668</x:v>
      </x:c>
      <x:c r="AD583" s="87" t="n">
        <x:f>AB583-AC583</x:f>
        <x:v>-1563779746.666668</x:v>
      </x:c>
      <x:c r="AE583" s="87" t="n">
        <x:f>AD583/D583</x:f>
        <x:v>-1563779746.666668</x:v>
      </x:c>
      <x:c r="AF583" s="87" t="n">
        <x:f>AD583/P583</x:f>
        <x:v>-521259915.555556</x:v>
      </x:c>
      <x:c r="AG583" s="87" t="n">
        <x:f>IF(T583=0,0,AC583/T583/(1-'01 Base Costs'!$B$11))</x:f>
        <x:v>891646117.992216</x:v>
      </x:c>
      <x:c r="AH583" s="88" t="str">
        <x:f>IF(AD583&gt;0,"PROFIT","LOSS")</x:f>
        <x:v>LOSS</x:v>
      </x:c>
      <x:c r="AI583" s="89" t="str">
        <x:v>Capsuleer Day XXIIII event from screenshot. MCT sale 40% off. Extractor 3-for-2 sale.</x:v>
      </x:c>
    </x:row>
    <x:row r="584">
      <x:c r="A584" s="86" t="n">
        <x:v>582</x:v>
      </x:c>
      <x:c r="B584" s="88" t="str">
        <x:v>Sale/Event</x:v>
      </x:c>
      <x:c r="C584" s="88" t="str">
        <x:v>Capsuleer Day 1M Omega + 100k SP + skin</x:v>
      </x:c>
      <x:c r="D584" s="88" t="n">
        <x:v>1</x:v>
      </x:c>
      <x:c r="E584" s="88" t="n">
        <x:v>3</x:v>
      </x:c>
      <x:c r="F584" s="88" t="str">
        <x:v>NES MCT 40% sale</x:v>
      </x:c>
      <x:c r="G584" s="88" t="str">
        <x:v>NES 2-for-1 extractor sale</x:v>
      </x:c>
      <x:c r="H584" s="87" t="n">
        <x:f>'01 Base Costs'!$B$26</x:f>
        <x:v>400</x:v>
      </x:c>
      <x:c r="I584" s="87" t="n">
        <x:f>'01 Base Costs'!$B$16*0.6</x:f>
        <x:v>291</x:v>
      </x:c>
      <x:c r="J584" s="87" t="n">
        <x:f>0</x:f>
        <x:v>0</x:v>
      </x:c>
      <x:c r="K584" s="87" t="n">
        <x:f>D584*(E584-1)*I584</x:f>
        <x:v>582</x:v>
      </x:c>
      <x:c r="L584" s="87" t="n">
        <x:f>D584*(E584-1)*J584</x:f>
        <x:v>0</x:v>
      </x:c>
      <x:c r="M584" s="87" t="n">
        <x:f>0</x:f>
        <x:v>0</x:v>
      </x:c>
      <x:c r="N584" s="87" t="n">
        <x:f>H584+K584+M584</x:f>
        <x:v>982</x:v>
      </x:c>
      <x:c r="O584" s="87" t="n">
        <x:f>N584*'01 Base Costs'!$B$7+L584</x:f>
        <x:v>4723420000</x:v>
      </x:c>
      <x:c r="P584" s="87" t="n">
        <x:f>D584*E584</x:f>
        <x:v>3</x:v>
      </x:c>
      <x:c r="Q584" s="87" t="n">
        <x:f>P584*'01 Base Costs'!$B$12</x:f>
        <x:v>5832000</x:v>
      </x:c>
      <x:c r="R584" s="87" t="n">
        <x:f>'01 Base Costs'!$B$13</x:f>
        <x:v>100000</x:v>
      </x:c>
      <x:c r="S584" s="87" t="n">
        <x:f>Q584+R584</x:f>
        <x:v>5932000</x:v>
      </x:c>
      <x:c r="T584" s="141" t="n">
        <x:f>S584/'01 Base Costs'!$B$14</x:f>
        <x:v>11.864</x:v>
      </x:c>
      <x:c r="U584" s="87" t="n">
        <x:f>INT(T584)</x:f>
        <x:v>11</x:v>
      </x:c>
      <x:c r="V584" s="87" t="n">
        <x:f>S584-U584*'01 Base Costs'!$B$14</x:f>
        <x:v>432000</x:v>
      </x:c>
      <x:c r="W584" s="120" t="n">
        <x:f>'01 Base Costs'!$B$17/2</x:f>
        <x:v>70</x:v>
      </x:c>
      <x:c r="X584" s="120" t="n">
        <x:f>0</x:f>
        <x:v>0</x:v>
      </x:c>
      <x:c r="Y584" s="87" t="n">
        <x:f>T584*(W584*'01 Base Costs'!$B$7+X584)</x:f>
        <x:v>3994608800.0000005</x:v>
      </x:c>
      <x:c r="Z584" s="87" t="n">
        <x:f>T584*'01 Base Costs'!$B$8</x:f>
        <x:v>8932405600</x:v>
      </x:c>
      <x:c r="AA584" s="87" t="n">
        <x:f>Z584*'01 Base Costs'!$B$11</x:f>
        <x:v>446620280</x:v>
      </x:c>
      <x:c r="AB584" s="87" t="n">
        <x:f>Z584-AA584</x:f>
        <x:v>8485785320</x:v>
      </x:c>
      <x:c r="AC584" s="87" t="n">
        <x:f>O584+Y584</x:f>
        <x:v>8718028800</x:v>
      </x:c>
      <x:c r="AD584" s="87" t="n">
        <x:f>AB584-AC584</x:f>
        <x:v>-232243480</x:v>
      </x:c>
      <x:c r="AE584" s="87" t="n">
        <x:f>AD584/D584</x:f>
        <x:v>-232243480</x:v>
      </x:c>
      <x:c r="AF584" s="87" t="n">
        <x:f>AD584/P584</x:f>
        <x:v>-77414493.33333333</x:v>
      </x:c>
      <x:c r="AG584" s="87" t="n">
        <x:f>IF(T584=0,0,AC584/T584/(1-'01 Base Costs'!$B$11))</x:f>
        <x:v>773505767.1150229</x:v>
      </x:c>
      <x:c r="AH584" s="88" t="str">
        <x:f>IF(AD584&gt;0,"PROFIT","LOSS")</x:f>
        <x:v>LOSS</x:v>
      </x:c>
      <x:c r="AI584" s="89" t="str">
        <x:v>Capsuleer Day XXIIII event from screenshot. MCT sale 40% off. Extractor 2-for-1 sale.</x:v>
      </x:c>
    </x:row>
    <x:row r="585">
      <x:c r="A585" s="86" t="n">
        <x:v>583</x:v>
      </x:c>
      <x:c r="B585" s="88" t="str">
        <x:v>Sale/Event</x:v>
      </x:c>
      <x:c r="C585" s="88" t="str">
        <x:v>Capsuleer Day 1M Omega + 100k SP + skin</x:v>
      </x:c>
      <x:c r="D585" s="88" t="n">
        <x:v>1</x:v>
      </x:c>
      <x:c r="E585" s="88" t="n">
        <x:v>3</x:v>
      </x:c>
      <x:c r="F585" s="88" t="str">
        <x:v>NES MCT 40% sale</x:v>
      </x:c>
      <x:c r="G585" s="88" t="str">
        <x:v>NES 10-pack extractor 20% sale</x:v>
      </x:c>
      <x:c r="H585" s="87" t="n">
        <x:f>'01 Base Costs'!$B$26</x:f>
        <x:v>400</x:v>
      </x:c>
      <x:c r="I585" s="87" t="n">
        <x:f>'01 Base Costs'!$B$16*0.6</x:f>
        <x:v>291</x:v>
      </x:c>
      <x:c r="J585" s="87" t="n">
        <x:f>0</x:f>
        <x:v>0</x:v>
      </x:c>
      <x:c r="K585" s="87" t="n">
        <x:f>D585*(E585-1)*I585</x:f>
        <x:v>582</x:v>
      </x:c>
      <x:c r="L585" s="87" t="n">
        <x:f>D585*(E585-1)*J585</x:f>
        <x:v>0</x:v>
      </x:c>
      <x:c r="M585" s="87" t="n">
        <x:f>0</x:f>
        <x:v>0</x:v>
      </x:c>
      <x:c r="N585" s="87" t="n">
        <x:f>H585+K585+M585</x:f>
        <x:v>982</x:v>
      </x:c>
      <x:c r="O585" s="87" t="n">
        <x:f>N585*'01 Base Costs'!$B$7+L585</x:f>
        <x:v>4723420000</x:v>
      </x:c>
      <x:c r="P585" s="87" t="n">
        <x:f>D585*E585</x:f>
        <x:v>3</x:v>
      </x:c>
      <x:c r="Q585" s="87" t="n">
        <x:f>P585*'01 Base Costs'!$B$12</x:f>
        <x:v>5832000</x:v>
      </x:c>
      <x:c r="R585" s="87" t="n">
        <x:f>'01 Base Costs'!$B$13</x:f>
        <x:v>100000</x:v>
      </x:c>
      <x:c r="S585" s="87" t="n">
        <x:f>Q585+R585</x:f>
        <x:v>5932000</x:v>
      </x:c>
      <x:c r="T585" s="141" t="n">
        <x:f>S585/'01 Base Costs'!$B$14</x:f>
        <x:v>11.864</x:v>
      </x:c>
      <x:c r="U585" s="87" t="n">
        <x:f>INT(T585)</x:f>
        <x:v>11</x:v>
      </x:c>
      <x:c r="V585" s="87" t="n">
        <x:f>S585-U585*'01 Base Costs'!$B$14</x:f>
        <x:v>432000</x:v>
      </x:c>
      <x:c r="W585" s="120" t="n">
        <x:f>'01 Base Costs'!$B$19*0.8/10</x:f>
        <x:v>95.2</x:v>
      </x:c>
      <x:c r="X585" s="120" t="n">
        <x:f>0</x:f>
        <x:v>0</x:v>
      </x:c>
      <x:c r="Y585" s="87" t="n">
        <x:f>T585*(W585*'01 Base Costs'!$B$7+X585)</x:f>
        <x:v>5432667968</x:v>
      </x:c>
      <x:c r="Z585" s="87" t="n">
        <x:f>T585*'01 Base Costs'!$B$8</x:f>
        <x:v>8932405600</x:v>
      </x:c>
      <x:c r="AA585" s="87" t="n">
        <x:f>Z585*'01 Base Costs'!$B$11</x:f>
        <x:v>446620280</x:v>
      </x:c>
      <x:c r="AB585" s="87" t="n">
        <x:f>Z585-AA585</x:f>
        <x:v>8485785320</x:v>
      </x:c>
      <x:c r="AC585" s="87" t="n">
        <x:f>O585+Y585</x:f>
        <x:v>10156087968</x:v>
      </x:c>
      <x:c r="AD585" s="87" t="n">
        <x:f>AB585-AC585</x:f>
        <x:v>-1670302648</x:v>
      </x:c>
      <x:c r="AE585" s="87" t="n">
        <x:f>AD585/D585</x:f>
        <x:v>-1670302648</x:v>
      </x:c>
      <x:c r="AF585" s="87" t="n">
        <x:f>AD585/P585</x:f>
        <x:v>-556767549.3333334</x:v>
      </x:c>
      <x:c r="AG585" s="87" t="n">
        <x:f>IF(T585=0,0,AC585/T585/(1-'01 Base Costs'!$B$11))</x:f>
        <x:v>901097346.0623914</x:v>
      </x:c>
      <x:c r="AH585" s="88" t="str">
        <x:f>IF(AD585&gt;0,"PROFIT","LOSS")</x:f>
        <x:v>LOSS</x:v>
      </x:c>
      <x:c r="AI585" s="89" t="str">
        <x:v>Capsuleer Day XXIIII event from screenshot. MCT sale 40% off. 10-pack at 20% off.</x:v>
      </x:c>
    </x:row>
    <x:row r="586">
      <x:c r="A586" s="86" t="n">
        <x:v>584</x:v>
      </x:c>
      <x:c r="B586" s="88" t="str">
        <x:v>Sale/Event</x:v>
      </x:c>
      <x:c r="C586" s="88" t="str">
        <x:v>Capsuleer Day 1M Omega + 100k SP + skin</x:v>
      </x:c>
      <x:c r="D586" s="88" t="n">
        <x:v>1</x:v>
      </x:c>
      <x:c r="E586" s="88" t="n">
        <x:v>3</x:v>
      </x:c>
      <x:c r="F586" s="88" t="str">
        <x:v>NES MCT 40% sale</x:v>
      </x:c>
      <x:c r="G586" s="88" t="str">
        <x:v>NES 50-pack extractor 20% sale</x:v>
      </x:c>
      <x:c r="H586" s="87" t="n">
        <x:f>'01 Base Costs'!$B$26</x:f>
        <x:v>400</x:v>
      </x:c>
      <x:c r="I586" s="87" t="n">
        <x:f>'01 Base Costs'!$B$16*0.6</x:f>
        <x:v>291</x:v>
      </x:c>
      <x:c r="J586" s="87" t="n">
        <x:f>0</x:f>
        <x:v>0</x:v>
      </x:c>
      <x:c r="K586" s="87" t="n">
        <x:f>D586*(E586-1)*I586</x:f>
        <x:v>582</x:v>
      </x:c>
      <x:c r="L586" s="87" t="n">
        <x:f>D586*(E586-1)*J586</x:f>
        <x:v>0</x:v>
      </x:c>
      <x:c r="M586" s="87" t="n">
        <x:f>0</x:f>
        <x:v>0</x:v>
      </x:c>
      <x:c r="N586" s="87" t="n">
        <x:f>H586+K586+M586</x:f>
        <x:v>982</x:v>
      </x:c>
      <x:c r="O586" s="87" t="n">
        <x:f>N586*'01 Base Costs'!$B$7+L586</x:f>
        <x:v>4723420000</x:v>
      </x:c>
      <x:c r="P586" s="87" t="n">
        <x:f>D586*E586</x:f>
        <x:v>3</x:v>
      </x:c>
      <x:c r="Q586" s="87" t="n">
        <x:f>P586*'01 Base Costs'!$B$12</x:f>
        <x:v>5832000</x:v>
      </x:c>
      <x:c r="R586" s="87" t="n">
        <x:f>'01 Base Costs'!$B$13</x:f>
        <x:v>100000</x:v>
      </x:c>
      <x:c r="S586" s="87" t="n">
        <x:f>Q586+R586</x:f>
        <x:v>5932000</x:v>
      </x:c>
      <x:c r="T586" s="141" t="n">
        <x:f>S586/'01 Base Costs'!$B$14</x:f>
        <x:v>11.864</x:v>
      </x:c>
      <x:c r="U586" s="87" t="n">
        <x:f>INT(T586)</x:f>
        <x:v>11</x:v>
      </x:c>
      <x:c r="V586" s="87" t="n">
        <x:f>S586-U586*'01 Base Costs'!$B$14</x:f>
        <x:v>432000</x:v>
      </x:c>
      <x:c r="W586" s="120" t="n">
        <x:f>'01 Base Costs'!$B$20*0.8/50</x:f>
        <x:v>89.6</x:v>
      </x:c>
      <x:c r="X586" s="120" t="n">
        <x:f>0</x:f>
        <x:v>0</x:v>
      </x:c>
      <x:c r="Y586" s="87" t="n">
        <x:f>T586*(W586*'01 Base Costs'!$B$7+X586)</x:f>
        <x:v>5113099264</x:v>
      </x:c>
      <x:c r="Z586" s="87" t="n">
        <x:f>T586*'01 Base Costs'!$B$8</x:f>
        <x:v>8932405600</x:v>
      </x:c>
      <x:c r="AA586" s="87" t="n">
        <x:f>Z586*'01 Base Costs'!$B$11</x:f>
        <x:v>446620280</x:v>
      </x:c>
      <x:c r="AB586" s="87" t="n">
        <x:f>Z586-AA586</x:f>
        <x:v>8485785320</x:v>
      </x:c>
      <x:c r="AC586" s="87" t="n">
        <x:f>O586+Y586</x:f>
        <x:v>9836519264</x:v>
      </x:c>
      <x:c r="AD586" s="87" t="n">
        <x:f>AB586-AC586</x:f>
        <x:v>-1350733944</x:v>
      </x:c>
      <x:c r="AE586" s="87" t="n">
        <x:f>AD586/D586</x:f>
        <x:v>-1350733944</x:v>
      </x:c>
      <x:c r="AF586" s="87" t="n">
        <x:f>AD586/P586</x:f>
        <x:v>-450244648</x:v>
      </x:c>
      <x:c r="AG586" s="87" t="n">
        <x:f>IF(T586=0,0,AC586/T586/(1-'01 Base Costs'!$B$11))</x:f>
        <x:v>872743661.851865</x:v>
      </x:c>
      <x:c r="AH586" s="88" t="str">
        <x:f>IF(AD586&gt;0,"PROFIT","LOSS")</x:f>
        <x:v>LOSS</x:v>
      </x:c>
      <x:c r="AI586" s="89" t="str">
        <x:v>Capsuleer Day XXIIII event from screenshot. MCT sale 40% off. 50-pack at 20% off.</x:v>
      </x:c>
    </x:row>
    <x:row r="587">
      <x:c r="A587" s="86" t="n">
        <x:v>585</x:v>
      </x:c>
      <x:c r="B587" s="88" t="str">
        <x:v>Sale/Event</x:v>
      </x:c>
      <x:c r="C587" s="88" t="str">
        <x:v>Capsuleer Day 1M Omega + 100k SP + skin</x:v>
      </x:c>
      <x:c r="D587" s="88" t="n">
        <x:v>1</x:v>
      </x:c>
      <x:c r="E587" s="88" t="n">
        <x:v>3</x:v>
      </x:c>
      <x:c r="F587" s="88" t="str">
        <x:v>NES MCT 40% sale</x:v>
      </x:c>
      <x:c r="G587" s="88" t="str">
        <x:v>Market Skill Extractor</x:v>
      </x:c>
      <x:c r="H587" s="87" t="n">
        <x:f>'01 Base Costs'!$B$26</x:f>
        <x:v>400</x:v>
      </x:c>
      <x:c r="I587" s="87" t="n">
        <x:f>'01 Base Costs'!$B$16*0.6</x:f>
        <x:v>291</x:v>
      </x:c>
      <x:c r="J587" s="87" t="n">
        <x:f>0</x:f>
        <x:v>0</x:v>
      </x:c>
      <x:c r="K587" s="87" t="n">
        <x:f>D587*(E587-1)*I587</x:f>
        <x:v>582</x:v>
      </x:c>
      <x:c r="L587" s="87" t="n">
        <x:f>D587*(E587-1)*J587</x:f>
        <x:v>0</x:v>
      </x:c>
      <x:c r="M587" s="87" t="n">
        <x:f>0</x:f>
        <x:v>0</x:v>
      </x:c>
      <x:c r="N587" s="87" t="n">
        <x:f>H587+K587+M587</x:f>
        <x:v>982</x:v>
      </x:c>
      <x:c r="O587" s="87" t="n">
        <x:f>N587*'01 Base Costs'!$B$7+L587</x:f>
        <x:v>4723420000</x:v>
      </x:c>
      <x:c r="P587" s="87" t="n">
        <x:f>D587*E587</x:f>
        <x:v>3</x:v>
      </x:c>
      <x:c r="Q587" s="87" t="n">
        <x:f>P587*'01 Base Costs'!$B$12</x:f>
        <x:v>5832000</x:v>
      </x:c>
      <x:c r="R587" s="87" t="n">
        <x:f>'01 Base Costs'!$B$13</x:f>
        <x:v>100000</x:v>
      </x:c>
      <x:c r="S587" s="87" t="n">
        <x:f>Q587+R587</x:f>
        <x:v>5932000</x:v>
      </x:c>
      <x:c r="T587" s="141" t="n">
        <x:f>S587/'01 Base Costs'!$B$14</x:f>
        <x:v>11.864</x:v>
      </x:c>
      <x:c r="U587" s="87" t="n">
        <x:f>INT(T587)</x:f>
        <x:v>11</x:v>
      </x:c>
      <x:c r="V587" s="87" t="n">
        <x:f>S587-U587*'01 Base Costs'!$B$14</x:f>
        <x:v>432000</x:v>
      </x:c>
      <x:c r="W587" s="120" t="n">
        <x:f>0</x:f>
        <x:v>0</x:v>
      </x:c>
      <x:c r="X587" s="120" t="n">
        <x:f>'01 Base Costs'!$B$9</x:f>
        <x:v>463500000</x:v>
      </x:c>
      <x:c r="Y587" s="87" t="n">
        <x:f>T587*(W587*'01 Base Costs'!$B$7+X587)</x:f>
        <x:v>5498964000</x:v>
      </x:c>
      <x:c r="Z587" s="87" t="n">
        <x:f>T587*'01 Base Costs'!$B$8</x:f>
        <x:v>8932405600</x:v>
      </x:c>
      <x:c r="AA587" s="87" t="n">
        <x:f>Z587*'01 Base Costs'!$B$11</x:f>
        <x:v>446620280</x:v>
      </x:c>
      <x:c r="AB587" s="87" t="n">
        <x:f>Z587-AA587</x:f>
        <x:v>8485785320</x:v>
      </x:c>
      <x:c r="AC587" s="87" t="n">
        <x:f>O587+Y587</x:f>
        <x:v>10222384000</x:v>
      </x:c>
      <x:c r="AD587" s="87" t="n">
        <x:f>AB587-AC587</x:f>
        <x:v>-1736598680</x:v>
      </x:c>
      <x:c r="AE587" s="87" t="n">
        <x:f>AD587/D587</x:f>
        <x:v>-1736598680</x:v>
      </x:c>
      <x:c r="AF587" s="87" t="n">
        <x:f>AD587/P587</x:f>
        <x:v>-578866226.6666666</x:v>
      </x:c>
      <x:c r="AG587" s="87" t="n">
        <x:f>IF(T587=0,0,AC587/T587/(1-'01 Base Costs'!$B$11))</x:f>
        <x:v>906979451.3255492</x:v>
      </x:c>
      <x:c r="AH587" s="88" t="str">
        <x:f>IF(AD587&gt;0,"PROFIT","LOSS")</x:f>
        <x:v>LOSS</x:v>
      </x:c>
      <x:c r="AI587" s="89" t="str">
        <x:v>Capsuleer Day XXIIII event from screenshot. MCT sale 40% off. Extractor bought on market with ISK.</x:v>
      </x:c>
    </x:row>
    <x:row r="588">
      <x:c r="A588" s="86" t="n">
        <x:v>586</x:v>
      </x:c>
      <x:c r="B588" s="88" t="str">
        <x:v>Sale/Event</x:v>
      </x:c>
      <x:c r="C588" s="88" t="str">
        <x:v>Capsuleer Day 1M Omega + 100k SP + skin</x:v>
      </x:c>
      <x:c r="D588" s="88" t="n">
        <x:v>1</x:v>
      </x:c>
      <x:c r="E588" s="88" t="n">
        <x:v>3</x:v>
      </x:c>
      <x:c r="F588" s="88" t="str">
        <x:v>Market MCT certificate</x:v>
      </x:c>
      <x:c r="G588" s="88" t="str">
        <x:v>NES single extractor</x:v>
      </x:c>
      <x:c r="H588" s="87" t="n">
        <x:f>'01 Base Costs'!$B$26</x:f>
        <x:v>400</x:v>
      </x:c>
      <x:c r="I588" s="87" t="n">
        <x:f>0</x:f>
        <x:v>0</x:v>
      </x:c>
      <x:c r="J588" s="87" t="n">
        <x:f>'01 Base Costs'!$B$10</x:f>
        <x:v>2332850000</x:v>
      </x:c>
      <x:c r="K588" s="87" t="n">
        <x:f>D588*(E588-1)*I588</x:f>
        <x:v>0</x:v>
      </x:c>
      <x:c r="L588" s="87" t="n">
        <x:f>D588*(E588-1)*J588</x:f>
        <x:v>4665700000</x:v>
      </x:c>
      <x:c r="M588" s="87" t="n">
        <x:f>0</x:f>
        <x:v>0</x:v>
      </x:c>
      <x:c r="N588" s="87" t="n">
        <x:f>H588+K588+M588</x:f>
        <x:v>400</x:v>
      </x:c>
      <x:c r="O588" s="87" t="n">
        <x:f>N588*'01 Base Costs'!$B$7+L588</x:f>
        <x:v>6589700000</x:v>
      </x:c>
      <x:c r="P588" s="87" t="n">
        <x:f>D588*E588</x:f>
        <x:v>3</x:v>
      </x:c>
      <x:c r="Q588" s="87" t="n">
        <x:f>P588*'01 Base Costs'!$B$12</x:f>
        <x:v>5832000</x:v>
      </x:c>
      <x:c r="R588" s="87" t="n">
        <x:f>'01 Base Costs'!$B$13</x:f>
        <x:v>100000</x:v>
      </x:c>
      <x:c r="S588" s="87" t="n">
        <x:f>Q588+R588</x:f>
        <x:v>5932000</x:v>
      </x:c>
      <x:c r="T588" s="141" t="n">
        <x:f>S588/'01 Base Costs'!$B$14</x:f>
        <x:v>11.864</x:v>
      </x:c>
      <x:c r="U588" s="87" t="n">
        <x:f>INT(T588)</x:f>
        <x:v>11</x:v>
      </x:c>
      <x:c r="V588" s="87" t="n">
        <x:f>S588-U588*'01 Base Costs'!$B$14</x:f>
        <x:v>432000</x:v>
      </x:c>
      <x:c r="W588" s="120" t="n">
        <x:f>'01 Base Costs'!$B$17</x:f>
        <x:v>140</x:v>
      </x:c>
      <x:c r="X588" s="120" t="n">
        <x:f>0</x:f>
        <x:v>0</x:v>
      </x:c>
      <x:c r="Y588" s="87" t="n">
        <x:f>T588*(W588*'01 Base Costs'!$B$7+X588)</x:f>
        <x:v>7989217600.000001</x:v>
      </x:c>
      <x:c r="Z588" s="87" t="n">
        <x:f>T588*'01 Base Costs'!$B$8</x:f>
        <x:v>8932405600</x:v>
      </x:c>
      <x:c r="AA588" s="87" t="n">
        <x:f>Z588*'01 Base Costs'!$B$11</x:f>
        <x:v>446620280</x:v>
      </x:c>
      <x:c r="AB588" s="87" t="n">
        <x:f>Z588-AA588</x:f>
        <x:v>8485785320</x:v>
      </x:c>
      <x:c r="AC588" s="87" t="n">
        <x:f>O588+Y588</x:f>
        <x:v>14578917600</x:v>
      </x:c>
      <x:c r="AD588" s="87" t="n">
        <x:f>AB588-AC588</x:f>
        <x:v>-6093132280</x:v>
      </x:c>
      <x:c r="AE588" s="87" t="n">
        <x:f>AD588/D588</x:f>
        <x:v>-6093132280</x:v>
      </x:c>
      <x:c r="AF588" s="87" t="n">
        <x:f>AD588/P588</x:f>
        <x:v>-2031044093.3333333</x:v>
      </x:c>
      <x:c r="AG588" s="87" t="n">
        <x:f>IF(T588=0,0,AC588/T588/(1-'01 Base Costs'!$B$11))</x:f>
        <x:v>1293512226.2838485</x:v>
      </x:c>
      <x:c r="AH588" s="88" t="str">
        <x:f>IF(AD588&gt;0,"PROFIT","LOSS")</x:f>
        <x:v>LOSS</x:v>
      </x:c>
      <x:c r="AI588" s="89" t="str">
        <x:v>Capsuleer Day XXIIII event from screenshot. MCT certificate bought with ISK market price. Base single extractor.</x:v>
      </x:c>
    </x:row>
    <x:row r="589">
      <x:c r="A589" s="86" t="n">
        <x:v>587</x:v>
      </x:c>
      <x:c r="B589" s="88" t="str">
        <x:v>Sale/Event</x:v>
      </x:c>
      <x:c r="C589" s="88" t="str">
        <x:v>Capsuleer Day 1M Omega + 100k SP + skin</x:v>
      </x:c>
      <x:c r="D589" s="88" t="n">
        <x:v>1</x:v>
      </x:c>
      <x:c r="E589" s="88" t="n">
        <x:v>3</x:v>
      </x:c>
      <x:c r="F589" s="88" t="str">
        <x:v>Market MCT certificate</x:v>
      </x:c>
      <x:c r="G589" s="88" t="str">
        <x:v>NES 5-pack extractor</x:v>
      </x:c>
      <x:c r="H589" s="87" t="n">
        <x:f>'01 Base Costs'!$B$26</x:f>
        <x:v>400</x:v>
      </x:c>
      <x:c r="I589" s="87" t="n">
        <x:f>0</x:f>
        <x:v>0</x:v>
      </x:c>
      <x:c r="J589" s="87" t="n">
        <x:f>'01 Base Costs'!$B$10</x:f>
        <x:v>2332850000</x:v>
      </x:c>
      <x:c r="K589" s="87" t="n">
        <x:f>D589*(E589-1)*I589</x:f>
        <x:v>0</x:v>
      </x:c>
      <x:c r="L589" s="87" t="n">
        <x:f>D589*(E589-1)*J589</x:f>
        <x:v>4665700000</x:v>
      </x:c>
      <x:c r="M589" s="87" t="n">
        <x:f>0</x:f>
        <x:v>0</x:v>
      </x:c>
      <x:c r="N589" s="87" t="n">
        <x:f>H589+K589+M589</x:f>
        <x:v>400</x:v>
      </x:c>
      <x:c r="O589" s="87" t="n">
        <x:f>N589*'01 Base Costs'!$B$7+L589</x:f>
        <x:v>6589700000</x:v>
      </x:c>
      <x:c r="P589" s="87" t="n">
        <x:f>D589*E589</x:f>
        <x:v>3</x:v>
      </x:c>
      <x:c r="Q589" s="87" t="n">
        <x:f>P589*'01 Base Costs'!$B$12</x:f>
        <x:v>5832000</x:v>
      </x:c>
      <x:c r="R589" s="87" t="n">
        <x:f>'01 Base Costs'!$B$13</x:f>
        <x:v>100000</x:v>
      </x:c>
      <x:c r="S589" s="87" t="n">
        <x:f>Q589+R589</x:f>
        <x:v>5932000</x:v>
      </x:c>
      <x:c r="T589" s="141" t="n">
        <x:f>S589/'01 Base Costs'!$B$14</x:f>
        <x:v>11.864</x:v>
      </x:c>
      <x:c r="U589" s="87" t="n">
        <x:f>INT(T589)</x:f>
        <x:v>11</x:v>
      </x:c>
      <x:c r="V589" s="87" t="n">
        <x:f>S589-U589*'01 Base Costs'!$B$14</x:f>
        <x:v>432000</x:v>
      </x:c>
      <x:c r="W589" s="120" t="n">
        <x:f>'01 Base Costs'!$B$18/5</x:f>
        <x:v>126</x:v>
      </x:c>
      <x:c r="X589" s="120" t="n">
        <x:f>0</x:f>
        <x:v>0</x:v>
      </x:c>
      <x:c r="Y589" s="87" t="n">
        <x:f>T589*(W589*'01 Base Costs'!$B$7+X589)</x:f>
        <x:v>7190295840</x:v>
      </x:c>
      <x:c r="Z589" s="87" t="n">
        <x:f>T589*'01 Base Costs'!$B$8</x:f>
        <x:v>8932405600</x:v>
      </x:c>
      <x:c r="AA589" s="87" t="n">
        <x:f>Z589*'01 Base Costs'!$B$11</x:f>
        <x:v>446620280</x:v>
      </x:c>
      <x:c r="AB589" s="87" t="n">
        <x:f>Z589-AA589</x:f>
        <x:v>8485785320</x:v>
      </x:c>
      <x:c r="AC589" s="87" t="n">
        <x:f>O589+Y589</x:f>
        <x:v>13779995840</x:v>
      </x:c>
      <x:c r="AD589" s="87" t="n">
        <x:f>AB589-AC589</x:f>
        <x:v>-5294210520</x:v>
      </x:c>
      <x:c r="AE589" s="87" t="n">
        <x:f>AD589/D589</x:f>
        <x:v>-5294210520</x:v>
      </x:c>
      <x:c r="AF589" s="87" t="n">
        <x:f>AD589/P589</x:f>
        <x:v>-1764736840</x:v>
      </x:c>
      <x:c r="AG589" s="87" t="n">
        <x:f>IF(T589=0,0,AC589/T589/(1-'01 Base Costs'!$B$11))</x:f>
        <x:v>1222628015.7575326</x:v>
      </x:c>
      <x:c r="AH589" s="88" t="str">
        <x:f>IF(AD589&gt;0,"PROFIT","LOSS")</x:f>
        <x:v>LOSS</x:v>
      </x:c>
      <x:c r="AI589" s="89" t="str">
        <x:v>Capsuleer Day XXIIII event from screenshot. MCT certificate bought with ISK market price. Base 5-pack average.</x:v>
      </x:c>
    </x:row>
    <x:row r="590">
      <x:c r="A590" s="86" t="n">
        <x:v>588</x:v>
      </x:c>
      <x:c r="B590" s="88" t="str">
        <x:v>Sale/Event</x:v>
      </x:c>
      <x:c r="C590" s="88" t="str">
        <x:v>Capsuleer Day 1M Omega + 100k SP + skin</x:v>
      </x:c>
      <x:c r="D590" s="88" t="n">
        <x:v>1</x:v>
      </x:c>
      <x:c r="E590" s="88" t="n">
        <x:v>3</x:v>
      </x:c>
      <x:c r="F590" s="88" t="str">
        <x:v>Market MCT certificate</x:v>
      </x:c>
      <x:c r="G590" s="88" t="str">
        <x:v>NES 10-pack extractor</x:v>
      </x:c>
      <x:c r="H590" s="87" t="n">
        <x:f>'01 Base Costs'!$B$26</x:f>
        <x:v>400</x:v>
      </x:c>
      <x:c r="I590" s="87" t="n">
        <x:f>0</x:f>
        <x:v>0</x:v>
      </x:c>
      <x:c r="J590" s="87" t="n">
        <x:f>'01 Base Costs'!$B$10</x:f>
        <x:v>2332850000</x:v>
      </x:c>
      <x:c r="K590" s="87" t="n">
        <x:f>D590*(E590-1)*I590</x:f>
        <x:v>0</x:v>
      </x:c>
      <x:c r="L590" s="87" t="n">
        <x:f>D590*(E590-1)*J590</x:f>
        <x:v>4665700000</x:v>
      </x:c>
      <x:c r="M590" s="87" t="n">
        <x:f>0</x:f>
        <x:v>0</x:v>
      </x:c>
      <x:c r="N590" s="87" t="n">
        <x:f>H590+K590+M590</x:f>
        <x:v>400</x:v>
      </x:c>
      <x:c r="O590" s="87" t="n">
        <x:f>N590*'01 Base Costs'!$B$7+L590</x:f>
        <x:v>6589700000</x:v>
      </x:c>
      <x:c r="P590" s="87" t="n">
        <x:f>D590*E590</x:f>
        <x:v>3</x:v>
      </x:c>
      <x:c r="Q590" s="87" t="n">
        <x:f>P590*'01 Base Costs'!$B$12</x:f>
        <x:v>5832000</x:v>
      </x:c>
      <x:c r="R590" s="87" t="n">
        <x:f>'01 Base Costs'!$B$13</x:f>
        <x:v>100000</x:v>
      </x:c>
      <x:c r="S590" s="87" t="n">
        <x:f>Q590+R590</x:f>
        <x:v>5932000</x:v>
      </x:c>
      <x:c r="T590" s="141" t="n">
        <x:f>S590/'01 Base Costs'!$B$14</x:f>
        <x:v>11.864</x:v>
      </x:c>
      <x:c r="U590" s="87" t="n">
        <x:f>INT(T590)</x:f>
        <x:v>11</x:v>
      </x:c>
      <x:c r="V590" s="87" t="n">
        <x:f>S590-U590*'01 Base Costs'!$B$14</x:f>
        <x:v>432000</x:v>
      </x:c>
      <x:c r="W590" s="120" t="n">
        <x:f>'01 Base Costs'!$B$19/10</x:f>
        <x:v>119</x:v>
      </x:c>
      <x:c r="X590" s="120" t="n">
        <x:f>0</x:f>
        <x:v>0</x:v>
      </x:c>
      <x:c r="Y590" s="87" t="n">
        <x:f>T590*(W590*'01 Base Costs'!$B$7+X590)</x:f>
        <x:v>6790834960</x:v>
      </x:c>
      <x:c r="Z590" s="87" t="n">
        <x:f>T590*'01 Base Costs'!$B$8</x:f>
        <x:v>8932405600</x:v>
      </x:c>
      <x:c r="AA590" s="87" t="n">
        <x:f>Z590*'01 Base Costs'!$B$11</x:f>
        <x:v>446620280</x:v>
      </x:c>
      <x:c r="AB590" s="87" t="n">
        <x:f>Z590-AA590</x:f>
        <x:v>8485785320</x:v>
      </x:c>
      <x:c r="AC590" s="87" t="n">
        <x:f>O590+Y590</x:f>
        <x:v>13380534960</x:v>
      </x:c>
      <x:c r="AD590" s="87" t="n">
        <x:f>AB590-AC590</x:f>
        <x:v>-4894749640</x:v>
      </x:c>
      <x:c r="AE590" s="87" t="n">
        <x:f>AD590/D590</x:f>
        <x:v>-4894749640</x:v>
      </x:c>
      <x:c r="AF590" s="87" t="n">
        <x:f>AD590/P590</x:f>
        <x:v>-1631583213.3333333</x:v>
      </x:c>
      <x:c r="AG590" s="87" t="n">
        <x:f>IF(T590=0,0,AC590/T590/(1-'01 Base Costs'!$B$11))</x:f>
        <x:v>1187185910.4943748</x:v>
      </x:c>
      <x:c r="AH590" s="88" t="str">
        <x:f>IF(AD590&gt;0,"PROFIT","LOSS")</x:f>
        <x:v>LOSS</x:v>
      </x:c>
      <x:c r="AI590" s="89" t="str">
        <x:v>Capsuleer Day XXIIII event from screenshot. MCT certificate bought with ISK market price. Base 10-pack average.</x:v>
      </x:c>
    </x:row>
    <x:row r="591">
      <x:c r="A591" s="86" t="n">
        <x:v>589</x:v>
      </x:c>
      <x:c r="B591" s="88" t="str">
        <x:v>Sale/Event</x:v>
      </x:c>
      <x:c r="C591" s="88" t="str">
        <x:v>Capsuleer Day 1M Omega + 100k SP + skin</x:v>
      </x:c>
      <x:c r="D591" s="88" t="n">
        <x:v>1</x:v>
      </x:c>
      <x:c r="E591" s="88" t="n">
        <x:v>3</x:v>
      </x:c>
      <x:c r="F591" s="88" t="str">
        <x:v>Market MCT certificate</x:v>
      </x:c>
      <x:c r="G591" s="88" t="str">
        <x:v>NES 50-pack extractor</x:v>
      </x:c>
      <x:c r="H591" s="87" t="n">
        <x:f>'01 Base Costs'!$B$26</x:f>
        <x:v>400</x:v>
      </x:c>
      <x:c r="I591" s="87" t="n">
        <x:f>0</x:f>
        <x:v>0</x:v>
      </x:c>
      <x:c r="J591" s="87" t="n">
        <x:f>'01 Base Costs'!$B$10</x:f>
        <x:v>2332850000</x:v>
      </x:c>
      <x:c r="K591" s="87" t="n">
        <x:f>D591*(E591-1)*I591</x:f>
        <x:v>0</x:v>
      </x:c>
      <x:c r="L591" s="87" t="n">
        <x:f>D591*(E591-1)*J591</x:f>
        <x:v>4665700000</x:v>
      </x:c>
      <x:c r="M591" s="87" t="n">
        <x:f>0</x:f>
        <x:v>0</x:v>
      </x:c>
      <x:c r="N591" s="87" t="n">
        <x:f>H591+K591+M591</x:f>
        <x:v>400</x:v>
      </x:c>
      <x:c r="O591" s="87" t="n">
        <x:f>N591*'01 Base Costs'!$B$7+L591</x:f>
        <x:v>6589700000</x:v>
      </x:c>
      <x:c r="P591" s="87" t="n">
        <x:f>D591*E591</x:f>
        <x:v>3</x:v>
      </x:c>
      <x:c r="Q591" s="87" t="n">
        <x:f>P591*'01 Base Costs'!$B$12</x:f>
        <x:v>5832000</x:v>
      </x:c>
      <x:c r="R591" s="87" t="n">
        <x:f>'01 Base Costs'!$B$13</x:f>
        <x:v>100000</x:v>
      </x:c>
      <x:c r="S591" s="87" t="n">
        <x:f>Q591+R591</x:f>
        <x:v>5932000</x:v>
      </x:c>
      <x:c r="T591" s="141" t="n">
        <x:f>S591/'01 Base Costs'!$B$14</x:f>
        <x:v>11.864</x:v>
      </x:c>
      <x:c r="U591" s="87" t="n">
        <x:f>INT(T591)</x:f>
        <x:v>11</x:v>
      </x:c>
      <x:c r="V591" s="87" t="n">
        <x:f>S591-U591*'01 Base Costs'!$B$14</x:f>
        <x:v>432000</x:v>
      </x:c>
      <x:c r="W591" s="120" t="n">
        <x:f>'01 Base Costs'!$B$20/50</x:f>
        <x:v>112</x:v>
      </x:c>
      <x:c r="X591" s="120" t="n">
        <x:f>0</x:f>
        <x:v>0</x:v>
      </x:c>
      <x:c r="Y591" s="87" t="n">
        <x:f>T591*(W591*'01 Base Costs'!$B$7+X591)</x:f>
        <x:v>6391374080</x:v>
      </x:c>
      <x:c r="Z591" s="87" t="n">
        <x:f>T591*'01 Base Costs'!$B$8</x:f>
        <x:v>8932405600</x:v>
      </x:c>
      <x:c r="AA591" s="87" t="n">
        <x:f>Z591*'01 Base Costs'!$B$11</x:f>
        <x:v>446620280</x:v>
      </x:c>
      <x:c r="AB591" s="87" t="n">
        <x:f>Z591-AA591</x:f>
        <x:v>8485785320</x:v>
      </x:c>
      <x:c r="AC591" s="87" t="n">
        <x:f>O591+Y591</x:f>
        <x:v>12981074080</x:v>
      </x:c>
      <x:c r="AD591" s="87" t="n">
        <x:f>AB591-AC591</x:f>
        <x:v>-4495288760</x:v>
      </x:c>
      <x:c r="AE591" s="87" t="n">
        <x:f>AD591/D591</x:f>
        <x:v>-4495288760</x:v>
      </x:c>
      <x:c r="AF591" s="87" t="n">
        <x:f>AD591/P591</x:f>
        <x:v>-1498429586.6666667</x:v>
      </x:c>
      <x:c r="AG591" s="87" t="n">
        <x:f>IF(T591=0,0,AC591/T591/(1-'01 Base Costs'!$B$11))</x:f>
        <x:v>1151743805.231217</x:v>
      </x:c>
      <x:c r="AH591" s="88" t="str">
        <x:f>IF(AD591&gt;0,"PROFIT","LOSS")</x:f>
        <x:v>LOSS</x:v>
      </x:c>
      <x:c r="AI591" s="89" t="str">
        <x:v>Capsuleer Day XXIIII event from screenshot. MCT certificate bought with ISK market price. Base 50-pack average.</x:v>
      </x:c>
    </x:row>
    <x:row r="592">
      <x:c r="A592" s="86" t="n">
        <x:v>590</x:v>
      </x:c>
      <x:c r="B592" s="88" t="str">
        <x:v>Sale/Event</x:v>
      </x:c>
      <x:c r="C592" s="88" t="str">
        <x:v>Capsuleer Day 1M Omega + 100k SP + skin</x:v>
      </x:c>
      <x:c r="D592" s="88" t="n">
        <x:v>1</x:v>
      </x:c>
      <x:c r="E592" s="88" t="n">
        <x:v>3</x:v>
      </x:c>
      <x:c r="F592" s="88" t="str">
        <x:v>Market MCT certificate</x:v>
      </x:c>
      <x:c r="G592" s="88" t="str">
        <x:v>NES 3-for-2 extractor sale</x:v>
      </x:c>
      <x:c r="H592" s="87" t="n">
        <x:f>'01 Base Costs'!$B$26</x:f>
        <x:v>400</x:v>
      </x:c>
      <x:c r="I592" s="87" t="n">
        <x:f>0</x:f>
        <x:v>0</x:v>
      </x:c>
      <x:c r="J592" s="87" t="n">
        <x:f>'01 Base Costs'!$B$10</x:f>
        <x:v>2332850000</x:v>
      </x:c>
      <x:c r="K592" s="87" t="n">
        <x:f>D592*(E592-1)*I592</x:f>
        <x:v>0</x:v>
      </x:c>
      <x:c r="L592" s="87" t="n">
        <x:f>D592*(E592-1)*J592</x:f>
        <x:v>4665700000</x:v>
      </x:c>
      <x:c r="M592" s="87" t="n">
        <x:f>0</x:f>
        <x:v>0</x:v>
      </x:c>
      <x:c r="N592" s="87" t="n">
        <x:f>H592+K592+M592</x:f>
        <x:v>400</x:v>
      </x:c>
      <x:c r="O592" s="87" t="n">
        <x:f>N592*'01 Base Costs'!$B$7+L592</x:f>
        <x:v>6589700000</x:v>
      </x:c>
      <x:c r="P592" s="87" t="n">
        <x:f>D592*E592</x:f>
        <x:v>3</x:v>
      </x:c>
      <x:c r="Q592" s="87" t="n">
        <x:f>P592*'01 Base Costs'!$B$12</x:f>
        <x:v>5832000</x:v>
      </x:c>
      <x:c r="R592" s="87" t="n">
        <x:f>'01 Base Costs'!$B$13</x:f>
        <x:v>100000</x:v>
      </x:c>
      <x:c r="S592" s="87" t="n">
        <x:f>Q592+R592</x:f>
        <x:v>5932000</x:v>
      </x:c>
      <x:c r="T592" s="141" t="n">
        <x:f>S592/'01 Base Costs'!$B$14</x:f>
        <x:v>11.864</x:v>
      </x:c>
      <x:c r="U592" s="87" t="n">
        <x:f>INT(T592)</x:f>
        <x:v>11</x:v>
      </x:c>
      <x:c r="V592" s="87" t="n">
        <x:f>S592-U592*'01 Base Costs'!$B$14</x:f>
        <x:v>432000</x:v>
      </x:c>
      <x:c r="W592" s="120" t="n">
        <x:f>'01 Base Costs'!$B$17*2/3</x:f>
        <x:v>93.33333333333333</x:v>
      </x:c>
      <x:c r="X592" s="120" t="n">
        <x:f>0</x:f>
        <x:v>0</x:v>
      </x:c>
      <x:c r="Y592" s="87" t="n">
        <x:f>T592*(W592*'01 Base Costs'!$B$7+X592)</x:f>
        <x:v>5326145066.666667</x:v>
      </x:c>
      <x:c r="Z592" s="87" t="n">
        <x:f>T592*'01 Base Costs'!$B$8</x:f>
        <x:v>8932405600</x:v>
      </x:c>
      <x:c r="AA592" s="87" t="n">
        <x:f>Z592*'01 Base Costs'!$B$11</x:f>
        <x:v>446620280</x:v>
      </x:c>
      <x:c r="AB592" s="87" t="n">
        <x:f>Z592-AA592</x:f>
        <x:v>8485785320</x:v>
      </x:c>
      <x:c r="AC592" s="87" t="n">
        <x:f>O592+Y592</x:f>
        <x:v>11915845066.666668</x:v>
      </x:c>
      <x:c r="AD592" s="87" t="n">
        <x:f>AB592-AC592</x:f>
        <x:v>-3430059746.666668</x:v>
      </x:c>
      <x:c r="AE592" s="87" t="n">
        <x:f>AD592/D592</x:f>
        <x:v>-3430059746.666668</x:v>
      </x:c>
      <x:c r="AF592" s="87" t="n">
        <x:f>AD592/P592</x:f>
        <x:v>-1143353248.8888893</x:v>
      </x:c>
      <x:c r="AG592" s="87" t="n">
        <x:f>IF(T592=0,0,AC592/T592/(1-'01 Base Costs'!$B$11))</x:f>
        <x:v>1057231524.5294627</x:v>
      </x:c>
      <x:c r="AH592" s="88" t="str">
        <x:f>IF(AD592&gt;0,"PROFIT","LOSS")</x:f>
        <x:v>LOSS</x:v>
      </x:c>
      <x:c r="AI592" s="89" t="str">
        <x:v>Capsuleer Day XXIIII event from screenshot. MCT certificate bought with ISK market price. Extractor 3-for-2 sale.</x:v>
      </x:c>
    </x:row>
    <x:row r="593">
      <x:c r="A593" s="86" t="n">
        <x:v>591</x:v>
      </x:c>
      <x:c r="B593" s="88" t="str">
        <x:v>Sale/Event</x:v>
      </x:c>
      <x:c r="C593" s="88" t="str">
        <x:v>Capsuleer Day 1M Omega + 100k SP + skin</x:v>
      </x:c>
      <x:c r="D593" s="88" t="n">
        <x:v>1</x:v>
      </x:c>
      <x:c r="E593" s="88" t="n">
        <x:v>3</x:v>
      </x:c>
      <x:c r="F593" s="88" t="str">
        <x:v>Market MCT certificate</x:v>
      </x:c>
      <x:c r="G593" s="88" t="str">
        <x:v>NES 2-for-1 extractor sale</x:v>
      </x:c>
      <x:c r="H593" s="87" t="n">
        <x:f>'01 Base Costs'!$B$26</x:f>
        <x:v>400</x:v>
      </x:c>
      <x:c r="I593" s="87" t="n">
        <x:f>0</x:f>
        <x:v>0</x:v>
      </x:c>
      <x:c r="J593" s="87" t="n">
        <x:f>'01 Base Costs'!$B$10</x:f>
        <x:v>2332850000</x:v>
      </x:c>
      <x:c r="K593" s="87" t="n">
        <x:f>D593*(E593-1)*I593</x:f>
        <x:v>0</x:v>
      </x:c>
      <x:c r="L593" s="87" t="n">
        <x:f>D593*(E593-1)*J593</x:f>
        <x:v>4665700000</x:v>
      </x:c>
      <x:c r="M593" s="87" t="n">
        <x:f>0</x:f>
        <x:v>0</x:v>
      </x:c>
      <x:c r="N593" s="87" t="n">
        <x:f>H593+K593+M593</x:f>
        <x:v>400</x:v>
      </x:c>
      <x:c r="O593" s="87" t="n">
        <x:f>N593*'01 Base Costs'!$B$7+L593</x:f>
        <x:v>6589700000</x:v>
      </x:c>
      <x:c r="P593" s="87" t="n">
        <x:f>D593*E593</x:f>
        <x:v>3</x:v>
      </x:c>
      <x:c r="Q593" s="87" t="n">
        <x:f>P593*'01 Base Costs'!$B$12</x:f>
        <x:v>5832000</x:v>
      </x:c>
      <x:c r="R593" s="87" t="n">
        <x:f>'01 Base Costs'!$B$13</x:f>
        <x:v>100000</x:v>
      </x:c>
      <x:c r="S593" s="87" t="n">
        <x:f>Q593+R593</x:f>
        <x:v>5932000</x:v>
      </x:c>
      <x:c r="T593" s="141" t="n">
        <x:f>S593/'01 Base Costs'!$B$14</x:f>
        <x:v>11.864</x:v>
      </x:c>
      <x:c r="U593" s="87" t="n">
        <x:f>INT(T593)</x:f>
        <x:v>11</x:v>
      </x:c>
      <x:c r="V593" s="87" t="n">
        <x:f>S593-U593*'01 Base Costs'!$B$14</x:f>
        <x:v>432000</x:v>
      </x:c>
      <x:c r="W593" s="120" t="n">
        <x:f>'01 Base Costs'!$B$17/2</x:f>
        <x:v>70</x:v>
      </x:c>
      <x:c r="X593" s="120" t="n">
        <x:f>0</x:f>
        <x:v>0</x:v>
      </x:c>
      <x:c r="Y593" s="87" t="n">
        <x:f>T593*(W593*'01 Base Costs'!$B$7+X593)</x:f>
        <x:v>3994608800.0000005</x:v>
      </x:c>
      <x:c r="Z593" s="87" t="n">
        <x:f>T593*'01 Base Costs'!$B$8</x:f>
        <x:v>8932405600</x:v>
      </x:c>
      <x:c r="AA593" s="87" t="n">
        <x:f>Z593*'01 Base Costs'!$B$11</x:f>
        <x:v>446620280</x:v>
      </x:c>
      <x:c r="AB593" s="87" t="n">
        <x:f>Z593-AA593</x:f>
        <x:v>8485785320</x:v>
      </x:c>
      <x:c r="AC593" s="87" t="n">
        <x:f>O593+Y593</x:f>
        <x:v>10584308800</x:v>
      </x:c>
      <x:c r="AD593" s="87" t="n">
        <x:f>AB593-AC593</x:f>
        <x:v>-2098523480</x:v>
      </x:c>
      <x:c r="AE593" s="87" t="n">
        <x:f>AD593/D593</x:f>
        <x:v>-2098523480</x:v>
      </x:c>
      <x:c r="AF593" s="87" t="n">
        <x:f>AD593/P593</x:f>
        <x:v>-699507826.6666666</x:v>
      </x:c>
      <x:c r="AG593" s="87" t="n">
        <x:f>IF(T593=0,0,AC593/T593/(1-'01 Base Costs'!$B$11))</x:f>
        <x:v>939091173.6522695</x:v>
      </x:c>
      <x:c r="AH593" s="88" t="str">
        <x:f>IF(AD593&gt;0,"PROFIT","LOSS")</x:f>
        <x:v>LOSS</x:v>
      </x:c>
      <x:c r="AI593" s="89" t="str">
        <x:v>Capsuleer Day XXIIII event from screenshot. MCT certificate bought with ISK market price. Extractor 2-for-1 sale.</x:v>
      </x:c>
    </x:row>
    <x:row r="594">
      <x:c r="A594" s="86" t="n">
        <x:v>592</x:v>
      </x:c>
      <x:c r="B594" s="88" t="str">
        <x:v>Sale/Event</x:v>
      </x:c>
      <x:c r="C594" s="88" t="str">
        <x:v>Capsuleer Day 1M Omega + 100k SP + skin</x:v>
      </x:c>
      <x:c r="D594" s="88" t="n">
        <x:v>1</x:v>
      </x:c>
      <x:c r="E594" s="88" t="n">
        <x:v>3</x:v>
      </x:c>
      <x:c r="F594" s="88" t="str">
        <x:v>Market MCT certificate</x:v>
      </x:c>
      <x:c r="G594" s="88" t="str">
        <x:v>NES 10-pack extractor 20% sale</x:v>
      </x:c>
      <x:c r="H594" s="87" t="n">
        <x:f>'01 Base Costs'!$B$26</x:f>
        <x:v>400</x:v>
      </x:c>
      <x:c r="I594" s="87" t="n">
        <x:f>0</x:f>
        <x:v>0</x:v>
      </x:c>
      <x:c r="J594" s="87" t="n">
        <x:f>'01 Base Costs'!$B$10</x:f>
        <x:v>2332850000</x:v>
      </x:c>
      <x:c r="K594" s="87" t="n">
        <x:f>D594*(E594-1)*I594</x:f>
        <x:v>0</x:v>
      </x:c>
      <x:c r="L594" s="87" t="n">
        <x:f>D594*(E594-1)*J594</x:f>
        <x:v>4665700000</x:v>
      </x:c>
      <x:c r="M594" s="87" t="n">
        <x:f>0</x:f>
        <x:v>0</x:v>
      </x:c>
      <x:c r="N594" s="87" t="n">
        <x:f>H594+K594+M594</x:f>
        <x:v>400</x:v>
      </x:c>
      <x:c r="O594" s="87" t="n">
        <x:f>N594*'01 Base Costs'!$B$7+L594</x:f>
        <x:v>6589700000</x:v>
      </x:c>
      <x:c r="P594" s="87" t="n">
        <x:f>D594*E594</x:f>
        <x:v>3</x:v>
      </x:c>
      <x:c r="Q594" s="87" t="n">
        <x:f>P594*'01 Base Costs'!$B$12</x:f>
        <x:v>5832000</x:v>
      </x:c>
      <x:c r="R594" s="87" t="n">
        <x:f>'01 Base Costs'!$B$13</x:f>
        <x:v>100000</x:v>
      </x:c>
      <x:c r="S594" s="87" t="n">
        <x:f>Q594+R594</x:f>
        <x:v>5932000</x:v>
      </x:c>
      <x:c r="T594" s="141" t="n">
        <x:f>S594/'01 Base Costs'!$B$14</x:f>
        <x:v>11.864</x:v>
      </x:c>
      <x:c r="U594" s="87" t="n">
        <x:f>INT(T594)</x:f>
        <x:v>11</x:v>
      </x:c>
      <x:c r="V594" s="87" t="n">
        <x:f>S594-U594*'01 Base Costs'!$B$14</x:f>
        <x:v>432000</x:v>
      </x:c>
      <x:c r="W594" s="120" t="n">
        <x:f>'01 Base Costs'!$B$19*0.8/10</x:f>
        <x:v>95.2</x:v>
      </x:c>
      <x:c r="X594" s="120" t="n">
        <x:f>0</x:f>
        <x:v>0</x:v>
      </x:c>
      <x:c r="Y594" s="87" t="n">
        <x:f>T594*(W594*'01 Base Costs'!$B$7+X594)</x:f>
        <x:v>5432667968</x:v>
      </x:c>
      <x:c r="Z594" s="87" t="n">
        <x:f>T594*'01 Base Costs'!$B$8</x:f>
        <x:v>8932405600</x:v>
      </x:c>
      <x:c r="AA594" s="87" t="n">
        <x:f>Z594*'01 Base Costs'!$B$11</x:f>
        <x:v>446620280</x:v>
      </x:c>
      <x:c r="AB594" s="87" t="n">
        <x:f>Z594-AA594</x:f>
        <x:v>8485785320</x:v>
      </x:c>
      <x:c r="AC594" s="87" t="n">
        <x:f>O594+Y594</x:f>
        <x:v>12022367968</x:v>
      </x:c>
      <x:c r="AD594" s="87" t="n">
        <x:f>AB594-AC594</x:f>
        <x:v>-3536582648</x:v>
      </x:c>
      <x:c r="AE594" s="87" t="n">
        <x:f>AD594/D594</x:f>
        <x:v>-3536582648</x:v>
      </x:c>
      <x:c r="AF594" s="87" t="n">
        <x:f>AD594/P594</x:f>
        <x:v>-1178860882.6666667</x:v>
      </x:c>
      <x:c r="AG594" s="87" t="n">
        <x:f>IF(T594=0,0,AC594/T594/(1-'01 Base Costs'!$B$11))</x:f>
        <x:v>1066682752.599638</x:v>
      </x:c>
      <x:c r="AH594" s="88" t="str">
        <x:f>IF(AD594&gt;0,"PROFIT","LOSS")</x:f>
        <x:v>LOSS</x:v>
      </x:c>
      <x:c r="AI594" s="89" t="str">
        <x:v>Capsuleer Day XXIIII event from screenshot. MCT certificate bought with ISK market price. 10-pack at 20% off.</x:v>
      </x:c>
    </x:row>
    <x:row r="595">
      <x:c r="A595" s="86" t="n">
        <x:v>593</x:v>
      </x:c>
      <x:c r="B595" s="88" t="str">
        <x:v>Sale/Event</x:v>
      </x:c>
      <x:c r="C595" s="88" t="str">
        <x:v>Capsuleer Day 1M Omega + 100k SP + skin</x:v>
      </x:c>
      <x:c r="D595" s="88" t="n">
        <x:v>1</x:v>
      </x:c>
      <x:c r="E595" s="88" t="n">
        <x:v>3</x:v>
      </x:c>
      <x:c r="F595" s="88" t="str">
        <x:v>Market MCT certificate</x:v>
      </x:c>
      <x:c r="G595" s="88" t="str">
        <x:v>NES 50-pack extractor 20% sale</x:v>
      </x:c>
      <x:c r="H595" s="87" t="n">
        <x:f>'01 Base Costs'!$B$26</x:f>
        <x:v>400</x:v>
      </x:c>
      <x:c r="I595" s="87" t="n">
        <x:f>0</x:f>
        <x:v>0</x:v>
      </x:c>
      <x:c r="J595" s="87" t="n">
        <x:f>'01 Base Costs'!$B$10</x:f>
        <x:v>2332850000</x:v>
      </x:c>
      <x:c r="K595" s="87" t="n">
        <x:f>D595*(E595-1)*I595</x:f>
        <x:v>0</x:v>
      </x:c>
      <x:c r="L595" s="87" t="n">
        <x:f>D595*(E595-1)*J595</x:f>
        <x:v>4665700000</x:v>
      </x:c>
      <x:c r="M595" s="87" t="n">
        <x:f>0</x:f>
        <x:v>0</x:v>
      </x:c>
      <x:c r="N595" s="87" t="n">
        <x:f>H595+K595+M595</x:f>
        <x:v>400</x:v>
      </x:c>
      <x:c r="O595" s="87" t="n">
        <x:f>N595*'01 Base Costs'!$B$7+L595</x:f>
        <x:v>6589700000</x:v>
      </x:c>
      <x:c r="P595" s="87" t="n">
        <x:f>D595*E595</x:f>
        <x:v>3</x:v>
      </x:c>
      <x:c r="Q595" s="87" t="n">
        <x:f>P595*'01 Base Costs'!$B$12</x:f>
        <x:v>5832000</x:v>
      </x:c>
      <x:c r="R595" s="87" t="n">
        <x:f>'01 Base Costs'!$B$13</x:f>
        <x:v>100000</x:v>
      </x:c>
      <x:c r="S595" s="87" t="n">
        <x:f>Q595+R595</x:f>
        <x:v>5932000</x:v>
      </x:c>
      <x:c r="T595" s="141" t="n">
        <x:f>S595/'01 Base Costs'!$B$14</x:f>
        <x:v>11.864</x:v>
      </x:c>
      <x:c r="U595" s="87" t="n">
        <x:f>INT(T595)</x:f>
        <x:v>11</x:v>
      </x:c>
      <x:c r="V595" s="87" t="n">
        <x:f>S595-U595*'01 Base Costs'!$B$14</x:f>
        <x:v>432000</x:v>
      </x:c>
      <x:c r="W595" s="120" t="n">
        <x:f>'01 Base Costs'!$B$20*0.8/50</x:f>
        <x:v>89.6</x:v>
      </x:c>
      <x:c r="X595" s="120" t="n">
        <x:f>0</x:f>
        <x:v>0</x:v>
      </x:c>
      <x:c r="Y595" s="87" t="n">
        <x:f>T595*(W595*'01 Base Costs'!$B$7+X595)</x:f>
        <x:v>5113099264</x:v>
      </x:c>
      <x:c r="Z595" s="87" t="n">
        <x:f>T595*'01 Base Costs'!$B$8</x:f>
        <x:v>8932405600</x:v>
      </x:c>
      <x:c r="AA595" s="87" t="n">
        <x:f>Z595*'01 Base Costs'!$B$11</x:f>
        <x:v>446620280</x:v>
      </x:c>
      <x:c r="AB595" s="87" t="n">
        <x:f>Z595-AA595</x:f>
        <x:v>8485785320</x:v>
      </x:c>
      <x:c r="AC595" s="87" t="n">
        <x:f>O595+Y595</x:f>
        <x:v>11702799264</x:v>
      </x:c>
      <x:c r="AD595" s="87" t="n">
        <x:f>AB595-AC595</x:f>
        <x:v>-3217013944</x:v>
      </x:c>
      <x:c r="AE595" s="87" t="n">
        <x:f>AD595/D595</x:f>
        <x:v>-3217013944</x:v>
      </x:c>
      <x:c r="AF595" s="87" t="n">
        <x:f>AD595/P595</x:f>
        <x:v>-1072337981.3333334</x:v>
      </x:c>
      <x:c r="AG595" s="87" t="n">
        <x:f>IF(T595=0,0,AC595/T595/(1-'01 Base Costs'!$B$11))</x:f>
        <x:v>1038329068.3891116</x:v>
      </x:c>
      <x:c r="AH595" s="88" t="str">
        <x:f>IF(AD595&gt;0,"PROFIT","LOSS")</x:f>
        <x:v>LOSS</x:v>
      </x:c>
      <x:c r="AI595" s="89" t="str">
        <x:v>Capsuleer Day XXIIII event from screenshot. MCT certificate bought with ISK market price. 50-pack at 20% off.</x:v>
      </x:c>
    </x:row>
    <x:row r="596">
      <x:c r="A596" s="86" t="n">
        <x:v>594</x:v>
      </x:c>
      <x:c r="B596" s="88" t="str">
        <x:v>Sale/Event</x:v>
      </x:c>
      <x:c r="C596" s="88" t="str">
        <x:v>Capsuleer Day 1M Omega + 100k SP + skin</x:v>
      </x:c>
      <x:c r="D596" s="88" t="n">
        <x:v>1</x:v>
      </x:c>
      <x:c r="E596" s="88" t="n">
        <x:v>3</x:v>
      </x:c>
      <x:c r="F596" s="88" t="str">
        <x:v>Market MCT certificate</x:v>
      </x:c>
      <x:c r="G596" s="88" t="str">
        <x:v>Market Skill Extractor</x:v>
      </x:c>
      <x:c r="H596" s="87" t="n">
        <x:f>'01 Base Costs'!$B$26</x:f>
        <x:v>400</x:v>
      </x:c>
      <x:c r="I596" s="87" t="n">
        <x:f>0</x:f>
        <x:v>0</x:v>
      </x:c>
      <x:c r="J596" s="87" t="n">
        <x:f>'01 Base Costs'!$B$10</x:f>
        <x:v>2332850000</x:v>
      </x:c>
      <x:c r="K596" s="87" t="n">
        <x:f>D596*(E596-1)*I596</x:f>
        <x:v>0</x:v>
      </x:c>
      <x:c r="L596" s="87" t="n">
        <x:f>D596*(E596-1)*J596</x:f>
        <x:v>4665700000</x:v>
      </x:c>
      <x:c r="M596" s="87" t="n">
        <x:f>0</x:f>
        <x:v>0</x:v>
      </x:c>
      <x:c r="N596" s="87" t="n">
        <x:f>H596+K596+M596</x:f>
        <x:v>400</x:v>
      </x:c>
      <x:c r="O596" s="87" t="n">
        <x:f>N596*'01 Base Costs'!$B$7+L596</x:f>
        <x:v>6589700000</x:v>
      </x:c>
      <x:c r="P596" s="87" t="n">
        <x:f>D596*E596</x:f>
        <x:v>3</x:v>
      </x:c>
      <x:c r="Q596" s="87" t="n">
        <x:f>P596*'01 Base Costs'!$B$12</x:f>
        <x:v>5832000</x:v>
      </x:c>
      <x:c r="R596" s="87" t="n">
        <x:f>'01 Base Costs'!$B$13</x:f>
        <x:v>100000</x:v>
      </x:c>
      <x:c r="S596" s="87" t="n">
        <x:f>Q596+R596</x:f>
        <x:v>5932000</x:v>
      </x:c>
      <x:c r="T596" s="141" t="n">
        <x:f>S596/'01 Base Costs'!$B$14</x:f>
        <x:v>11.864</x:v>
      </x:c>
      <x:c r="U596" s="87" t="n">
        <x:f>INT(T596)</x:f>
        <x:v>11</x:v>
      </x:c>
      <x:c r="V596" s="87" t="n">
        <x:f>S596-U596*'01 Base Costs'!$B$14</x:f>
        <x:v>432000</x:v>
      </x:c>
      <x:c r="W596" s="120" t="n">
        <x:f>0</x:f>
        <x:v>0</x:v>
      </x:c>
      <x:c r="X596" s="120" t="n">
        <x:f>'01 Base Costs'!$B$9</x:f>
        <x:v>463500000</x:v>
      </x:c>
      <x:c r="Y596" s="87" t="n">
        <x:f>T596*(W596*'01 Base Costs'!$B$7+X596)</x:f>
        <x:v>5498964000</x:v>
      </x:c>
      <x:c r="Z596" s="87" t="n">
        <x:f>T596*'01 Base Costs'!$B$8</x:f>
        <x:v>8932405600</x:v>
      </x:c>
      <x:c r="AA596" s="87" t="n">
        <x:f>Z596*'01 Base Costs'!$B$11</x:f>
        <x:v>446620280</x:v>
      </x:c>
      <x:c r="AB596" s="87" t="n">
        <x:f>Z596-AA596</x:f>
        <x:v>8485785320</x:v>
      </x:c>
      <x:c r="AC596" s="87" t="n">
        <x:f>O596+Y596</x:f>
        <x:v>12088664000</x:v>
      </x:c>
      <x:c r="AD596" s="87" t="n">
        <x:f>AB596-AC596</x:f>
        <x:v>-3602878680</x:v>
      </x:c>
      <x:c r="AE596" s="87" t="n">
        <x:f>AD596/D596</x:f>
        <x:v>-3602878680</x:v>
      </x:c>
      <x:c r="AF596" s="87" t="n">
        <x:f>AD596/P596</x:f>
        <x:v>-1200959560</x:v>
      </x:c>
      <x:c r="AG596" s="87" t="n">
        <x:f>IF(T596=0,0,AC596/T596/(1-'01 Base Costs'!$B$11))</x:f>
        <x:v>1072564857.8627958</x:v>
      </x:c>
      <x:c r="AH596" s="88" t="str">
        <x:f>IF(AD596&gt;0,"PROFIT","LOSS")</x:f>
        <x:v>LOSS</x:v>
      </x:c>
      <x:c r="AI596" s="89" t="str">
        <x:v>Capsuleer Day XXIIII event from screenshot. MCT certificate bought with ISK market price. Extractor bought on market with ISK.</x:v>
      </x:c>
    </x:row>
    <x:row r="597">
      <x:c r="A597" s="86" t="n">
        <x:v>595</x:v>
      </x:c>
      <x:c r="B597" s="88" t="str">
        <x:v>Sale/Event</x:v>
      </x:c>
      <x:c r="C597" s="88" t="str">
        <x:v>Capsuleer Day 3M Omega + 2 skins</x:v>
      </x:c>
      <x:c r="D597" s="88" t="n">
        <x:v>3</x:v>
      </x:c>
      <x:c r="E597" s="88" t="n">
        <x:v>1</x:v>
      </x:c>
      <x:c r="F597" s="88" t="str">
        <x:v>No MCT</x:v>
      </x:c>
      <x:c r="G597" s="88" t="str">
        <x:v>NES single extractor</x:v>
      </x:c>
      <x:c r="H597" s="87" t="n">
        <x:f>'01 Base Costs'!$B$27</x:f>
        <x:v>960</x:v>
      </x:c>
      <x:c r="I597" s="87" t="n">
        <x:f>0</x:f>
        <x:v>0</x:v>
      </x:c>
      <x:c r="J597" s="87" t="n">
        <x:f>0</x:f>
        <x:v>0</x:v>
      </x:c>
      <x:c r="K597" s="87" t="n">
        <x:f>D597*(E597-1)*I597</x:f>
        <x:v>0</x:v>
      </x:c>
      <x:c r="L597" s="87" t="n">
        <x:f>D597*(E597-1)*J597</x:f>
        <x:v>0</x:v>
      </x:c>
      <x:c r="M597" s="87" t="n">
        <x:f>0</x:f>
        <x:v>0</x:v>
      </x:c>
      <x:c r="N597" s="87" t="n">
        <x:f>H597+K597+M597</x:f>
        <x:v>960</x:v>
      </x:c>
      <x:c r="O597" s="87" t="n">
        <x:f>N597*'01 Base Costs'!$B$7+L597</x:f>
        <x:v>4617600000</x:v>
      </x:c>
      <x:c r="P597" s="87" t="n">
        <x:f>D597*E597</x:f>
        <x:v>3</x:v>
      </x:c>
      <x:c r="Q597" s="87" t="n">
        <x:f>P597*'01 Base Costs'!$B$12</x:f>
        <x:v>5832000</x:v>
      </x:c>
      <x:c r="R597" s="87" t="n">
        <x:f>0</x:f>
        <x:v>0</x:v>
      </x:c>
      <x:c r="S597" s="87" t="n">
        <x:f>Q597+R597</x:f>
        <x:v>5832000</x:v>
      </x:c>
      <x:c r="T597" s="141" t="n">
        <x:f>S597/'01 Base Costs'!$B$14</x:f>
        <x:v>11.664</x:v>
      </x:c>
      <x:c r="U597" s="87" t="n">
        <x:f>INT(T597)</x:f>
        <x:v>11</x:v>
      </x:c>
      <x:c r="V597" s="87" t="n">
        <x:f>S597-U597*'01 Base Costs'!$B$14</x:f>
        <x:v>332000</x:v>
      </x:c>
      <x:c r="W597" s="120" t="n">
        <x:f>'01 Base Costs'!$B$17</x:f>
        <x:v>140</x:v>
      </x:c>
      <x:c r="X597" s="120" t="n">
        <x:f>0</x:f>
        <x:v>0</x:v>
      </x:c>
      <x:c r="Y597" s="87" t="n">
        <x:f>T597*(W597*'01 Base Costs'!$B$7+X597)</x:f>
        <x:v>7854537600</x:v>
      </x:c>
      <x:c r="Z597" s="87" t="n">
        <x:f>T597*'01 Base Costs'!$B$8</x:f>
        <x:v>8781825600</x:v>
      </x:c>
      <x:c r="AA597" s="87" t="n">
        <x:f>Z597*'01 Base Costs'!$B$11</x:f>
        <x:v>439091280</x:v>
      </x:c>
      <x:c r="AB597" s="87" t="n">
        <x:f>Z597-AA597</x:f>
        <x:v>8342734320</x:v>
      </x:c>
      <x:c r="AC597" s="87" t="n">
        <x:f>O597+Y597</x:f>
        <x:v>12472137600</x:v>
      </x:c>
      <x:c r="AD597" s="87" t="n">
        <x:f>AB597-AC597</x:f>
        <x:v>-4129403280</x:v>
      </x:c>
      <x:c r="AE597" s="87" t="n">
        <x:f>AD597/D597</x:f>
        <x:v>-1376467760</x:v>
      </x:c>
      <x:c r="AF597" s="87" t="n">
        <x:f>AD597/P597</x:f>
        <x:v>-1376467760</x:v>
      </x:c>
      <x:c r="AG597" s="87" t="n">
        <x:f>IF(T597=0,0,AC597/T597/(1-'01 Base Costs'!$B$11))</x:f>
        <x:v>1125562919.6447911</x:v>
      </x:c>
      <x:c r="AH597" s="88" t="str">
        <x:f>IF(AD597&gt;0,"PROFIT","LOSS")</x:f>
        <x:v>LOSS</x:v>
      </x:c>
      <x:c r="AI597" s="89" t="str">
        <x:v>Capsuleer Day XXIIII event from screenshot. One training queue only. Base single extractor.</x:v>
      </x:c>
    </x:row>
    <x:row r="598">
      <x:c r="A598" s="86" t="n">
        <x:v>596</x:v>
      </x:c>
      <x:c r="B598" s="88" t="str">
        <x:v>Sale/Event</x:v>
      </x:c>
      <x:c r="C598" s="88" t="str">
        <x:v>Capsuleer Day 3M Omega + 2 skins</x:v>
      </x:c>
      <x:c r="D598" s="88" t="n">
        <x:v>3</x:v>
      </x:c>
      <x:c r="E598" s="88" t="n">
        <x:v>1</x:v>
      </x:c>
      <x:c r="F598" s="88" t="str">
        <x:v>No MCT</x:v>
      </x:c>
      <x:c r="G598" s="88" t="str">
        <x:v>NES 5-pack extractor</x:v>
      </x:c>
      <x:c r="H598" s="87" t="n">
        <x:f>'01 Base Costs'!$B$27</x:f>
        <x:v>960</x:v>
      </x:c>
      <x:c r="I598" s="87" t="n">
        <x:f>0</x:f>
        <x:v>0</x:v>
      </x:c>
      <x:c r="J598" s="87" t="n">
        <x:f>0</x:f>
        <x:v>0</x:v>
      </x:c>
      <x:c r="K598" s="87" t="n">
        <x:f>D598*(E598-1)*I598</x:f>
        <x:v>0</x:v>
      </x:c>
      <x:c r="L598" s="87" t="n">
        <x:f>D598*(E598-1)*J598</x:f>
        <x:v>0</x:v>
      </x:c>
      <x:c r="M598" s="87" t="n">
        <x:f>0</x:f>
        <x:v>0</x:v>
      </x:c>
      <x:c r="N598" s="87" t="n">
        <x:f>H598+K598+M598</x:f>
        <x:v>960</x:v>
      </x:c>
      <x:c r="O598" s="87" t="n">
        <x:f>N598*'01 Base Costs'!$B$7+L598</x:f>
        <x:v>4617600000</x:v>
      </x:c>
      <x:c r="P598" s="87" t="n">
        <x:f>D598*E598</x:f>
        <x:v>3</x:v>
      </x:c>
      <x:c r="Q598" s="87" t="n">
        <x:f>P598*'01 Base Costs'!$B$12</x:f>
        <x:v>5832000</x:v>
      </x:c>
      <x:c r="R598" s="87" t="n">
        <x:f>0</x:f>
        <x:v>0</x:v>
      </x:c>
      <x:c r="S598" s="87" t="n">
        <x:f>Q598+R598</x:f>
        <x:v>5832000</x:v>
      </x:c>
      <x:c r="T598" s="141" t="n">
        <x:f>S598/'01 Base Costs'!$B$14</x:f>
        <x:v>11.664</x:v>
      </x:c>
      <x:c r="U598" s="87" t="n">
        <x:f>INT(T598)</x:f>
        <x:v>11</x:v>
      </x:c>
      <x:c r="V598" s="87" t="n">
        <x:f>S598-U598*'01 Base Costs'!$B$14</x:f>
        <x:v>332000</x:v>
      </x:c>
      <x:c r="W598" s="120" t="n">
        <x:f>'01 Base Costs'!$B$18/5</x:f>
        <x:v>126</x:v>
      </x:c>
      <x:c r="X598" s="120" t="n">
        <x:f>0</x:f>
        <x:v>0</x:v>
      </x:c>
      <x:c r="Y598" s="87" t="n">
        <x:f>T598*(W598*'01 Base Costs'!$B$7+X598)</x:f>
        <x:v>7069083840</x:v>
      </x:c>
      <x:c r="Z598" s="87" t="n">
        <x:f>T598*'01 Base Costs'!$B$8</x:f>
        <x:v>8781825600</x:v>
      </x:c>
      <x:c r="AA598" s="87" t="n">
        <x:f>Z598*'01 Base Costs'!$B$11</x:f>
        <x:v>439091280</x:v>
      </x:c>
      <x:c r="AB598" s="87" t="n">
        <x:f>Z598-AA598</x:f>
        <x:v>8342734320</x:v>
      </x:c>
      <x:c r="AC598" s="87" t="n">
        <x:f>O598+Y598</x:f>
        <x:v>11686683840</x:v>
      </x:c>
      <x:c r="AD598" s="87" t="n">
        <x:f>AB598-AC598</x:f>
        <x:v>-3343949520</x:v>
      </x:c>
      <x:c r="AE598" s="87" t="n">
        <x:f>AD598/D598</x:f>
        <x:v>-1114649840</x:v>
      </x:c>
      <x:c r="AF598" s="87" t="n">
        <x:f>AD598/P598</x:f>
        <x:v>-1114649840</x:v>
      </x:c>
      <x:c r="AG598" s="87" t="n">
        <x:f>IF(T598=0,0,AC598/T598/(1-'01 Base Costs'!$B$11))</x:f>
        <x:v>1054678709.1184753</x:v>
      </x:c>
      <x:c r="AH598" s="88" t="str">
        <x:f>IF(AD598&gt;0,"PROFIT","LOSS")</x:f>
        <x:v>LOSS</x:v>
      </x:c>
      <x:c r="AI598" s="89" t="str">
        <x:v>Capsuleer Day XXIIII event from screenshot. One training queue only. Base 5-pack average.</x:v>
      </x:c>
    </x:row>
    <x:row r="599">
      <x:c r="A599" s="86" t="n">
        <x:v>597</x:v>
      </x:c>
      <x:c r="B599" s="88" t="str">
        <x:v>Sale/Event</x:v>
      </x:c>
      <x:c r="C599" s="88" t="str">
        <x:v>Capsuleer Day 3M Omega + 2 skins</x:v>
      </x:c>
      <x:c r="D599" s="88" t="n">
        <x:v>3</x:v>
      </x:c>
      <x:c r="E599" s="88" t="n">
        <x:v>1</x:v>
      </x:c>
      <x:c r="F599" s="88" t="str">
        <x:v>No MCT</x:v>
      </x:c>
      <x:c r="G599" s="88" t="str">
        <x:v>NES 10-pack extractor</x:v>
      </x:c>
      <x:c r="H599" s="87" t="n">
        <x:f>'01 Base Costs'!$B$27</x:f>
        <x:v>960</x:v>
      </x:c>
      <x:c r="I599" s="87" t="n">
        <x:f>0</x:f>
        <x:v>0</x:v>
      </x:c>
      <x:c r="J599" s="87" t="n">
        <x:f>0</x:f>
        <x:v>0</x:v>
      </x:c>
      <x:c r="K599" s="87" t="n">
        <x:f>D599*(E599-1)*I599</x:f>
        <x:v>0</x:v>
      </x:c>
      <x:c r="L599" s="87" t="n">
        <x:f>D599*(E599-1)*J599</x:f>
        <x:v>0</x:v>
      </x:c>
      <x:c r="M599" s="87" t="n">
        <x:f>0</x:f>
        <x:v>0</x:v>
      </x:c>
      <x:c r="N599" s="87" t="n">
        <x:f>H599+K599+M599</x:f>
        <x:v>960</x:v>
      </x:c>
      <x:c r="O599" s="87" t="n">
        <x:f>N599*'01 Base Costs'!$B$7+L599</x:f>
        <x:v>4617600000</x:v>
      </x:c>
      <x:c r="P599" s="87" t="n">
        <x:f>D599*E599</x:f>
        <x:v>3</x:v>
      </x:c>
      <x:c r="Q599" s="87" t="n">
        <x:f>P599*'01 Base Costs'!$B$12</x:f>
        <x:v>5832000</x:v>
      </x:c>
      <x:c r="R599" s="87" t="n">
        <x:f>0</x:f>
        <x:v>0</x:v>
      </x:c>
      <x:c r="S599" s="87" t="n">
        <x:f>Q599+R599</x:f>
        <x:v>5832000</x:v>
      </x:c>
      <x:c r="T599" s="141" t="n">
        <x:f>S599/'01 Base Costs'!$B$14</x:f>
        <x:v>11.664</x:v>
      </x:c>
      <x:c r="U599" s="87" t="n">
        <x:f>INT(T599)</x:f>
        <x:v>11</x:v>
      </x:c>
      <x:c r="V599" s="87" t="n">
        <x:f>S599-U599*'01 Base Costs'!$B$14</x:f>
        <x:v>332000</x:v>
      </x:c>
      <x:c r="W599" s="120" t="n">
        <x:f>'01 Base Costs'!$B$19/10</x:f>
        <x:v>119</x:v>
      </x:c>
      <x:c r="X599" s="120" t="n">
        <x:f>0</x:f>
        <x:v>0</x:v>
      </x:c>
      <x:c r="Y599" s="87" t="n">
        <x:f>T599*(W599*'01 Base Costs'!$B$7+X599)</x:f>
        <x:v>6676356960</x:v>
      </x:c>
      <x:c r="Z599" s="87" t="n">
        <x:f>T599*'01 Base Costs'!$B$8</x:f>
        <x:v>8781825600</x:v>
      </x:c>
      <x:c r="AA599" s="87" t="n">
        <x:f>Z599*'01 Base Costs'!$B$11</x:f>
        <x:v>439091280</x:v>
      </x:c>
      <x:c r="AB599" s="87" t="n">
        <x:f>Z599-AA599</x:f>
        <x:v>8342734320</x:v>
      </x:c>
      <x:c r="AC599" s="87" t="n">
        <x:f>O599+Y599</x:f>
        <x:v>11293956960</x:v>
      </x:c>
      <x:c r="AD599" s="87" t="n">
        <x:f>AB599-AC599</x:f>
        <x:v>-2951222640</x:v>
      </x:c>
      <x:c r="AE599" s="87" t="n">
        <x:f>AD599/D599</x:f>
        <x:v>-983740880</x:v>
      </x:c>
      <x:c r="AF599" s="87" t="n">
        <x:f>AD599/P599</x:f>
        <x:v>-983740880</x:v>
      </x:c>
      <x:c r="AG599" s="87" t="n">
        <x:f>IF(T599=0,0,AC599/T599/(1-'01 Base Costs'!$B$11))</x:f>
        <x:v>1019236603.8553175</x:v>
      </x:c>
      <x:c r="AH599" s="88" t="str">
        <x:f>IF(AD599&gt;0,"PROFIT","LOSS")</x:f>
        <x:v>LOSS</x:v>
      </x:c>
      <x:c r="AI599" s="89" t="str">
        <x:v>Capsuleer Day XXIIII event from screenshot. One training queue only. Base 10-pack average.</x:v>
      </x:c>
    </x:row>
    <x:row r="600">
      <x:c r="A600" s="86" t="n">
        <x:v>598</x:v>
      </x:c>
      <x:c r="B600" s="88" t="str">
        <x:v>Sale/Event</x:v>
      </x:c>
      <x:c r="C600" s="88" t="str">
        <x:v>Capsuleer Day 3M Omega + 2 skins</x:v>
      </x:c>
      <x:c r="D600" s="88" t="n">
        <x:v>3</x:v>
      </x:c>
      <x:c r="E600" s="88" t="n">
        <x:v>1</x:v>
      </x:c>
      <x:c r="F600" s="88" t="str">
        <x:v>No MCT</x:v>
      </x:c>
      <x:c r="G600" s="88" t="str">
        <x:v>NES 50-pack extractor</x:v>
      </x:c>
      <x:c r="H600" s="87" t="n">
        <x:f>'01 Base Costs'!$B$27</x:f>
        <x:v>960</x:v>
      </x:c>
      <x:c r="I600" s="87" t="n">
        <x:f>0</x:f>
        <x:v>0</x:v>
      </x:c>
      <x:c r="J600" s="87" t="n">
        <x:f>0</x:f>
        <x:v>0</x:v>
      </x:c>
      <x:c r="K600" s="87" t="n">
        <x:f>D600*(E600-1)*I600</x:f>
        <x:v>0</x:v>
      </x:c>
      <x:c r="L600" s="87" t="n">
        <x:f>D600*(E600-1)*J600</x:f>
        <x:v>0</x:v>
      </x:c>
      <x:c r="M600" s="87" t="n">
        <x:f>0</x:f>
        <x:v>0</x:v>
      </x:c>
      <x:c r="N600" s="87" t="n">
        <x:f>H600+K600+M600</x:f>
        <x:v>960</x:v>
      </x:c>
      <x:c r="O600" s="87" t="n">
        <x:f>N600*'01 Base Costs'!$B$7+L600</x:f>
        <x:v>4617600000</x:v>
      </x:c>
      <x:c r="P600" s="87" t="n">
        <x:f>D600*E600</x:f>
        <x:v>3</x:v>
      </x:c>
      <x:c r="Q600" s="87" t="n">
        <x:f>P600*'01 Base Costs'!$B$12</x:f>
        <x:v>5832000</x:v>
      </x:c>
      <x:c r="R600" s="87" t="n">
        <x:f>0</x:f>
        <x:v>0</x:v>
      </x:c>
      <x:c r="S600" s="87" t="n">
        <x:f>Q600+R600</x:f>
        <x:v>5832000</x:v>
      </x:c>
      <x:c r="T600" s="141" t="n">
        <x:f>S600/'01 Base Costs'!$B$14</x:f>
        <x:v>11.664</x:v>
      </x:c>
      <x:c r="U600" s="87" t="n">
        <x:f>INT(T600)</x:f>
        <x:v>11</x:v>
      </x:c>
      <x:c r="V600" s="87" t="n">
        <x:f>S600-U600*'01 Base Costs'!$B$14</x:f>
        <x:v>332000</x:v>
      </x:c>
      <x:c r="W600" s="120" t="n">
        <x:f>'01 Base Costs'!$B$20/50</x:f>
        <x:v>112</x:v>
      </x:c>
      <x:c r="X600" s="120" t="n">
        <x:f>0</x:f>
        <x:v>0</x:v>
      </x:c>
      <x:c r="Y600" s="87" t="n">
        <x:f>T600*(W600*'01 Base Costs'!$B$7+X600)</x:f>
        <x:v>6283630080</x:v>
      </x:c>
      <x:c r="Z600" s="87" t="n">
        <x:f>T600*'01 Base Costs'!$B$8</x:f>
        <x:v>8781825600</x:v>
      </x:c>
      <x:c r="AA600" s="87" t="n">
        <x:f>Z600*'01 Base Costs'!$B$11</x:f>
        <x:v>439091280</x:v>
      </x:c>
      <x:c r="AB600" s="87" t="n">
        <x:f>Z600-AA600</x:f>
        <x:v>8342734320</x:v>
      </x:c>
      <x:c r="AC600" s="87" t="n">
        <x:f>O600+Y600</x:f>
        <x:v>10901230080</x:v>
      </x:c>
      <x:c r="AD600" s="87" t="n">
        <x:f>AB600-AC600</x:f>
        <x:v>-2558495760</x:v>
      </x:c>
      <x:c r="AE600" s="87" t="n">
        <x:f>AD600/D600</x:f>
        <x:v>-852831920</x:v>
      </x:c>
      <x:c r="AF600" s="87" t="n">
        <x:f>AD600/P600</x:f>
        <x:v>-852831920</x:v>
      </x:c>
      <x:c r="AG600" s="87" t="n">
        <x:f>IF(T600=0,0,AC600/T600/(1-'01 Base Costs'!$B$11))</x:f>
        <x:v>983794498.5921595</x:v>
      </x:c>
      <x:c r="AH600" s="88" t="str">
        <x:f>IF(AD600&gt;0,"PROFIT","LOSS")</x:f>
        <x:v>LOSS</x:v>
      </x:c>
      <x:c r="AI600" s="89" t="str">
        <x:v>Capsuleer Day XXIIII event from screenshot. One training queue only. Base 50-pack average.</x:v>
      </x:c>
    </x:row>
    <x:row r="601">
      <x:c r="A601" s="86" t="n">
        <x:v>599</x:v>
      </x:c>
      <x:c r="B601" s="88" t="str">
        <x:v>Sale/Event</x:v>
      </x:c>
      <x:c r="C601" s="88" t="str">
        <x:v>Capsuleer Day 3M Omega + 2 skins</x:v>
      </x:c>
      <x:c r="D601" s="88" t="n">
        <x:v>3</x:v>
      </x:c>
      <x:c r="E601" s="88" t="n">
        <x:v>1</x:v>
      </x:c>
      <x:c r="F601" s="88" t="str">
        <x:v>No MCT</x:v>
      </x:c>
      <x:c r="G601" s="88" t="str">
        <x:v>NES 3-for-2 extractor sale</x:v>
      </x:c>
      <x:c r="H601" s="87" t="n">
        <x:f>'01 Base Costs'!$B$27</x:f>
        <x:v>960</x:v>
      </x:c>
      <x:c r="I601" s="87" t="n">
        <x:f>0</x:f>
        <x:v>0</x:v>
      </x:c>
      <x:c r="J601" s="87" t="n">
        <x:f>0</x:f>
        <x:v>0</x:v>
      </x:c>
      <x:c r="K601" s="87" t="n">
        <x:f>D601*(E601-1)*I601</x:f>
        <x:v>0</x:v>
      </x:c>
      <x:c r="L601" s="87" t="n">
        <x:f>D601*(E601-1)*J601</x:f>
        <x:v>0</x:v>
      </x:c>
      <x:c r="M601" s="87" t="n">
        <x:f>0</x:f>
        <x:v>0</x:v>
      </x:c>
      <x:c r="N601" s="87" t="n">
        <x:f>H601+K601+M601</x:f>
        <x:v>960</x:v>
      </x:c>
      <x:c r="O601" s="87" t="n">
        <x:f>N601*'01 Base Costs'!$B$7+L601</x:f>
        <x:v>4617600000</x:v>
      </x:c>
      <x:c r="P601" s="87" t="n">
        <x:f>D601*E601</x:f>
        <x:v>3</x:v>
      </x:c>
      <x:c r="Q601" s="87" t="n">
        <x:f>P601*'01 Base Costs'!$B$12</x:f>
        <x:v>5832000</x:v>
      </x:c>
      <x:c r="R601" s="87" t="n">
        <x:f>0</x:f>
        <x:v>0</x:v>
      </x:c>
      <x:c r="S601" s="87" t="n">
        <x:f>Q601+R601</x:f>
        <x:v>5832000</x:v>
      </x:c>
      <x:c r="T601" s="141" t="n">
        <x:f>S601/'01 Base Costs'!$B$14</x:f>
        <x:v>11.664</x:v>
      </x:c>
      <x:c r="U601" s="87" t="n">
        <x:f>INT(T601)</x:f>
        <x:v>11</x:v>
      </x:c>
      <x:c r="V601" s="87" t="n">
        <x:f>S601-U601*'01 Base Costs'!$B$14</x:f>
        <x:v>332000</x:v>
      </x:c>
      <x:c r="W601" s="120" t="n">
        <x:f>'01 Base Costs'!$B$17*2/3</x:f>
        <x:v>93.33333333333333</x:v>
      </x:c>
      <x:c r="X601" s="120" t="n">
        <x:f>0</x:f>
        <x:v>0</x:v>
      </x:c>
      <x:c r="Y601" s="87" t="n">
        <x:f>T601*(W601*'01 Base Costs'!$B$7+X601)</x:f>
        <x:v>5236358400</x:v>
      </x:c>
      <x:c r="Z601" s="87" t="n">
        <x:f>T601*'01 Base Costs'!$B$8</x:f>
        <x:v>8781825600</x:v>
      </x:c>
      <x:c r="AA601" s="87" t="n">
        <x:f>Z601*'01 Base Costs'!$B$11</x:f>
        <x:v>439091280</x:v>
      </x:c>
      <x:c r="AB601" s="87" t="n">
        <x:f>Z601-AA601</x:f>
        <x:v>8342734320</x:v>
      </x:c>
      <x:c r="AC601" s="87" t="n">
        <x:f>O601+Y601</x:f>
        <x:v>9853958400</x:v>
      </x:c>
      <x:c r="AD601" s="87" t="n">
        <x:f>AB601-AC601</x:f>
        <x:v>-1511224080</x:v>
      </x:c>
      <x:c r="AE601" s="87" t="n">
        <x:f>AD601/D601</x:f>
        <x:v>-503741360</x:v>
      </x:c>
      <x:c r="AF601" s="87" t="n">
        <x:f>AD601/P601</x:f>
        <x:v>-503741360</x:v>
      </x:c>
      <x:c r="AG601" s="87" t="n">
        <x:f>IF(T601=0,0,AC601/T601/(1-'01 Base Costs'!$B$11))</x:f>
        <x:v>889282217.890405</x:v>
      </x:c>
      <x:c r="AH601" s="88" t="str">
        <x:f>IF(AD601&gt;0,"PROFIT","LOSS")</x:f>
        <x:v>LOSS</x:v>
      </x:c>
      <x:c r="AI601" s="89" t="str">
        <x:v>Capsuleer Day XXIIII event from screenshot. One training queue only. Extractor 3-for-2 sale.</x:v>
      </x:c>
    </x:row>
    <x:row r="602">
      <x:c r="A602" s="86" t="n">
        <x:v>600</x:v>
      </x:c>
      <x:c r="B602" s="88" t="str">
        <x:v>Sale/Event</x:v>
      </x:c>
      <x:c r="C602" s="88" t="str">
        <x:v>Capsuleer Day 3M Omega + 2 skins</x:v>
      </x:c>
      <x:c r="D602" s="88" t="n">
        <x:v>3</x:v>
      </x:c>
      <x:c r="E602" s="88" t="n">
        <x:v>1</x:v>
      </x:c>
      <x:c r="F602" s="88" t="str">
        <x:v>No MCT</x:v>
      </x:c>
      <x:c r="G602" s="88" t="str">
        <x:v>NES 2-for-1 extractor sale</x:v>
      </x:c>
      <x:c r="H602" s="87" t="n">
        <x:f>'01 Base Costs'!$B$27</x:f>
        <x:v>960</x:v>
      </x:c>
      <x:c r="I602" s="87" t="n">
        <x:f>0</x:f>
        <x:v>0</x:v>
      </x:c>
      <x:c r="J602" s="87" t="n">
        <x:f>0</x:f>
        <x:v>0</x:v>
      </x:c>
      <x:c r="K602" s="87" t="n">
        <x:f>D602*(E602-1)*I602</x:f>
        <x:v>0</x:v>
      </x:c>
      <x:c r="L602" s="87" t="n">
        <x:f>D602*(E602-1)*J602</x:f>
        <x:v>0</x:v>
      </x:c>
      <x:c r="M602" s="87" t="n">
        <x:f>0</x:f>
        <x:v>0</x:v>
      </x:c>
      <x:c r="N602" s="87" t="n">
        <x:f>H602+K602+M602</x:f>
        <x:v>960</x:v>
      </x:c>
      <x:c r="O602" s="87" t="n">
        <x:f>N602*'01 Base Costs'!$B$7+L602</x:f>
        <x:v>4617600000</x:v>
      </x:c>
      <x:c r="P602" s="87" t="n">
        <x:f>D602*E602</x:f>
        <x:v>3</x:v>
      </x:c>
      <x:c r="Q602" s="87" t="n">
        <x:f>P602*'01 Base Costs'!$B$12</x:f>
        <x:v>5832000</x:v>
      </x:c>
      <x:c r="R602" s="87" t="n">
        <x:f>0</x:f>
        <x:v>0</x:v>
      </x:c>
      <x:c r="S602" s="87" t="n">
        <x:f>Q602+R602</x:f>
        <x:v>5832000</x:v>
      </x:c>
      <x:c r="T602" s="141" t="n">
        <x:f>S602/'01 Base Costs'!$B$14</x:f>
        <x:v>11.664</x:v>
      </x:c>
      <x:c r="U602" s="87" t="n">
        <x:f>INT(T602)</x:f>
        <x:v>11</x:v>
      </x:c>
      <x:c r="V602" s="87" t="n">
        <x:f>S602-U602*'01 Base Costs'!$B$14</x:f>
        <x:v>332000</x:v>
      </x:c>
      <x:c r="W602" s="120" t="n">
        <x:f>'01 Base Costs'!$B$17/2</x:f>
        <x:v>70</x:v>
      </x:c>
      <x:c r="X602" s="120" t="n">
        <x:f>0</x:f>
        <x:v>0</x:v>
      </x:c>
      <x:c r="Y602" s="87" t="n">
        <x:f>T602*(W602*'01 Base Costs'!$B$7+X602)</x:f>
        <x:v>3927268800</x:v>
      </x:c>
      <x:c r="Z602" s="87" t="n">
        <x:f>T602*'01 Base Costs'!$B$8</x:f>
        <x:v>8781825600</x:v>
      </x:c>
      <x:c r="AA602" s="87" t="n">
        <x:f>Z602*'01 Base Costs'!$B$11</x:f>
        <x:v>439091280</x:v>
      </x:c>
      <x:c r="AB602" s="87" t="n">
        <x:f>Z602-AA602</x:f>
        <x:v>8342734320</x:v>
      </x:c>
      <x:c r="AC602" s="87" t="n">
        <x:f>O602+Y602</x:f>
        <x:v>8544868800</x:v>
      </x:c>
      <x:c r="AD602" s="87" t="n">
        <x:f>AB602-AC602</x:f>
        <x:v>-202134480</x:v>
      </x:c>
      <x:c r="AE602" s="87" t="n">
        <x:f>AD602/D602</x:f>
        <x:v>-67378160</x:v>
      </x:c>
      <x:c r="AF602" s="87" t="n">
        <x:f>AD602/P602</x:f>
        <x:v>-67378160</x:v>
      </x:c>
      <x:c r="AG602" s="87" t="n">
        <x:f>IF(T602=0,0,AC602/T602/(1-'01 Base Costs'!$B$11))</x:f>
        <x:v>771141867.0132121</x:v>
      </x:c>
      <x:c r="AH602" s="88" t="str">
        <x:f>IF(AD602&gt;0,"PROFIT","LOSS")</x:f>
        <x:v>LOSS</x:v>
      </x:c>
      <x:c r="AI602" s="89" t="str">
        <x:v>Capsuleer Day XXIIII event from screenshot. One training queue only. Extractor 2-for-1 sale.</x:v>
      </x:c>
    </x:row>
    <x:row r="603">
      <x:c r="A603" s="86" t="n">
        <x:v>601</x:v>
      </x:c>
      <x:c r="B603" s="88" t="str">
        <x:v>Sale/Event</x:v>
      </x:c>
      <x:c r="C603" s="88" t="str">
        <x:v>Capsuleer Day 3M Omega + 2 skins</x:v>
      </x:c>
      <x:c r="D603" s="88" t="n">
        <x:v>3</x:v>
      </x:c>
      <x:c r="E603" s="88" t="n">
        <x:v>1</x:v>
      </x:c>
      <x:c r="F603" s="88" t="str">
        <x:v>No MCT</x:v>
      </x:c>
      <x:c r="G603" s="88" t="str">
        <x:v>NES 10-pack extractor 20% sale</x:v>
      </x:c>
      <x:c r="H603" s="87" t="n">
        <x:f>'01 Base Costs'!$B$27</x:f>
        <x:v>960</x:v>
      </x:c>
      <x:c r="I603" s="87" t="n">
        <x:f>0</x:f>
        <x:v>0</x:v>
      </x:c>
      <x:c r="J603" s="87" t="n">
        <x:f>0</x:f>
        <x:v>0</x:v>
      </x:c>
      <x:c r="K603" s="87" t="n">
        <x:f>D603*(E603-1)*I603</x:f>
        <x:v>0</x:v>
      </x:c>
      <x:c r="L603" s="87" t="n">
        <x:f>D603*(E603-1)*J603</x:f>
        <x:v>0</x:v>
      </x:c>
      <x:c r="M603" s="87" t="n">
        <x:f>0</x:f>
        <x:v>0</x:v>
      </x:c>
      <x:c r="N603" s="87" t="n">
        <x:f>H603+K603+M603</x:f>
        <x:v>960</x:v>
      </x:c>
      <x:c r="O603" s="87" t="n">
        <x:f>N603*'01 Base Costs'!$B$7+L603</x:f>
        <x:v>4617600000</x:v>
      </x:c>
      <x:c r="P603" s="87" t="n">
        <x:f>D603*E603</x:f>
        <x:v>3</x:v>
      </x:c>
      <x:c r="Q603" s="87" t="n">
        <x:f>P603*'01 Base Costs'!$B$12</x:f>
        <x:v>5832000</x:v>
      </x:c>
      <x:c r="R603" s="87" t="n">
        <x:f>0</x:f>
        <x:v>0</x:v>
      </x:c>
      <x:c r="S603" s="87" t="n">
        <x:f>Q603+R603</x:f>
        <x:v>5832000</x:v>
      </x:c>
      <x:c r="T603" s="141" t="n">
        <x:f>S603/'01 Base Costs'!$B$14</x:f>
        <x:v>11.664</x:v>
      </x:c>
      <x:c r="U603" s="87" t="n">
        <x:f>INT(T603)</x:f>
        <x:v>11</x:v>
      </x:c>
      <x:c r="V603" s="87" t="n">
        <x:f>S603-U603*'01 Base Costs'!$B$14</x:f>
        <x:v>332000</x:v>
      </x:c>
      <x:c r="W603" s="120" t="n">
        <x:f>'01 Base Costs'!$B$19*0.8/10</x:f>
        <x:v>95.2</x:v>
      </x:c>
      <x:c r="X603" s="120" t="n">
        <x:f>0</x:f>
        <x:v>0</x:v>
      </x:c>
      <x:c r="Y603" s="87" t="n">
        <x:f>T603*(W603*'01 Base Costs'!$B$7+X603)</x:f>
        <x:v>5341085568</x:v>
      </x:c>
      <x:c r="Z603" s="87" t="n">
        <x:f>T603*'01 Base Costs'!$B$8</x:f>
        <x:v>8781825600</x:v>
      </x:c>
      <x:c r="AA603" s="87" t="n">
        <x:f>Z603*'01 Base Costs'!$B$11</x:f>
        <x:v>439091280</x:v>
      </x:c>
      <x:c r="AB603" s="87" t="n">
        <x:f>Z603-AA603</x:f>
        <x:v>8342734320</x:v>
      </x:c>
      <x:c r="AC603" s="87" t="n">
        <x:f>O603+Y603</x:f>
        <x:v>9958685568</x:v>
      </x:c>
      <x:c r="AD603" s="87" t="n">
        <x:f>AB603-AC603</x:f>
        <x:v>-1615951248</x:v>
      </x:c>
      <x:c r="AE603" s="87" t="n">
        <x:f>AD603/D603</x:f>
        <x:v>-538650416</x:v>
      </x:c>
      <x:c r="AF603" s="87" t="n">
        <x:f>AD603/P603</x:f>
        <x:v>-538650416</x:v>
      </x:c>
      <x:c r="AG603" s="87" t="n">
        <x:f>IF(T603=0,0,AC603/T603/(1-'01 Base Costs'!$B$11))</x:f>
        <x:v>898733445.9605805</x:v>
      </x:c>
      <x:c r="AH603" s="88" t="str">
        <x:f>IF(AD603&gt;0,"PROFIT","LOSS")</x:f>
        <x:v>LOSS</x:v>
      </x:c>
      <x:c r="AI603" s="89" t="str">
        <x:v>Capsuleer Day XXIIII event from screenshot. One training queue only. 10-pack at 20% off.</x:v>
      </x:c>
    </x:row>
    <x:row r="604">
      <x:c r="A604" s="86" t="n">
        <x:v>602</x:v>
      </x:c>
      <x:c r="B604" s="88" t="str">
        <x:v>Sale/Event</x:v>
      </x:c>
      <x:c r="C604" s="88" t="str">
        <x:v>Capsuleer Day 3M Omega + 2 skins</x:v>
      </x:c>
      <x:c r="D604" s="88" t="n">
        <x:v>3</x:v>
      </x:c>
      <x:c r="E604" s="88" t="n">
        <x:v>1</x:v>
      </x:c>
      <x:c r="F604" s="88" t="str">
        <x:v>No MCT</x:v>
      </x:c>
      <x:c r="G604" s="88" t="str">
        <x:v>NES 50-pack extractor 20% sale</x:v>
      </x:c>
      <x:c r="H604" s="87" t="n">
        <x:f>'01 Base Costs'!$B$27</x:f>
        <x:v>960</x:v>
      </x:c>
      <x:c r="I604" s="87" t="n">
        <x:f>0</x:f>
        <x:v>0</x:v>
      </x:c>
      <x:c r="J604" s="87" t="n">
        <x:f>0</x:f>
        <x:v>0</x:v>
      </x:c>
      <x:c r="K604" s="87" t="n">
        <x:f>D604*(E604-1)*I604</x:f>
        <x:v>0</x:v>
      </x:c>
      <x:c r="L604" s="87" t="n">
        <x:f>D604*(E604-1)*J604</x:f>
        <x:v>0</x:v>
      </x:c>
      <x:c r="M604" s="87" t="n">
        <x:f>0</x:f>
        <x:v>0</x:v>
      </x:c>
      <x:c r="N604" s="87" t="n">
        <x:f>H604+K604+M604</x:f>
        <x:v>960</x:v>
      </x:c>
      <x:c r="O604" s="87" t="n">
        <x:f>N604*'01 Base Costs'!$B$7+L604</x:f>
        <x:v>4617600000</x:v>
      </x:c>
      <x:c r="P604" s="87" t="n">
        <x:f>D604*E604</x:f>
        <x:v>3</x:v>
      </x:c>
      <x:c r="Q604" s="87" t="n">
        <x:f>P604*'01 Base Costs'!$B$12</x:f>
        <x:v>5832000</x:v>
      </x:c>
      <x:c r="R604" s="87" t="n">
        <x:f>0</x:f>
        <x:v>0</x:v>
      </x:c>
      <x:c r="S604" s="87" t="n">
        <x:f>Q604+R604</x:f>
        <x:v>5832000</x:v>
      </x:c>
      <x:c r="T604" s="141" t="n">
        <x:f>S604/'01 Base Costs'!$B$14</x:f>
        <x:v>11.664</x:v>
      </x:c>
      <x:c r="U604" s="87" t="n">
        <x:f>INT(T604)</x:f>
        <x:v>11</x:v>
      </x:c>
      <x:c r="V604" s="87" t="n">
        <x:f>S604-U604*'01 Base Costs'!$B$14</x:f>
        <x:v>332000</x:v>
      </x:c>
      <x:c r="W604" s="120" t="n">
        <x:f>'01 Base Costs'!$B$20*0.8/50</x:f>
        <x:v>89.6</x:v>
      </x:c>
      <x:c r="X604" s="120" t="n">
        <x:f>0</x:f>
        <x:v>0</x:v>
      </x:c>
      <x:c r="Y604" s="87" t="n">
        <x:f>T604*(W604*'01 Base Costs'!$B$7+X604)</x:f>
        <x:v>5026904064</x:v>
      </x:c>
      <x:c r="Z604" s="87" t="n">
        <x:f>T604*'01 Base Costs'!$B$8</x:f>
        <x:v>8781825600</x:v>
      </x:c>
      <x:c r="AA604" s="87" t="n">
        <x:f>Z604*'01 Base Costs'!$B$11</x:f>
        <x:v>439091280</x:v>
      </x:c>
      <x:c r="AB604" s="87" t="n">
        <x:f>Z604-AA604</x:f>
        <x:v>8342734320</x:v>
      </x:c>
      <x:c r="AC604" s="87" t="n">
        <x:f>O604+Y604</x:f>
        <x:v>9644504064</x:v>
      </x:c>
      <x:c r="AD604" s="87" t="n">
        <x:f>AB604-AC604</x:f>
        <x:v>-1301769744</x:v>
      </x:c>
      <x:c r="AE604" s="87" t="n">
        <x:f>AD604/D604</x:f>
        <x:v>-433923248</x:v>
      </x:c>
      <x:c r="AF604" s="87" t="n">
        <x:f>AD604/P604</x:f>
        <x:v>-433923248</x:v>
      </x:c>
      <x:c r="AG604" s="87" t="n">
        <x:f>IF(T604=0,0,AC604/T604/(1-'01 Base Costs'!$B$11))</x:f>
        <x:v>870379761.7500541</x:v>
      </x:c>
      <x:c r="AH604" s="88" t="str">
        <x:f>IF(AD604&gt;0,"PROFIT","LOSS")</x:f>
        <x:v>LOSS</x:v>
      </x:c>
      <x:c r="AI604" s="89" t="str">
        <x:v>Capsuleer Day XXIIII event from screenshot. One training queue only. 50-pack at 20% off.</x:v>
      </x:c>
    </x:row>
    <x:row r="605">
      <x:c r="A605" s="86" t="n">
        <x:v>603</x:v>
      </x:c>
      <x:c r="B605" s="88" t="str">
        <x:v>Sale/Event</x:v>
      </x:c>
      <x:c r="C605" s="88" t="str">
        <x:v>Capsuleer Day 3M Omega + 2 skins</x:v>
      </x:c>
      <x:c r="D605" s="88" t="n">
        <x:v>3</x:v>
      </x:c>
      <x:c r="E605" s="88" t="n">
        <x:v>1</x:v>
      </x:c>
      <x:c r="F605" s="88" t="str">
        <x:v>No MCT</x:v>
      </x:c>
      <x:c r="G605" s="88" t="str">
        <x:v>Market Skill Extractor</x:v>
      </x:c>
      <x:c r="H605" s="87" t="n">
        <x:f>'01 Base Costs'!$B$27</x:f>
        <x:v>960</x:v>
      </x:c>
      <x:c r="I605" s="87" t="n">
        <x:f>0</x:f>
        <x:v>0</x:v>
      </x:c>
      <x:c r="J605" s="87" t="n">
        <x:f>0</x:f>
        <x:v>0</x:v>
      </x:c>
      <x:c r="K605" s="87" t="n">
        <x:f>D605*(E605-1)*I605</x:f>
        <x:v>0</x:v>
      </x:c>
      <x:c r="L605" s="87" t="n">
        <x:f>D605*(E605-1)*J605</x:f>
        <x:v>0</x:v>
      </x:c>
      <x:c r="M605" s="87" t="n">
        <x:f>0</x:f>
        <x:v>0</x:v>
      </x:c>
      <x:c r="N605" s="87" t="n">
        <x:f>H605+K605+M605</x:f>
        <x:v>960</x:v>
      </x:c>
      <x:c r="O605" s="87" t="n">
        <x:f>N605*'01 Base Costs'!$B$7+L605</x:f>
        <x:v>4617600000</x:v>
      </x:c>
      <x:c r="P605" s="87" t="n">
        <x:f>D605*E605</x:f>
        <x:v>3</x:v>
      </x:c>
      <x:c r="Q605" s="87" t="n">
        <x:f>P605*'01 Base Costs'!$B$12</x:f>
        <x:v>5832000</x:v>
      </x:c>
      <x:c r="R605" s="87" t="n">
        <x:f>0</x:f>
        <x:v>0</x:v>
      </x:c>
      <x:c r="S605" s="87" t="n">
        <x:f>Q605+R605</x:f>
        <x:v>5832000</x:v>
      </x:c>
      <x:c r="T605" s="141" t="n">
        <x:f>S605/'01 Base Costs'!$B$14</x:f>
        <x:v>11.664</x:v>
      </x:c>
      <x:c r="U605" s="87" t="n">
        <x:f>INT(T605)</x:f>
        <x:v>11</x:v>
      </x:c>
      <x:c r="V605" s="87" t="n">
        <x:f>S605-U605*'01 Base Costs'!$B$14</x:f>
        <x:v>332000</x:v>
      </x:c>
      <x:c r="W605" s="120" t="n">
        <x:f>0</x:f>
        <x:v>0</x:v>
      </x:c>
      <x:c r="X605" s="120" t="n">
        <x:f>'01 Base Costs'!$B$9</x:f>
        <x:v>463500000</x:v>
      </x:c>
      <x:c r="Y605" s="87" t="n">
        <x:f>T605*(W605*'01 Base Costs'!$B$7+X605)</x:f>
        <x:v>5406264000</x:v>
      </x:c>
      <x:c r="Z605" s="87" t="n">
        <x:f>T605*'01 Base Costs'!$B$8</x:f>
        <x:v>8781825600</x:v>
      </x:c>
      <x:c r="AA605" s="87" t="n">
        <x:f>Z605*'01 Base Costs'!$B$11</x:f>
        <x:v>439091280</x:v>
      </x:c>
      <x:c r="AB605" s="87" t="n">
        <x:f>Z605-AA605</x:f>
        <x:v>8342734320</x:v>
      </x:c>
      <x:c r="AC605" s="87" t="n">
        <x:f>O605+Y605</x:f>
        <x:v>10023864000</x:v>
      </x:c>
      <x:c r="AD605" s="87" t="n">
        <x:f>AB605-AC605</x:f>
        <x:v>-1681129680</x:v>
      </x:c>
      <x:c r="AE605" s="87" t="n">
        <x:f>AD605/D605</x:f>
        <x:v>-560376560</x:v>
      </x:c>
      <x:c r="AF605" s="87" t="n">
        <x:f>AD605/P605</x:f>
        <x:v>-560376560</x:v>
      </x:c>
      <x:c r="AG605" s="87" t="n">
        <x:f>IF(T605=0,0,AC605/T605/(1-'01 Base Costs'!$B$11))</x:f>
        <x:v>904615551.2237383</x:v>
      </x:c>
      <x:c r="AH605" s="88" t="str">
        <x:f>IF(AD605&gt;0,"PROFIT","LOSS")</x:f>
        <x:v>LOSS</x:v>
      </x:c>
      <x:c r="AI605" s="89" t="str">
        <x:v>Capsuleer Day XXIIII event from screenshot. One training queue only. Extractor bought on market with ISK.</x:v>
      </x:c>
    </x:row>
    <x:row r="606">
      <x:c r="A606" s="86" t="n">
        <x:v>604</x:v>
      </x:c>
      <x:c r="B606" s="88" t="str">
        <x:v>Sale/Event</x:v>
      </x:c>
      <x:c r="C606" s="88" t="str">
        <x:v>Capsuleer Day 3M Omega + 2 skins</x:v>
      </x:c>
      <x:c r="D606" s="88" t="n">
        <x:v>3</x:v>
      </x:c>
      <x:c r="E606" s="88" t="n">
        <x:v>2</x:v>
      </x:c>
      <x:c r="F606" s="88" t="str">
        <x:v>NES base MCT</x:v>
      </x:c>
      <x:c r="G606" s="88" t="str">
        <x:v>NES single extractor</x:v>
      </x:c>
      <x:c r="H606" s="87" t="n">
        <x:f>'01 Base Costs'!$B$27</x:f>
        <x:v>960</x:v>
      </x:c>
      <x:c r="I606" s="87" t="n">
        <x:f>'01 Base Costs'!$B$16</x:f>
        <x:v>485</x:v>
      </x:c>
      <x:c r="J606" s="87" t="n">
        <x:f>0</x:f>
        <x:v>0</x:v>
      </x:c>
      <x:c r="K606" s="87" t="n">
        <x:f>D606*(E606-1)*I606</x:f>
        <x:v>1455</x:v>
      </x:c>
      <x:c r="L606" s="87" t="n">
        <x:f>D606*(E606-1)*J606</x:f>
        <x:v>0</x:v>
      </x:c>
      <x:c r="M606" s="87" t="n">
        <x:f>0</x:f>
        <x:v>0</x:v>
      </x:c>
      <x:c r="N606" s="87" t="n">
        <x:f>H606+K606+M606</x:f>
        <x:v>2415</x:v>
      </x:c>
      <x:c r="O606" s="87" t="n">
        <x:f>N606*'01 Base Costs'!$B$7+L606</x:f>
        <x:v>11616150000</x:v>
      </x:c>
      <x:c r="P606" s="87" t="n">
        <x:f>D606*E606</x:f>
        <x:v>6</x:v>
      </x:c>
      <x:c r="Q606" s="87" t="n">
        <x:f>P606*'01 Base Costs'!$B$12</x:f>
        <x:v>11664000</x:v>
      </x:c>
      <x:c r="R606" s="87" t="n">
        <x:f>0</x:f>
        <x:v>0</x:v>
      </x:c>
      <x:c r="S606" s="87" t="n">
        <x:f>Q606+R606</x:f>
        <x:v>11664000</x:v>
      </x:c>
      <x:c r="T606" s="141" t="n">
        <x:f>S606/'01 Base Costs'!$B$14</x:f>
        <x:v>23.328</x:v>
      </x:c>
      <x:c r="U606" s="87" t="n">
        <x:f>INT(T606)</x:f>
        <x:v>23</x:v>
      </x:c>
      <x:c r="V606" s="87" t="n">
        <x:f>S606-U606*'01 Base Costs'!$B$14</x:f>
        <x:v>164000</x:v>
      </x:c>
      <x:c r="W606" s="120" t="n">
        <x:f>'01 Base Costs'!$B$17</x:f>
        <x:v>140</x:v>
      </x:c>
      <x:c r="X606" s="120" t="n">
        <x:f>0</x:f>
        <x:v>0</x:v>
      </x:c>
      <x:c r="Y606" s="87" t="n">
        <x:f>T606*(W606*'01 Base Costs'!$B$7+X606)</x:f>
        <x:v>15709075200</x:v>
      </x:c>
      <x:c r="Z606" s="87" t="n">
        <x:f>T606*'01 Base Costs'!$B$8</x:f>
        <x:v>17563651200</x:v>
      </x:c>
      <x:c r="AA606" s="87" t="n">
        <x:f>Z606*'01 Base Costs'!$B$11</x:f>
        <x:v>878182560</x:v>
      </x:c>
      <x:c r="AB606" s="87" t="n">
        <x:f>Z606-AA606</x:f>
        <x:v>16685468640</x:v>
      </x:c>
      <x:c r="AC606" s="87" t="n">
        <x:f>O606+Y606</x:f>
        <x:v>27325225200</x:v>
      </x:c>
      <x:c r="AD606" s="87" t="n">
        <x:f>AB606-AC606</x:f>
        <x:v>-10639756560</x:v>
      </x:c>
      <x:c r="AE606" s="87" t="n">
        <x:f>AD606/D606</x:f>
        <x:v>-3546585520</x:v>
      </x:c>
      <x:c r="AF606" s="87" t="n">
        <x:f>AD606/P606</x:f>
        <x:v>-1773292760</x:v>
      </x:c>
      <x:c r="AG606" s="87" t="n">
        <x:f>IF(T606=0,0,AC606/T606/(1-'01 Base Costs'!$B$11))</x:f>
        <x:v>1232998754.6025558</x:v>
      </x:c>
      <x:c r="AH606" s="88" t="str">
        <x:f>IF(AD606&gt;0,"PROFIT","LOSS")</x:f>
        <x:v>LOSS</x:v>
      </x:c>
      <x:c r="AI606" s="89" t="str">
        <x:v>Capsuleer Day XXIIII event from screenshot. MCT purchased with PLEX in NES. Base single extractor.</x:v>
      </x:c>
    </x:row>
    <x:row r="607">
      <x:c r="A607" s="86" t="n">
        <x:v>605</x:v>
      </x:c>
      <x:c r="B607" s="88" t="str">
        <x:v>Sale/Event</x:v>
      </x:c>
      <x:c r="C607" s="88" t="str">
        <x:v>Capsuleer Day 3M Omega + 2 skins</x:v>
      </x:c>
      <x:c r="D607" s="88" t="n">
        <x:v>3</x:v>
      </x:c>
      <x:c r="E607" s="88" t="n">
        <x:v>2</x:v>
      </x:c>
      <x:c r="F607" s="88" t="str">
        <x:v>NES base MCT</x:v>
      </x:c>
      <x:c r="G607" s="88" t="str">
        <x:v>NES 5-pack extractor</x:v>
      </x:c>
      <x:c r="H607" s="87" t="n">
        <x:f>'01 Base Costs'!$B$27</x:f>
        <x:v>960</x:v>
      </x:c>
      <x:c r="I607" s="87" t="n">
        <x:f>'01 Base Costs'!$B$16</x:f>
        <x:v>485</x:v>
      </x:c>
      <x:c r="J607" s="87" t="n">
        <x:f>0</x:f>
        <x:v>0</x:v>
      </x:c>
      <x:c r="K607" s="87" t="n">
        <x:f>D607*(E607-1)*I607</x:f>
        <x:v>1455</x:v>
      </x:c>
      <x:c r="L607" s="87" t="n">
        <x:f>D607*(E607-1)*J607</x:f>
        <x:v>0</x:v>
      </x:c>
      <x:c r="M607" s="87" t="n">
        <x:f>0</x:f>
        <x:v>0</x:v>
      </x:c>
      <x:c r="N607" s="87" t="n">
        <x:f>H607+K607+M607</x:f>
        <x:v>2415</x:v>
      </x:c>
      <x:c r="O607" s="87" t="n">
        <x:f>N607*'01 Base Costs'!$B$7+L607</x:f>
        <x:v>11616150000</x:v>
      </x:c>
      <x:c r="P607" s="87" t="n">
        <x:f>D607*E607</x:f>
        <x:v>6</x:v>
      </x:c>
      <x:c r="Q607" s="87" t="n">
        <x:f>P607*'01 Base Costs'!$B$12</x:f>
        <x:v>11664000</x:v>
      </x:c>
      <x:c r="R607" s="87" t="n">
        <x:f>0</x:f>
        <x:v>0</x:v>
      </x:c>
      <x:c r="S607" s="87" t="n">
        <x:f>Q607+R607</x:f>
        <x:v>11664000</x:v>
      </x:c>
      <x:c r="T607" s="141" t="n">
        <x:f>S607/'01 Base Costs'!$B$14</x:f>
        <x:v>23.328</x:v>
      </x:c>
      <x:c r="U607" s="87" t="n">
        <x:f>INT(T607)</x:f>
        <x:v>23</x:v>
      </x:c>
      <x:c r="V607" s="87" t="n">
        <x:f>S607-U607*'01 Base Costs'!$B$14</x:f>
        <x:v>164000</x:v>
      </x:c>
      <x:c r="W607" s="120" t="n">
        <x:f>'01 Base Costs'!$B$18/5</x:f>
        <x:v>126</x:v>
      </x:c>
      <x:c r="X607" s="120" t="n">
        <x:f>0</x:f>
        <x:v>0</x:v>
      </x:c>
      <x:c r="Y607" s="87" t="n">
        <x:f>T607*(W607*'01 Base Costs'!$B$7+X607)</x:f>
        <x:v>14138167680</x:v>
      </x:c>
      <x:c r="Z607" s="87" t="n">
        <x:f>T607*'01 Base Costs'!$B$8</x:f>
        <x:v>17563651200</x:v>
      </x:c>
      <x:c r="AA607" s="87" t="n">
        <x:f>Z607*'01 Base Costs'!$B$11</x:f>
        <x:v>878182560</x:v>
      </x:c>
      <x:c r="AB607" s="87" t="n">
        <x:f>Z607-AA607</x:f>
        <x:v>16685468640</x:v>
      </x:c>
      <x:c r="AC607" s="87" t="n">
        <x:f>O607+Y607</x:f>
        <x:v>25754317680</x:v>
      </x:c>
      <x:c r="AD607" s="87" t="n">
        <x:f>AB607-AC607</x:f>
        <x:v>-9068849040</x:v>
      </x:c>
      <x:c r="AE607" s="87" t="n">
        <x:f>AD607/D607</x:f>
        <x:v>-3022949680</x:v>
      </x:c>
      <x:c r="AF607" s="87" t="n">
        <x:f>AD607/P607</x:f>
        <x:v>-1511474840</x:v>
      </x:c>
      <x:c r="AG607" s="87" t="n">
        <x:f>IF(T607=0,0,AC607/T607/(1-'01 Base Costs'!$B$11))</x:f>
        <x:v>1162114544.07624</x:v>
      </x:c>
      <x:c r="AH607" s="88" t="str">
        <x:f>IF(AD607&gt;0,"PROFIT","LOSS")</x:f>
        <x:v>LOSS</x:v>
      </x:c>
      <x:c r="AI607" s="89" t="str">
        <x:v>Capsuleer Day XXIIII event from screenshot. MCT purchased with PLEX in NES. Base 5-pack average.</x:v>
      </x:c>
    </x:row>
    <x:row r="608">
      <x:c r="A608" s="86" t="n">
        <x:v>606</x:v>
      </x:c>
      <x:c r="B608" s="88" t="str">
        <x:v>Sale/Event</x:v>
      </x:c>
      <x:c r="C608" s="88" t="str">
        <x:v>Capsuleer Day 3M Omega + 2 skins</x:v>
      </x:c>
      <x:c r="D608" s="88" t="n">
        <x:v>3</x:v>
      </x:c>
      <x:c r="E608" s="88" t="n">
        <x:v>2</x:v>
      </x:c>
      <x:c r="F608" s="88" t="str">
        <x:v>NES base MCT</x:v>
      </x:c>
      <x:c r="G608" s="88" t="str">
        <x:v>NES 10-pack extractor</x:v>
      </x:c>
      <x:c r="H608" s="87" t="n">
        <x:f>'01 Base Costs'!$B$27</x:f>
        <x:v>960</x:v>
      </x:c>
      <x:c r="I608" s="87" t="n">
        <x:f>'01 Base Costs'!$B$16</x:f>
        <x:v>485</x:v>
      </x:c>
      <x:c r="J608" s="87" t="n">
        <x:f>0</x:f>
        <x:v>0</x:v>
      </x:c>
      <x:c r="K608" s="87" t="n">
        <x:f>D608*(E608-1)*I608</x:f>
        <x:v>1455</x:v>
      </x:c>
      <x:c r="L608" s="87" t="n">
        <x:f>D608*(E608-1)*J608</x:f>
        <x:v>0</x:v>
      </x:c>
      <x:c r="M608" s="87" t="n">
        <x:f>0</x:f>
        <x:v>0</x:v>
      </x:c>
      <x:c r="N608" s="87" t="n">
        <x:f>H608+K608+M608</x:f>
        <x:v>2415</x:v>
      </x:c>
      <x:c r="O608" s="87" t="n">
        <x:f>N608*'01 Base Costs'!$B$7+L608</x:f>
        <x:v>11616150000</x:v>
      </x:c>
      <x:c r="P608" s="87" t="n">
        <x:f>D608*E608</x:f>
        <x:v>6</x:v>
      </x:c>
      <x:c r="Q608" s="87" t="n">
        <x:f>P608*'01 Base Costs'!$B$12</x:f>
        <x:v>11664000</x:v>
      </x:c>
      <x:c r="R608" s="87" t="n">
        <x:f>0</x:f>
        <x:v>0</x:v>
      </x:c>
      <x:c r="S608" s="87" t="n">
        <x:f>Q608+R608</x:f>
        <x:v>11664000</x:v>
      </x:c>
      <x:c r="T608" s="141" t="n">
        <x:f>S608/'01 Base Costs'!$B$14</x:f>
        <x:v>23.328</x:v>
      </x:c>
      <x:c r="U608" s="87" t="n">
        <x:f>INT(T608)</x:f>
        <x:v>23</x:v>
      </x:c>
      <x:c r="V608" s="87" t="n">
        <x:f>S608-U608*'01 Base Costs'!$B$14</x:f>
        <x:v>164000</x:v>
      </x:c>
      <x:c r="W608" s="120" t="n">
        <x:f>'01 Base Costs'!$B$19/10</x:f>
        <x:v>119</x:v>
      </x:c>
      <x:c r="X608" s="120" t="n">
        <x:f>0</x:f>
        <x:v>0</x:v>
      </x:c>
      <x:c r="Y608" s="87" t="n">
        <x:f>T608*(W608*'01 Base Costs'!$B$7+X608)</x:f>
        <x:v>13352713920</x:v>
      </x:c>
      <x:c r="Z608" s="87" t="n">
        <x:f>T608*'01 Base Costs'!$B$8</x:f>
        <x:v>17563651200</x:v>
      </x:c>
      <x:c r="AA608" s="87" t="n">
        <x:f>Z608*'01 Base Costs'!$B$11</x:f>
        <x:v>878182560</x:v>
      </x:c>
      <x:c r="AB608" s="87" t="n">
        <x:f>Z608-AA608</x:f>
        <x:v>16685468640</x:v>
      </x:c>
      <x:c r="AC608" s="87" t="n">
        <x:f>O608+Y608</x:f>
        <x:v>24968863920</x:v>
      </x:c>
      <x:c r="AD608" s="87" t="n">
        <x:f>AB608-AC608</x:f>
        <x:v>-8283395280</x:v>
      </x:c>
      <x:c r="AE608" s="87" t="n">
        <x:f>AD608/D608</x:f>
        <x:v>-2761131760</x:v>
      </x:c>
      <x:c r="AF608" s="87" t="n">
        <x:f>AD608/P608</x:f>
        <x:v>-1380565880</x:v>
      </x:c>
      <x:c r="AG608" s="87" t="n">
        <x:f>IF(T608=0,0,AC608/T608/(1-'01 Base Costs'!$B$11))</x:f>
        <x:v>1126672438.8130822</x:v>
      </x:c>
      <x:c r="AH608" s="88" t="str">
        <x:f>IF(AD608&gt;0,"PROFIT","LOSS")</x:f>
        <x:v>LOSS</x:v>
      </x:c>
      <x:c r="AI608" s="89" t="str">
        <x:v>Capsuleer Day XXIIII event from screenshot. MCT purchased with PLEX in NES. Base 10-pack average.</x:v>
      </x:c>
    </x:row>
    <x:row r="609">
      <x:c r="A609" s="86" t="n">
        <x:v>607</x:v>
      </x:c>
      <x:c r="B609" s="88" t="str">
        <x:v>Sale/Event</x:v>
      </x:c>
      <x:c r="C609" s="88" t="str">
        <x:v>Capsuleer Day 3M Omega + 2 skins</x:v>
      </x:c>
      <x:c r="D609" s="88" t="n">
        <x:v>3</x:v>
      </x:c>
      <x:c r="E609" s="88" t="n">
        <x:v>2</x:v>
      </x:c>
      <x:c r="F609" s="88" t="str">
        <x:v>NES base MCT</x:v>
      </x:c>
      <x:c r="G609" s="88" t="str">
        <x:v>NES 50-pack extractor</x:v>
      </x:c>
      <x:c r="H609" s="87" t="n">
        <x:f>'01 Base Costs'!$B$27</x:f>
        <x:v>960</x:v>
      </x:c>
      <x:c r="I609" s="87" t="n">
        <x:f>'01 Base Costs'!$B$16</x:f>
        <x:v>485</x:v>
      </x:c>
      <x:c r="J609" s="87" t="n">
        <x:f>0</x:f>
        <x:v>0</x:v>
      </x:c>
      <x:c r="K609" s="87" t="n">
        <x:f>D609*(E609-1)*I609</x:f>
        <x:v>1455</x:v>
      </x:c>
      <x:c r="L609" s="87" t="n">
        <x:f>D609*(E609-1)*J609</x:f>
        <x:v>0</x:v>
      </x:c>
      <x:c r="M609" s="87" t="n">
        <x:f>0</x:f>
        <x:v>0</x:v>
      </x:c>
      <x:c r="N609" s="87" t="n">
        <x:f>H609+K609+M609</x:f>
        <x:v>2415</x:v>
      </x:c>
      <x:c r="O609" s="87" t="n">
        <x:f>N609*'01 Base Costs'!$B$7+L609</x:f>
        <x:v>11616150000</x:v>
      </x:c>
      <x:c r="P609" s="87" t="n">
        <x:f>D609*E609</x:f>
        <x:v>6</x:v>
      </x:c>
      <x:c r="Q609" s="87" t="n">
        <x:f>P609*'01 Base Costs'!$B$12</x:f>
        <x:v>11664000</x:v>
      </x:c>
      <x:c r="R609" s="87" t="n">
        <x:f>0</x:f>
        <x:v>0</x:v>
      </x:c>
      <x:c r="S609" s="87" t="n">
        <x:f>Q609+R609</x:f>
        <x:v>11664000</x:v>
      </x:c>
      <x:c r="T609" s="141" t="n">
        <x:f>S609/'01 Base Costs'!$B$14</x:f>
        <x:v>23.328</x:v>
      </x:c>
      <x:c r="U609" s="87" t="n">
        <x:f>INT(T609)</x:f>
        <x:v>23</x:v>
      </x:c>
      <x:c r="V609" s="87" t="n">
        <x:f>S609-U609*'01 Base Costs'!$B$14</x:f>
        <x:v>164000</x:v>
      </x:c>
      <x:c r="W609" s="120" t="n">
        <x:f>'01 Base Costs'!$B$20/50</x:f>
        <x:v>112</x:v>
      </x:c>
      <x:c r="X609" s="120" t="n">
        <x:f>0</x:f>
        <x:v>0</x:v>
      </x:c>
      <x:c r="Y609" s="87" t="n">
        <x:f>T609*(W609*'01 Base Costs'!$B$7+X609)</x:f>
        <x:v>12567260160</x:v>
      </x:c>
      <x:c r="Z609" s="87" t="n">
        <x:f>T609*'01 Base Costs'!$B$8</x:f>
        <x:v>17563651200</x:v>
      </x:c>
      <x:c r="AA609" s="87" t="n">
        <x:f>Z609*'01 Base Costs'!$B$11</x:f>
        <x:v>878182560</x:v>
      </x:c>
      <x:c r="AB609" s="87" t="n">
        <x:f>Z609-AA609</x:f>
        <x:v>16685468640</x:v>
      </x:c>
      <x:c r="AC609" s="87" t="n">
        <x:f>O609+Y609</x:f>
        <x:v>24183410160</x:v>
      </x:c>
      <x:c r="AD609" s="87" t="n">
        <x:f>AB609-AC609</x:f>
        <x:v>-7497941520</x:v>
      </x:c>
      <x:c r="AE609" s="87" t="n">
        <x:f>AD609/D609</x:f>
        <x:v>-2499313840</x:v>
      </x:c>
      <x:c r="AF609" s="87" t="n">
        <x:f>AD609/P609</x:f>
        <x:v>-1249656920</x:v>
      </x:c>
      <x:c r="AG609" s="87" t="n">
        <x:f>IF(T609=0,0,AC609/T609/(1-'01 Base Costs'!$B$11))</x:f>
        <x:v>1091230333.5499244</x:v>
      </x:c>
      <x:c r="AH609" s="88" t="str">
        <x:f>IF(AD609&gt;0,"PROFIT","LOSS")</x:f>
        <x:v>LOSS</x:v>
      </x:c>
      <x:c r="AI609" s="89" t="str">
        <x:v>Capsuleer Day XXIIII event from screenshot. MCT purchased with PLEX in NES. Base 50-pack average.</x:v>
      </x:c>
    </x:row>
    <x:row r="610">
      <x:c r="A610" s="86" t="n">
        <x:v>608</x:v>
      </x:c>
      <x:c r="B610" s="88" t="str">
        <x:v>Sale/Event</x:v>
      </x:c>
      <x:c r="C610" s="88" t="str">
        <x:v>Capsuleer Day 3M Omega + 2 skins</x:v>
      </x:c>
      <x:c r="D610" s="88" t="n">
        <x:v>3</x:v>
      </x:c>
      <x:c r="E610" s="88" t="n">
        <x:v>2</x:v>
      </x:c>
      <x:c r="F610" s="88" t="str">
        <x:v>NES base MCT</x:v>
      </x:c>
      <x:c r="G610" s="88" t="str">
        <x:v>NES 3-for-2 extractor sale</x:v>
      </x:c>
      <x:c r="H610" s="87" t="n">
        <x:f>'01 Base Costs'!$B$27</x:f>
        <x:v>960</x:v>
      </x:c>
      <x:c r="I610" s="87" t="n">
        <x:f>'01 Base Costs'!$B$16</x:f>
        <x:v>485</x:v>
      </x:c>
      <x:c r="J610" s="87" t="n">
        <x:f>0</x:f>
        <x:v>0</x:v>
      </x:c>
      <x:c r="K610" s="87" t="n">
        <x:f>D610*(E610-1)*I610</x:f>
        <x:v>1455</x:v>
      </x:c>
      <x:c r="L610" s="87" t="n">
        <x:f>D610*(E610-1)*J610</x:f>
        <x:v>0</x:v>
      </x:c>
      <x:c r="M610" s="87" t="n">
        <x:f>0</x:f>
        <x:v>0</x:v>
      </x:c>
      <x:c r="N610" s="87" t="n">
        <x:f>H610+K610+M610</x:f>
        <x:v>2415</x:v>
      </x:c>
      <x:c r="O610" s="87" t="n">
        <x:f>N610*'01 Base Costs'!$B$7+L610</x:f>
        <x:v>11616150000</x:v>
      </x:c>
      <x:c r="P610" s="87" t="n">
        <x:f>D610*E610</x:f>
        <x:v>6</x:v>
      </x:c>
      <x:c r="Q610" s="87" t="n">
        <x:f>P610*'01 Base Costs'!$B$12</x:f>
        <x:v>11664000</x:v>
      </x:c>
      <x:c r="R610" s="87" t="n">
        <x:f>0</x:f>
        <x:v>0</x:v>
      </x:c>
      <x:c r="S610" s="87" t="n">
        <x:f>Q610+R610</x:f>
        <x:v>11664000</x:v>
      </x:c>
      <x:c r="T610" s="141" t="n">
        <x:f>S610/'01 Base Costs'!$B$14</x:f>
        <x:v>23.328</x:v>
      </x:c>
      <x:c r="U610" s="87" t="n">
        <x:f>INT(T610)</x:f>
        <x:v>23</x:v>
      </x:c>
      <x:c r="V610" s="87" t="n">
        <x:f>S610-U610*'01 Base Costs'!$B$14</x:f>
        <x:v>164000</x:v>
      </x:c>
      <x:c r="W610" s="120" t="n">
        <x:f>'01 Base Costs'!$B$17*2/3</x:f>
        <x:v>93.33333333333333</x:v>
      </x:c>
      <x:c r="X610" s="120" t="n">
        <x:f>0</x:f>
        <x:v>0</x:v>
      </x:c>
      <x:c r="Y610" s="87" t="n">
        <x:f>T610*(W610*'01 Base Costs'!$B$7+X610)</x:f>
        <x:v>10472716800</x:v>
      </x:c>
      <x:c r="Z610" s="87" t="n">
        <x:f>T610*'01 Base Costs'!$B$8</x:f>
        <x:v>17563651200</x:v>
      </x:c>
      <x:c r="AA610" s="87" t="n">
        <x:f>Z610*'01 Base Costs'!$B$11</x:f>
        <x:v>878182560</x:v>
      </x:c>
      <x:c r="AB610" s="87" t="n">
        <x:f>Z610-AA610</x:f>
        <x:v>16685468640</x:v>
      </x:c>
      <x:c r="AC610" s="87" t="n">
        <x:f>O610+Y610</x:f>
        <x:v>22088866800</x:v>
      </x:c>
      <x:c r="AD610" s="87" t="n">
        <x:f>AB610-AC610</x:f>
        <x:v>-5403398160</x:v>
      </x:c>
      <x:c r="AE610" s="87" t="n">
        <x:f>AD610/D610</x:f>
        <x:v>-1801132720</x:v>
      </x:c>
      <x:c r="AF610" s="87" t="n">
        <x:f>AD610/P610</x:f>
        <x:v>-900566360</x:v>
      </x:c>
      <x:c r="AG610" s="87" t="n">
        <x:f>IF(T610=0,0,AC610/T610/(1-'01 Base Costs'!$B$11))</x:f>
        <x:v>996718052.8481698</x:v>
      </x:c>
      <x:c r="AH610" s="88" t="str">
        <x:f>IF(AD610&gt;0,"PROFIT","LOSS")</x:f>
        <x:v>LOSS</x:v>
      </x:c>
      <x:c r="AI610" s="89" t="str">
        <x:v>Capsuleer Day XXIIII event from screenshot. MCT purchased with PLEX in NES. Extractor 3-for-2 sale.</x:v>
      </x:c>
    </x:row>
    <x:row r="611">
      <x:c r="A611" s="86" t="n">
        <x:v>609</x:v>
      </x:c>
      <x:c r="B611" s="88" t="str">
        <x:v>Sale/Event</x:v>
      </x:c>
      <x:c r="C611" s="88" t="str">
        <x:v>Capsuleer Day 3M Omega + 2 skins</x:v>
      </x:c>
      <x:c r="D611" s="88" t="n">
        <x:v>3</x:v>
      </x:c>
      <x:c r="E611" s="88" t="n">
        <x:v>2</x:v>
      </x:c>
      <x:c r="F611" s="88" t="str">
        <x:v>NES base MCT</x:v>
      </x:c>
      <x:c r="G611" s="88" t="str">
        <x:v>NES 2-for-1 extractor sale</x:v>
      </x:c>
      <x:c r="H611" s="87" t="n">
        <x:f>'01 Base Costs'!$B$27</x:f>
        <x:v>960</x:v>
      </x:c>
      <x:c r="I611" s="87" t="n">
        <x:f>'01 Base Costs'!$B$16</x:f>
        <x:v>485</x:v>
      </x:c>
      <x:c r="J611" s="87" t="n">
        <x:f>0</x:f>
        <x:v>0</x:v>
      </x:c>
      <x:c r="K611" s="87" t="n">
        <x:f>D611*(E611-1)*I611</x:f>
        <x:v>1455</x:v>
      </x:c>
      <x:c r="L611" s="87" t="n">
        <x:f>D611*(E611-1)*J611</x:f>
        <x:v>0</x:v>
      </x:c>
      <x:c r="M611" s="87" t="n">
        <x:f>0</x:f>
        <x:v>0</x:v>
      </x:c>
      <x:c r="N611" s="87" t="n">
        <x:f>H611+K611+M611</x:f>
        <x:v>2415</x:v>
      </x:c>
      <x:c r="O611" s="87" t="n">
        <x:f>N611*'01 Base Costs'!$B$7+L611</x:f>
        <x:v>11616150000</x:v>
      </x:c>
      <x:c r="P611" s="87" t="n">
        <x:f>D611*E611</x:f>
        <x:v>6</x:v>
      </x:c>
      <x:c r="Q611" s="87" t="n">
        <x:f>P611*'01 Base Costs'!$B$12</x:f>
        <x:v>11664000</x:v>
      </x:c>
      <x:c r="R611" s="87" t="n">
        <x:f>0</x:f>
        <x:v>0</x:v>
      </x:c>
      <x:c r="S611" s="87" t="n">
        <x:f>Q611+R611</x:f>
        <x:v>11664000</x:v>
      </x:c>
      <x:c r="T611" s="141" t="n">
        <x:f>S611/'01 Base Costs'!$B$14</x:f>
        <x:v>23.328</x:v>
      </x:c>
      <x:c r="U611" s="87" t="n">
        <x:f>INT(T611)</x:f>
        <x:v>23</x:v>
      </x:c>
      <x:c r="V611" s="87" t="n">
        <x:f>S611-U611*'01 Base Costs'!$B$14</x:f>
        <x:v>164000</x:v>
      </x:c>
      <x:c r="W611" s="120" t="n">
        <x:f>'01 Base Costs'!$B$17/2</x:f>
        <x:v>70</x:v>
      </x:c>
      <x:c r="X611" s="120" t="n">
        <x:f>0</x:f>
        <x:v>0</x:v>
      </x:c>
      <x:c r="Y611" s="87" t="n">
        <x:f>T611*(W611*'01 Base Costs'!$B$7+X611)</x:f>
        <x:v>7854537600</x:v>
      </x:c>
      <x:c r="Z611" s="87" t="n">
        <x:f>T611*'01 Base Costs'!$B$8</x:f>
        <x:v>17563651200</x:v>
      </x:c>
      <x:c r="AA611" s="87" t="n">
        <x:f>Z611*'01 Base Costs'!$B$11</x:f>
        <x:v>878182560</x:v>
      </x:c>
      <x:c r="AB611" s="87" t="n">
        <x:f>Z611-AA611</x:f>
        <x:v>16685468640</x:v>
      </x:c>
      <x:c r="AC611" s="87" t="n">
        <x:f>O611+Y611</x:f>
        <x:v>19470687600</x:v>
      </x:c>
      <x:c r="AD611" s="87" t="n">
        <x:f>AB611-AC611</x:f>
        <x:v>-2785218960</x:v>
      </x:c>
      <x:c r="AE611" s="87" t="n">
        <x:f>AD611/D611</x:f>
        <x:v>-928406320</x:v>
      </x:c>
      <x:c r="AF611" s="87" t="n">
        <x:f>AD611/P611</x:f>
        <x:v>-464203160</x:v>
      </x:c>
      <x:c r="AG611" s="87" t="n">
        <x:f>IF(T611=0,0,AC611/T611/(1-'01 Base Costs'!$B$11))</x:f>
        <x:v>878577701.970977</x:v>
      </x:c>
      <x:c r="AH611" s="88" t="str">
        <x:f>IF(AD611&gt;0,"PROFIT","LOSS")</x:f>
        <x:v>LOSS</x:v>
      </x:c>
      <x:c r="AI611" s="89" t="str">
        <x:v>Capsuleer Day XXIIII event from screenshot. MCT purchased with PLEX in NES. Extractor 2-for-1 sale.</x:v>
      </x:c>
    </x:row>
    <x:row r="612">
      <x:c r="A612" s="86" t="n">
        <x:v>610</x:v>
      </x:c>
      <x:c r="B612" s="88" t="str">
        <x:v>Sale/Event</x:v>
      </x:c>
      <x:c r="C612" s="88" t="str">
        <x:v>Capsuleer Day 3M Omega + 2 skins</x:v>
      </x:c>
      <x:c r="D612" s="88" t="n">
        <x:v>3</x:v>
      </x:c>
      <x:c r="E612" s="88" t="n">
        <x:v>2</x:v>
      </x:c>
      <x:c r="F612" s="88" t="str">
        <x:v>NES base MCT</x:v>
      </x:c>
      <x:c r="G612" s="88" t="str">
        <x:v>NES 10-pack extractor 20% sale</x:v>
      </x:c>
      <x:c r="H612" s="87" t="n">
        <x:f>'01 Base Costs'!$B$27</x:f>
        <x:v>960</x:v>
      </x:c>
      <x:c r="I612" s="87" t="n">
        <x:f>'01 Base Costs'!$B$16</x:f>
        <x:v>485</x:v>
      </x:c>
      <x:c r="J612" s="87" t="n">
        <x:f>0</x:f>
        <x:v>0</x:v>
      </x:c>
      <x:c r="K612" s="87" t="n">
        <x:f>D612*(E612-1)*I612</x:f>
        <x:v>1455</x:v>
      </x:c>
      <x:c r="L612" s="87" t="n">
        <x:f>D612*(E612-1)*J612</x:f>
        <x:v>0</x:v>
      </x:c>
      <x:c r="M612" s="87" t="n">
        <x:f>0</x:f>
        <x:v>0</x:v>
      </x:c>
      <x:c r="N612" s="87" t="n">
        <x:f>H612+K612+M612</x:f>
        <x:v>2415</x:v>
      </x:c>
      <x:c r="O612" s="87" t="n">
        <x:f>N612*'01 Base Costs'!$B$7+L612</x:f>
        <x:v>11616150000</x:v>
      </x:c>
      <x:c r="P612" s="87" t="n">
        <x:f>D612*E612</x:f>
        <x:v>6</x:v>
      </x:c>
      <x:c r="Q612" s="87" t="n">
        <x:f>P612*'01 Base Costs'!$B$12</x:f>
        <x:v>11664000</x:v>
      </x:c>
      <x:c r="R612" s="87" t="n">
        <x:f>0</x:f>
        <x:v>0</x:v>
      </x:c>
      <x:c r="S612" s="87" t="n">
        <x:f>Q612+R612</x:f>
        <x:v>11664000</x:v>
      </x:c>
      <x:c r="T612" s="141" t="n">
        <x:f>S612/'01 Base Costs'!$B$14</x:f>
        <x:v>23.328</x:v>
      </x:c>
      <x:c r="U612" s="87" t="n">
        <x:f>INT(T612)</x:f>
        <x:v>23</x:v>
      </x:c>
      <x:c r="V612" s="87" t="n">
        <x:f>S612-U612*'01 Base Costs'!$B$14</x:f>
        <x:v>164000</x:v>
      </x:c>
      <x:c r="W612" s="120" t="n">
        <x:f>'01 Base Costs'!$B$19*0.8/10</x:f>
        <x:v>95.2</x:v>
      </x:c>
      <x:c r="X612" s="120" t="n">
        <x:f>0</x:f>
        <x:v>0</x:v>
      </x:c>
      <x:c r="Y612" s="87" t="n">
        <x:f>T612*(W612*'01 Base Costs'!$B$7+X612)</x:f>
        <x:v>10682171136</x:v>
      </x:c>
      <x:c r="Z612" s="87" t="n">
        <x:f>T612*'01 Base Costs'!$B$8</x:f>
        <x:v>17563651200</x:v>
      </x:c>
      <x:c r="AA612" s="87" t="n">
        <x:f>Z612*'01 Base Costs'!$B$11</x:f>
        <x:v>878182560</x:v>
      </x:c>
      <x:c r="AB612" s="87" t="n">
        <x:f>Z612-AA612</x:f>
        <x:v>16685468640</x:v>
      </x:c>
      <x:c r="AC612" s="87" t="n">
        <x:f>O612+Y612</x:f>
        <x:v>22298321136</x:v>
      </x:c>
      <x:c r="AD612" s="87" t="n">
        <x:f>AB612-AC612</x:f>
        <x:v>-5612852496</x:v>
      </x:c>
      <x:c r="AE612" s="87" t="n">
        <x:f>AD612/D612</x:f>
        <x:v>-1870950832</x:v>
      </x:c>
      <x:c r="AF612" s="87" t="n">
        <x:f>AD612/P612</x:f>
        <x:v>-935475416</x:v>
      </x:c>
      <x:c r="AG612" s="87" t="n">
        <x:f>IF(T612=0,0,AC612/T612/(1-'01 Base Costs'!$B$11))</x:f>
        <x:v>1006169280.9183453</x:v>
      </x:c>
      <x:c r="AH612" s="88" t="str">
        <x:f>IF(AD612&gt;0,"PROFIT","LOSS")</x:f>
        <x:v>LOSS</x:v>
      </x:c>
      <x:c r="AI612" s="89" t="str">
        <x:v>Capsuleer Day XXIIII event from screenshot. MCT purchased with PLEX in NES. 10-pack at 20% off.</x:v>
      </x:c>
    </x:row>
    <x:row r="613">
      <x:c r="A613" s="86" t="n">
        <x:v>611</x:v>
      </x:c>
      <x:c r="B613" s="88" t="str">
        <x:v>Sale/Event</x:v>
      </x:c>
      <x:c r="C613" s="88" t="str">
        <x:v>Capsuleer Day 3M Omega + 2 skins</x:v>
      </x:c>
      <x:c r="D613" s="88" t="n">
        <x:v>3</x:v>
      </x:c>
      <x:c r="E613" s="88" t="n">
        <x:v>2</x:v>
      </x:c>
      <x:c r="F613" s="88" t="str">
        <x:v>NES base MCT</x:v>
      </x:c>
      <x:c r="G613" s="88" t="str">
        <x:v>NES 50-pack extractor 20% sale</x:v>
      </x:c>
      <x:c r="H613" s="87" t="n">
        <x:f>'01 Base Costs'!$B$27</x:f>
        <x:v>960</x:v>
      </x:c>
      <x:c r="I613" s="87" t="n">
        <x:f>'01 Base Costs'!$B$16</x:f>
        <x:v>485</x:v>
      </x:c>
      <x:c r="J613" s="87" t="n">
        <x:f>0</x:f>
        <x:v>0</x:v>
      </x:c>
      <x:c r="K613" s="87" t="n">
        <x:f>D613*(E613-1)*I613</x:f>
        <x:v>1455</x:v>
      </x:c>
      <x:c r="L613" s="87" t="n">
        <x:f>D613*(E613-1)*J613</x:f>
        <x:v>0</x:v>
      </x:c>
      <x:c r="M613" s="87" t="n">
        <x:f>0</x:f>
        <x:v>0</x:v>
      </x:c>
      <x:c r="N613" s="87" t="n">
        <x:f>H613+K613+M613</x:f>
        <x:v>2415</x:v>
      </x:c>
      <x:c r="O613" s="87" t="n">
        <x:f>N613*'01 Base Costs'!$B$7+L613</x:f>
        <x:v>11616150000</x:v>
      </x:c>
      <x:c r="P613" s="87" t="n">
        <x:f>D613*E613</x:f>
        <x:v>6</x:v>
      </x:c>
      <x:c r="Q613" s="87" t="n">
        <x:f>P613*'01 Base Costs'!$B$12</x:f>
        <x:v>11664000</x:v>
      </x:c>
      <x:c r="R613" s="87" t="n">
        <x:f>0</x:f>
        <x:v>0</x:v>
      </x:c>
      <x:c r="S613" s="87" t="n">
        <x:f>Q613+R613</x:f>
        <x:v>11664000</x:v>
      </x:c>
      <x:c r="T613" s="141" t="n">
        <x:f>S613/'01 Base Costs'!$B$14</x:f>
        <x:v>23.328</x:v>
      </x:c>
      <x:c r="U613" s="87" t="n">
        <x:f>INT(T613)</x:f>
        <x:v>23</x:v>
      </x:c>
      <x:c r="V613" s="87" t="n">
        <x:f>S613-U613*'01 Base Costs'!$B$14</x:f>
        <x:v>164000</x:v>
      </x:c>
      <x:c r="W613" s="120" t="n">
        <x:f>'01 Base Costs'!$B$20*0.8/50</x:f>
        <x:v>89.6</x:v>
      </x:c>
      <x:c r="X613" s="120" t="n">
        <x:f>0</x:f>
        <x:v>0</x:v>
      </x:c>
      <x:c r="Y613" s="87" t="n">
        <x:f>T613*(W613*'01 Base Costs'!$B$7+X613)</x:f>
        <x:v>10053808128</x:v>
      </x:c>
      <x:c r="Z613" s="87" t="n">
        <x:f>T613*'01 Base Costs'!$B$8</x:f>
        <x:v>17563651200</x:v>
      </x:c>
      <x:c r="AA613" s="87" t="n">
        <x:f>Z613*'01 Base Costs'!$B$11</x:f>
        <x:v>878182560</x:v>
      </x:c>
      <x:c r="AB613" s="87" t="n">
        <x:f>Z613-AA613</x:f>
        <x:v>16685468640</x:v>
      </x:c>
      <x:c r="AC613" s="87" t="n">
        <x:f>O613+Y613</x:f>
        <x:v>21669958128</x:v>
      </x:c>
      <x:c r="AD613" s="87" t="n">
        <x:f>AB613-AC613</x:f>
        <x:v>-4984489488</x:v>
      </x:c>
      <x:c r="AE613" s="87" t="n">
        <x:f>AD613/D613</x:f>
        <x:v>-1661496496</x:v>
      </x:c>
      <x:c r="AF613" s="87" t="n">
        <x:f>AD613/P613</x:f>
        <x:v>-830748248</x:v>
      </x:c>
      <x:c r="AG613" s="87" t="n">
        <x:f>IF(T613=0,0,AC613/T613/(1-'01 Base Costs'!$B$11))</x:f>
        <x:v>977815596.7078191</x:v>
      </x:c>
      <x:c r="AH613" s="88" t="str">
        <x:f>IF(AD613&gt;0,"PROFIT","LOSS")</x:f>
        <x:v>LOSS</x:v>
      </x:c>
      <x:c r="AI613" s="89" t="str">
        <x:v>Capsuleer Day XXIIII event from screenshot. MCT purchased with PLEX in NES. 50-pack at 20% off.</x:v>
      </x:c>
    </x:row>
    <x:row r="614">
      <x:c r="A614" s="86" t="n">
        <x:v>612</x:v>
      </x:c>
      <x:c r="B614" s="88" t="str">
        <x:v>Sale/Event</x:v>
      </x:c>
      <x:c r="C614" s="88" t="str">
        <x:v>Capsuleer Day 3M Omega + 2 skins</x:v>
      </x:c>
      <x:c r="D614" s="88" t="n">
        <x:v>3</x:v>
      </x:c>
      <x:c r="E614" s="88" t="n">
        <x:v>2</x:v>
      </x:c>
      <x:c r="F614" s="88" t="str">
        <x:v>NES base MCT</x:v>
      </x:c>
      <x:c r="G614" s="88" t="str">
        <x:v>Market Skill Extractor</x:v>
      </x:c>
      <x:c r="H614" s="87" t="n">
        <x:f>'01 Base Costs'!$B$27</x:f>
        <x:v>960</x:v>
      </x:c>
      <x:c r="I614" s="87" t="n">
        <x:f>'01 Base Costs'!$B$16</x:f>
        <x:v>485</x:v>
      </x:c>
      <x:c r="J614" s="87" t="n">
        <x:f>0</x:f>
        <x:v>0</x:v>
      </x:c>
      <x:c r="K614" s="87" t="n">
        <x:f>D614*(E614-1)*I614</x:f>
        <x:v>1455</x:v>
      </x:c>
      <x:c r="L614" s="87" t="n">
        <x:f>D614*(E614-1)*J614</x:f>
        <x:v>0</x:v>
      </x:c>
      <x:c r="M614" s="87" t="n">
        <x:f>0</x:f>
        <x:v>0</x:v>
      </x:c>
      <x:c r="N614" s="87" t="n">
        <x:f>H614+K614+M614</x:f>
        <x:v>2415</x:v>
      </x:c>
      <x:c r="O614" s="87" t="n">
        <x:f>N614*'01 Base Costs'!$B$7+L614</x:f>
        <x:v>11616150000</x:v>
      </x:c>
      <x:c r="P614" s="87" t="n">
        <x:f>D614*E614</x:f>
        <x:v>6</x:v>
      </x:c>
      <x:c r="Q614" s="87" t="n">
        <x:f>P614*'01 Base Costs'!$B$12</x:f>
        <x:v>11664000</x:v>
      </x:c>
      <x:c r="R614" s="87" t="n">
        <x:f>0</x:f>
        <x:v>0</x:v>
      </x:c>
      <x:c r="S614" s="87" t="n">
        <x:f>Q614+R614</x:f>
        <x:v>11664000</x:v>
      </x:c>
      <x:c r="T614" s="141" t="n">
        <x:f>S614/'01 Base Costs'!$B$14</x:f>
        <x:v>23.328</x:v>
      </x:c>
      <x:c r="U614" s="87" t="n">
        <x:f>INT(T614)</x:f>
        <x:v>23</x:v>
      </x:c>
      <x:c r="V614" s="87" t="n">
        <x:f>S614-U614*'01 Base Costs'!$B$14</x:f>
        <x:v>164000</x:v>
      </x:c>
      <x:c r="W614" s="120" t="n">
        <x:f>0</x:f>
        <x:v>0</x:v>
      </x:c>
      <x:c r="X614" s="120" t="n">
        <x:f>'01 Base Costs'!$B$9</x:f>
        <x:v>463500000</x:v>
      </x:c>
      <x:c r="Y614" s="87" t="n">
        <x:f>T614*(W614*'01 Base Costs'!$B$7+X614)</x:f>
        <x:v>10812528000</x:v>
      </x:c>
      <x:c r="Z614" s="87" t="n">
        <x:f>T614*'01 Base Costs'!$B$8</x:f>
        <x:v>17563651200</x:v>
      </x:c>
      <x:c r="AA614" s="87" t="n">
        <x:f>Z614*'01 Base Costs'!$B$11</x:f>
        <x:v>878182560</x:v>
      </x:c>
      <x:c r="AB614" s="87" t="n">
        <x:f>Z614-AA614</x:f>
        <x:v>16685468640</x:v>
      </x:c>
      <x:c r="AC614" s="87" t="n">
        <x:f>O614+Y614</x:f>
        <x:v>22428678000</x:v>
      </x:c>
      <x:c r="AD614" s="87" t="n">
        <x:f>AB614-AC614</x:f>
        <x:v>-5743209360</x:v>
      </x:c>
      <x:c r="AE614" s="87" t="n">
        <x:f>AD614/D614</x:f>
        <x:v>-1914403120</x:v>
      </x:c>
      <x:c r="AF614" s="87" t="n">
        <x:f>AD614/P614</x:f>
        <x:v>-957201560</x:v>
      </x:c>
      <x:c r="AG614" s="87" t="n">
        <x:f>IF(T614=0,0,AC614/T614/(1-'01 Base Costs'!$B$11))</x:f>
        <x:v>1012051386.1815033</x:v>
      </x:c>
      <x:c r="AH614" s="88" t="str">
        <x:f>IF(AD614&gt;0,"PROFIT","LOSS")</x:f>
        <x:v>LOSS</x:v>
      </x:c>
      <x:c r="AI614" s="89" t="str">
        <x:v>Capsuleer Day XXIIII event from screenshot. MCT purchased with PLEX in NES. Extractor bought on market with ISK.</x:v>
      </x:c>
    </x:row>
    <x:row r="615">
      <x:c r="A615" s="86" t="n">
        <x:v>613</x:v>
      </x:c>
      <x:c r="B615" s="88" t="str">
        <x:v>Sale/Event</x:v>
      </x:c>
      <x:c r="C615" s="88" t="str">
        <x:v>Capsuleer Day 3M Omega + 2 skins</x:v>
      </x:c>
      <x:c r="D615" s="88" t="n">
        <x:v>3</x:v>
      </x:c>
      <x:c r="E615" s="88" t="n">
        <x:v>2</x:v>
      </x:c>
      <x:c r="F615" s="88" t="str">
        <x:v>NES MCT 20% sale</x:v>
      </x:c>
      <x:c r="G615" s="88" t="str">
        <x:v>NES single extractor</x:v>
      </x:c>
      <x:c r="H615" s="87" t="n">
        <x:f>'01 Base Costs'!$B$27</x:f>
        <x:v>960</x:v>
      </x:c>
      <x:c r="I615" s="87" t="n">
        <x:f>'01 Base Costs'!$B$16*0.8</x:f>
        <x:v>388</x:v>
      </x:c>
      <x:c r="J615" s="87" t="n">
        <x:f>0</x:f>
        <x:v>0</x:v>
      </x:c>
      <x:c r="K615" s="87" t="n">
        <x:f>D615*(E615-1)*I615</x:f>
        <x:v>1164</x:v>
      </x:c>
      <x:c r="L615" s="87" t="n">
        <x:f>D615*(E615-1)*J615</x:f>
        <x:v>0</x:v>
      </x:c>
      <x:c r="M615" s="87" t="n">
        <x:f>0</x:f>
        <x:v>0</x:v>
      </x:c>
      <x:c r="N615" s="87" t="n">
        <x:f>H615+K615+M615</x:f>
        <x:v>2124</x:v>
      </x:c>
      <x:c r="O615" s="87" t="n">
        <x:f>N615*'01 Base Costs'!$B$7+L615</x:f>
        <x:v>10216440000</x:v>
      </x:c>
      <x:c r="P615" s="87" t="n">
        <x:f>D615*E615</x:f>
        <x:v>6</x:v>
      </x:c>
      <x:c r="Q615" s="87" t="n">
        <x:f>P615*'01 Base Costs'!$B$12</x:f>
        <x:v>11664000</x:v>
      </x:c>
      <x:c r="R615" s="87" t="n">
        <x:f>0</x:f>
        <x:v>0</x:v>
      </x:c>
      <x:c r="S615" s="87" t="n">
        <x:f>Q615+R615</x:f>
        <x:v>11664000</x:v>
      </x:c>
      <x:c r="T615" s="141" t="n">
        <x:f>S615/'01 Base Costs'!$B$14</x:f>
        <x:v>23.328</x:v>
      </x:c>
      <x:c r="U615" s="87" t="n">
        <x:f>INT(T615)</x:f>
        <x:v>23</x:v>
      </x:c>
      <x:c r="V615" s="87" t="n">
        <x:f>S615-U615*'01 Base Costs'!$B$14</x:f>
        <x:v>164000</x:v>
      </x:c>
      <x:c r="W615" s="120" t="n">
        <x:f>'01 Base Costs'!$B$17</x:f>
        <x:v>140</x:v>
      </x:c>
      <x:c r="X615" s="120" t="n">
        <x:f>0</x:f>
        <x:v>0</x:v>
      </x:c>
      <x:c r="Y615" s="87" t="n">
        <x:f>T615*(W615*'01 Base Costs'!$B$7+X615)</x:f>
        <x:v>15709075200</x:v>
      </x:c>
      <x:c r="Z615" s="87" t="n">
        <x:f>T615*'01 Base Costs'!$B$8</x:f>
        <x:v>17563651200</x:v>
      </x:c>
      <x:c r="AA615" s="87" t="n">
        <x:f>Z615*'01 Base Costs'!$B$11</x:f>
        <x:v>878182560</x:v>
      </x:c>
      <x:c r="AB615" s="87" t="n">
        <x:f>Z615-AA615</x:f>
        <x:v>16685468640</x:v>
      </x:c>
      <x:c r="AC615" s="87" t="n">
        <x:f>O615+Y615</x:f>
        <x:v>25925515200</x:v>
      </x:c>
      <x:c r="AD615" s="87" t="n">
        <x:f>AB615-AC615</x:f>
        <x:v>-9240046560</x:v>
      </x:c>
      <x:c r="AE615" s="87" t="n">
        <x:f>AD615/D615</x:f>
        <x:v>-3080015520</x:v>
      </x:c>
      <x:c r="AF615" s="87" t="n">
        <x:f>AD615/P615</x:f>
        <x:v>-1540007760</x:v>
      </x:c>
      <x:c r="AG615" s="87" t="n">
        <x:f>IF(T615=0,0,AC615/T615/(1-'01 Base Costs'!$B$11))</x:f>
        <x:v>1169839506.1728394</x:v>
      </x:c>
      <x:c r="AH615" s="88" t="str">
        <x:f>IF(AD615&gt;0,"PROFIT","LOSS")</x:f>
        <x:v>LOSS</x:v>
      </x:c>
      <x:c r="AI615" s="89" t="str">
        <x:v>Capsuleer Day XXIIII event from screenshot. MCT sale 20% off. Base single extractor.</x:v>
      </x:c>
    </x:row>
    <x:row r="616">
      <x:c r="A616" s="86" t="n">
        <x:v>614</x:v>
      </x:c>
      <x:c r="B616" s="88" t="str">
        <x:v>Sale/Event</x:v>
      </x:c>
      <x:c r="C616" s="88" t="str">
        <x:v>Capsuleer Day 3M Omega + 2 skins</x:v>
      </x:c>
      <x:c r="D616" s="88" t="n">
        <x:v>3</x:v>
      </x:c>
      <x:c r="E616" s="88" t="n">
        <x:v>2</x:v>
      </x:c>
      <x:c r="F616" s="88" t="str">
        <x:v>NES MCT 20% sale</x:v>
      </x:c>
      <x:c r="G616" s="88" t="str">
        <x:v>NES 5-pack extractor</x:v>
      </x:c>
      <x:c r="H616" s="87" t="n">
        <x:f>'01 Base Costs'!$B$27</x:f>
        <x:v>960</x:v>
      </x:c>
      <x:c r="I616" s="87" t="n">
        <x:f>'01 Base Costs'!$B$16*0.8</x:f>
        <x:v>388</x:v>
      </x:c>
      <x:c r="J616" s="87" t="n">
        <x:f>0</x:f>
        <x:v>0</x:v>
      </x:c>
      <x:c r="K616" s="87" t="n">
        <x:f>D616*(E616-1)*I616</x:f>
        <x:v>1164</x:v>
      </x:c>
      <x:c r="L616" s="87" t="n">
        <x:f>D616*(E616-1)*J616</x:f>
        <x:v>0</x:v>
      </x:c>
      <x:c r="M616" s="87" t="n">
        <x:f>0</x:f>
        <x:v>0</x:v>
      </x:c>
      <x:c r="N616" s="87" t="n">
        <x:f>H616+K616+M616</x:f>
        <x:v>2124</x:v>
      </x:c>
      <x:c r="O616" s="87" t="n">
        <x:f>N616*'01 Base Costs'!$B$7+L616</x:f>
        <x:v>10216440000</x:v>
      </x:c>
      <x:c r="P616" s="87" t="n">
        <x:f>D616*E616</x:f>
        <x:v>6</x:v>
      </x:c>
      <x:c r="Q616" s="87" t="n">
        <x:f>P616*'01 Base Costs'!$B$12</x:f>
        <x:v>11664000</x:v>
      </x:c>
      <x:c r="R616" s="87" t="n">
        <x:f>0</x:f>
        <x:v>0</x:v>
      </x:c>
      <x:c r="S616" s="87" t="n">
        <x:f>Q616+R616</x:f>
        <x:v>11664000</x:v>
      </x:c>
      <x:c r="T616" s="141" t="n">
        <x:f>S616/'01 Base Costs'!$B$14</x:f>
        <x:v>23.328</x:v>
      </x:c>
      <x:c r="U616" s="87" t="n">
        <x:f>INT(T616)</x:f>
        <x:v>23</x:v>
      </x:c>
      <x:c r="V616" s="87" t="n">
        <x:f>S616-U616*'01 Base Costs'!$B$14</x:f>
        <x:v>164000</x:v>
      </x:c>
      <x:c r="W616" s="120" t="n">
        <x:f>'01 Base Costs'!$B$18/5</x:f>
        <x:v>126</x:v>
      </x:c>
      <x:c r="X616" s="120" t="n">
        <x:f>0</x:f>
        <x:v>0</x:v>
      </x:c>
      <x:c r="Y616" s="87" t="n">
        <x:f>T616*(W616*'01 Base Costs'!$B$7+X616)</x:f>
        <x:v>14138167680</x:v>
      </x:c>
      <x:c r="Z616" s="87" t="n">
        <x:f>T616*'01 Base Costs'!$B$8</x:f>
        <x:v>17563651200</x:v>
      </x:c>
      <x:c r="AA616" s="87" t="n">
        <x:f>Z616*'01 Base Costs'!$B$11</x:f>
        <x:v>878182560</x:v>
      </x:c>
      <x:c r="AB616" s="87" t="n">
        <x:f>Z616-AA616</x:f>
        <x:v>16685468640</x:v>
      </x:c>
      <x:c r="AC616" s="87" t="n">
        <x:f>O616+Y616</x:f>
        <x:v>24354607680</x:v>
      </x:c>
      <x:c r="AD616" s="87" t="n">
        <x:f>AB616-AC616</x:f>
        <x:v>-7669139040</x:v>
      </x:c>
      <x:c r="AE616" s="87" t="n">
        <x:f>AD616/D616</x:f>
        <x:v>-2556379680</x:v>
      </x:c>
      <x:c r="AF616" s="87" t="n">
        <x:f>AD616/P616</x:f>
        <x:v>-1278189840</x:v>
      </x:c>
      <x:c r="AG616" s="87" t="n">
        <x:f>IF(T616=0,0,AC616/T616/(1-'01 Base Costs'!$B$11))</x:f>
        <x:v>1098955295.646524</x:v>
      </x:c>
      <x:c r="AH616" s="88" t="str">
        <x:f>IF(AD616&gt;0,"PROFIT","LOSS")</x:f>
        <x:v>LOSS</x:v>
      </x:c>
      <x:c r="AI616" s="89" t="str">
        <x:v>Capsuleer Day XXIIII event from screenshot. MCT sale 20% off. Base 5-pack average.</x:v>
      </x:c>
    </x:row>
    <x:row r="617">
      <x:c r="A617" s="86" t="n">
        <x:v>615</x:v>
      </x:c>
      <x:c r="B617" s="88" t="str">
        <x:v>Sale/Event</x:v>
      </x:c>
      <x:c r="C617" s="88" t="str">
        <x:v>Capsuleer Day 3M Omega + 2 skins</x:v>
      </x:c>
      <x:c r="D617" s="88" t="n">
        <x:v>3</x:v>
      </x:c>
      <x:c r="E617" s="88" t="n">
        <x:v>2</x:v>
      </x:c>
      <x:c r="F617" s="88" t="str">
        <x:v>NES MCT 20% sale</x:v>
      </x:c>
      <x:c r="G617" s="88" t="str">
        <x:v>NES 10-pack extractor</x:v>
      </x:c>
      <x:c r="H617" s="87" t="n">
        <x:f>'01 Base Costs'!$B$27</x:f>
        <x:v>960</x:v>
      </x:c>
      <x:c r="I617" s="87" t="n">
        <x:f>'01 Base Costs'!$B$16*0.8</x:f>
        <x:v>388</x:v>
      </x:c>
      <x:c r="J617" s="87" t="n">
        <x:f>0</x:f>
        <x:v>0</x:v>
      </x:c>
      <x:c r="K617" s="87" t="n">
        <x:f>D617*(E617-1)*I617</x:f>
        <x:v>1164</x:v>
      </x:c>
      <x:c r="L617" s="87" t="n">
        <x:f>D617*(E617-1)*J617</x:f>
        <x:v>0</x:v>
      </x:c>
      <x:c r="M617" s="87" t="n">
        <x:f>0</x:f>
        <x:v>0</x:v>
      </x:c>
      <x:c r="N617" s="87" t="n">
        <x:f>H617+K617+M617</x:f>
        <x:v>2124</x:v>
      </x:c>
      <x:c r="O617" s="87" t="n">
        <x:f>N617*'01 Base Costs'!$B$7+L617</x:f>
        <x:v>10216440000</x:v>
      </x:c>
      <x:c r="P617" s="87" t="n">
        <x:f>D617*E617</x:f>
        <x:v>6</x:v>
      </x:c>
      <x:c r="Q617" s="87" t="n">
        <x:f>P617*'01 Base Costs'!$B$12</x:f>
        <x:v>11664000</x:v>
      </x:c>
      <x:c r="R617" s="87" t="n">
        <x:f>0</x:f>
        <x:v>0</x:v>
      </x:c>
      <x:c r="S617" s="87" t="n">
        <x:f>Q617+R617</x:f>
        <x:v>11664000</x:v>
      </x:c>
      <x:c r="T617" s="141" t="n">
        <x:f>S617/'01 Base Costs'!$B$14</x:f>
        <x:v>23.328</x:v>
      </x:c>
      <x:c r="U617" s="87" t="n">
        <x:f>INT(T617)</x:f>
        <x:v>23</x:v>
      </x:c>
      <x:c r="V617" s="87" t="n">
        <x:f>S617-U617*'01 Base Costs'!$B$14</x:f>
        <x:v>164000</x:v>
      </x:c>
      <x:c r="W617" s="120" t="n">
        <x:f>'01 Base Costs'!$B$19/10</x:f>
        <x:v>119</x:v>
      </x:c>
      <x:c r="X617" s="120" t="n">
        <x:f>0</x:f>
        <x:v>0</x:v>
      </x:c>
      <x:c r="Y617" s="87" t="n">
        <x:f>T617*(W617*'01 Base Costs'!$B$7+X617)</x:f>
        <x:v>13352713920</x:v>
      </x:c>
      <x:c r="Z617" s="87" t="n">
        <x:f>T617*'01 Base Costs'!$B$8</x:f>
        <x:v>17563651200</x:v>
      </x:c>
      <x:c r="AA617" s="87" t="n">
        <x:f>Z617*'01 Base Costs'!$B$11</x:f>
        <x:v>878182560</x:v>
      </x:c>
      <x:c r="AB617" s="87" t="n">
        <x:f>Z617-AA617</x:f>
        <x:v>16685468640</x:v>
      </x:c>
      <x:c r="AC617" s="87" t="n">
        <x:f>O617+Y617</x:f>
        <x:v>23569153920</x:v>
      </x:c>
      <x:c r="AD617" s="87" t="n">
        <x:f>AB617-AC617</x:f>
        <x:v>-6883685280</x:v>
      </x:c>
      <x:c r="AE617" s="87" t="n">
        <x:f>AD617/D617</x:f>
        <x:v>-2294561760</x:v>
      </x:c>
      <x:c r="AF617" s="87" t="n">
        <x:f>AD617/P617</x:f>
        <x:v>-1147280880</x:v>
      </x:c>
      <x:c r="AG617" s="87" t="n">
        <x:f>IF(T617=0,0,AC617/T617/(1-'01 Base Costs'!$B$11))</x:f>
        <x:v>1063513190.383366</x:v>
      </x:c>
      <x:c r="AH617" s="88" t="str">
        <x:f>IF(AD617&gt;0,"PROFIT","LOSS")</x:f>
        <x:v>LOSS</x:v>
      </x:c>
      <x:c r="AI617" s="89" t="str">
        <x:v>Capsuleer Day XXIIII event from screenshot. MCT sale 20% off. Base 10-pack average.</x:v>
      </x:c>
    </x:row>
    <x:row r="618">
      <x:c r="A618" s="86" t="n">
        <x:v>616</x:v>
      </x:c>
      <x:c r="B618" s="88" t="str">
        <x:v>Sale/Event</x:v>
      </x:c>
      <x:c r="C618" s="88" t="str">
        <x:v>Capsuleer Day 3M Omega + 2 skins</x:v>
      </x:c>
      <x:c r="D618" s="88" t="n">
        <x:v>3</x:v>
      </x:c>
      <x:c r="E618" s="88" t="n">
        <x:v>2</x:v>
      </x:c>
      <x:c r="F618" s="88" t="str">
        <x:v>NES MCT 20% sale</x:v>
      </x:c>
      <x:c r="G618" s="88" t="str">
        <x:v>NES 50-pack extractor</x:v>
      </x:c>
      <x:c r="H618" s="87" t="n">
        <x:f>'01 Base Costs'!$B$27</x:f>
        <x:v>960</x:v>
      </x:c>
      <x:c r="I618" s="87" t="n">
        <x:f>'01 Base Costs'!$B$16*0.8</x:f>
        <x:v>388</x:v>
      </x:c>
      <x:c r="J618" s="87" t="n">
        <x:f>0</x:f>
        <x:v>0</x:v>
      </x:c>
      <x:c r="K618" s="87" t="n">
        <x:f>D618*(E618-1)*I618</x:f>
        <x:v>1164</x:v>
      </x:c>
      <x:c r="L618" s="87" t="n">
        <x:f>D618*(E618-1)*J618</x:f>
        <x:v>0</x:v>
      </x:c>
      <x:c r="M618" s="87" t="n">
        <x:f>0</x:f>
        <x:v>0</x:v>
      </x:c>
      <x:c r="N618" s="87" t="n">
        <x:f>H618+K618+M618</x:f>
        <x:v>2124</x:v>
      </x:c>
      <x:c r="O618" s="87" t="n">
        <x:f>N618*'01 Base Costs'!$B$7+L618</x:f>
        <x:v>10216440000</x:v>
      </x:c>
      <x:c r="P618" s="87" t="n">
        <x:f>D618*E618</x:f>
        <x:v>6</x:v>
      </x:c>
      <x:c r="Q618" s="87" t="n">
        <x:f>P618*'01 Base Costs'!$B$12</x:f>
        <x:v>11664000</x:v>
      </x:c>
      <x:c r="R618" s="87" t="n">
        <x:f>0</x:f>
        <x:v>0</x:v>
      </x:c>
      <x:c r="S618" s="87" t="n">
        <x:f>Q618+R618</x:f>
        <x:v>11664000</x:v>
      </x:c>
      <x:c r="T618" s="141" t="n">
        <x:f>S618/'01 Base Costs'!$B$14</x:f>
        <x:v>23.328</x:v>
      </x:c>
      <x:c r="U618" s="87" t="n">
        <x:f>INT(T618)</x:f>
        <x:v>23</x:v>
      </x:c>
      <x:c r="V618" s="87" t="n">
        <x:f>S618-U618*'01 Base Costs'!$B$14</x:f>
        <x:v>164000</x:v>
      </x:c>
      <x:c r="W618" s="120" t="n">
        <x:f>'01 Base Costs'!$B$20/50</x:f>
        <x:v>112</x:v>
      </x:c>
      <x:c r="X618" s="120" t="n">
        <x:f>0</x:f>
        <x:v>0</x:v>
      </x:c>
      <x:c r="Y618" s="87" t="n">
        <x:f>T618*(W618*'01 Base Costs'!$B$7+X618)</x:f>
        <x:v>12567260160</x:v>
      </x:c>
      <x:c r="Z618" s="87" t="n">
        <x:f>T618*'01 Base Costs'!$B$8</x:f>
        <x:v>17563651200</x:v>
      </x:c>
      <x:c r="AA618" s="87" t="n">
        <x:f>Z618*'01 Base Costs'!$B$11</x:f>
        <x:v>878182560</x:v>
      </x:c>
      <x:c r="AB618" s="87" t="n">
        <x:f>Z618-AA618</x:f>
        <x:v>16685468640</x:v>
      </x:c>
      <x:c r="AC618" s="87" t="n">
        <x:f>O618+Y618</x:f>
        <x:v>22783700160</x:v>
      </x:c>
      <x:c r="AD618" s="87" t="n">
        <x:f>AB618-AC618</x:f>
        <x:v>-6098231520</x:v>
      </x:c>
      <x:c r="AE618" s="87" t="n">
        <x:f>AD618/D618</x:f>
        <x:v>-2032743840</x:v>
      </x:c>
      <x:c r="AF618" s="87" t="n">
        <x:f>AD618/P618</x:f>
        <x:v>-1016371920</x:v>
      </x:c>
      <x:c r="AG618" s="87" t="n">
        <x:f>IF(T618=0,0,AC618/T618/(1-'01 Base Costs'!$B$11))</x:f>
        <x:v>1028071085.120208</x:v>
      </x:c>
      <x:c r="AH618" s="88" t="str">
        <x:f>IF(AD618&gt;0,"PROFIT","LOSS")</x:f>
        <x:v>LOSS</x:v>
      </x:c>
      <x:c r="AI618" s="89" t="str">
        <x:v>Capsuleer Day XXIIII event from screenshot. MCT sale 20% off. Base 50-pack average.</x:v>
      </x:c>
    </x:row>
    <x:row r="619">
      <x:c r="A619" s="86" t="n">
        <x:v>617</x:v>
      </x:c>
      <x:c r="B619" s="88" t="str">
        <x:v>Sale/Event</x:v>
      </x:c>
      <x:c r="C619" s="88" t="str">
        <x:v>Capsuleer Day 3M Omega + 2 skins</x:v>
      </x:c>
      <x:c r="D619" s="88" t="n">
        <x:v>3</x:v>
      </x:c>
      <x:c r="E619" s="88" t="n">
        <x:v>2</x:v>
      </x:c>
      <x:c r="F619" s="88" t="str">
        <x:v>NES MCT 20% sale</x:v>
      </x:c>
      <x:c r="G619" s="88" t="str">
        <x:v>NES 3-for-2 extractor sale</x:v>
      </x:c>
      <x:c r="H619" s="87" t="n">
        <x:f>'01 Base Costs'!$B$27</x:f>
        <x:v>960</x:v>
      </x:c>
      <x:c r="I619" s="87" t="n">
        <x:f>'01 Base Costs'!$B$16*0.8</x:f>
        <x:v>388</x:v>
      </x:c>
      <x:c r="J619" s="87" t="n">
        <x:f>0</x:f>
        <x:v>0</x:v>
      </x:c>
      <x:c r="K619" s="87" t="n">
        <x:f>D619*(E619-1)*I619</x:f>
        <x:v>1164</x:v>
      </x:c>
      <x:c r="L619" s="87" t="n">
        <x:f>D619*(E619-1)*J619</x:f>
        <x:v>0</x:v>
      </x:c>
      <x:c r="M619" s="87" t="n">
        <x:f>0</x:f>
        <x:v>0</x:v>
      </x:c>
      <x:c r="N619" s="87" t="n">
        <x:f>H619+K619+M619</x:f>
        <x:v>2124</x:v>
      </x:c>
      <x:c r="O619" s="87" t="n">
        <x:f>N619*'01 Base Costs'!$B$7+L619</x:f>
        <x:v>10216440000</x:v>
      </x:c>
      <x:c r="P619" s="87" t="n">
        <x:f>D619*E619</x:f>
        <x:v>6</x:v>
      </x:c>
      <x:c r="Q619" s="87" t="n">
        <x:f>P619*'01 Base Costs'!$B$12</x:f>
        <x:v>11664000</x:v>
      </x:c>
      <x:c r="R619" s="87" t="n">
        <x:f>0</x:f>
        <x:v>0</x:v>
      </x:c>
      <x:c r="S619" s="87" t="n">
        <x:f>Q619+R619</x:f>
        <x:v>11664000</x:v>
      </x:c>
      <x:c r="T619" s="141" t="n">
        <x:f>S619/'01 Base Costs'!$B$14</x:f>
        <x:v>23.328</x:v>
      </x:c>
      <x:c r="U619" s="87" t="n">
        <x:f>INT(T619)</x:f>
        <x:v>23</x:v>
      </x:c>
      <x:c r="V619" s="87" t="n">
        <x:f>S619-U619*'01 Base Costs'!$B$14</x:f>
        <x:v>164000</x:v>
      </x:c>
      <x:c r="W619" s="120" t="n">
        <x:f>'01 Base Costs'!$B$17*2/3</x:f>
        <x:v>93.33333333333333</x:v>
      </x:c>
      <x:c r="X619" s="120" t="n">
        <x:f>0</x:f>
        <x:v>0</x:v>
      </x:c>
      <x:c r="Y619" s="87" t="n">
        <x:f>T619*(W619*'01 Base Costs'!$B$7+X619)</x:f>
        <x:v>10472716800</x:v>
      </x:c>
      <x:c r="Z619" s="87" t="n">
        <x:f>T619*'01 Base Costs'!$B$8</x:f>
        <x:v>17563651200</x:v>
      </x:c>
      <x:c r="AA619" s="87" t="n">
        <x:f>Z619*'01 Base Costs'!$B$11</x:f>
        <x:v>878182560</x:v>
      </x:c>
      <x:c r="AB619" s="87" t="n">
        <x:f>Z619-AA619</x:f>
        <x:v>16685468640</x:v>
      </x:c>
      <x:c r="AC619" s="87" t="n">
        <x:f>O619+Y619</x:f>
        <x:v>20689156800</x:v>
      </x:c>
      <x:c r="AD619" s="87" t="n">
        <x:f>AB619-AC619</x:f>
        <x:v>-4003688160</x:v>
      </x:c>
      <x:c r="AE619" s="87" t="n">
        <x:f>AD619/D619</x:f>
        <x:v>-1334562720</x:v>
      </x:c>
      <x:c r="AF619" s="87" t="n">
        <x:f>AD619/P619</x:f>
        <x:v>-667281360</x:v>
      </x:c>
      <x:c r="AG619" s="87" t="n">
        <x:f>IF(T619=0,0,AC619/T619/(1-'01 Base Costs'!$B$11))</x:f>
        <x:v>933558804.4184536</x:v>
      </x:c>
      <x:c r="AH619" s="88" t="str">
        <x:f>IF(AD619&gt;0,"PROFIT","LOSS")</x:f>
        <x:v>LOSS</x:v>
      </x:c>
      <x:c r="AI619" s="89" t="str">
        <x:v>Capsuleer Day XXIIII event from screenshot. MCT sale 20% off. Extractor 3-for-2 sale.</x:v>
      </x:c>
    </x:row>
    <x:row r="620">
      <x:c r="A620" s="86" t="n">
        <x:v>618</x:v>
      </x:c>
      <x:c r="B620" s="88" t="str">
        <x:v>Sale/Event</x:v>
      </x:c>
      <x:c r="C620" s="88" t="str">
        <x:v>Capsuleer Day 3M Omega + 2 skins</x:v>
      </x:c>
      <x:c r="D620" s="88" t="n">
        <x:v>3</x:v>
      </x:c>
      <x:c r="E620" s="88" t="n">
        <x:v>2</x:v>
      </x:c>
      <x:c r="F620" s="88" t="str">
        <x:v>NES MCT 20% sale</x:v>
      </x:c>
      <x:c r="G620" s="88" t="str">
        <x:v>NES 2-for-1 extractor sale</x:v>
      </x:c>
      <x:c r="H620" s="87" t="n">
        <x:f>'01 Base Costs'!$B$27</x:f>
        <x:v>960</x:v>
      </x:c>
      <x:c r="I620" s="87" t="n">
        <x:f>'01 Base Costs'!$B$16*0.8</x:f>
        <x:v>388</x:v>
      </x:c>
      <x:c r="J620" s="87" t="n">
        <x:f>0</x:f>
        <x:v>0</x:v>
      </x:c>
      <x:c r="K620" s="87" t="n">
        <x:f>D620*(E620-1)*I620</x:f>
        <x:v>1164</x:v>
      </x:c>
      <x:c r="L620" s="87" t="n">
        <x:f>D620*(E620-1)*J620</x:f>
        <x:v>0</x:v>
      </x:c>
      <x:c r="M620" s="87" t="n">
        <x:f>0</x:f>
        <x:v>0</x:v>
      </x:c>
      <x:c r="N620" s="87" t="n">
        <x:f>H620+K620+M620</x:f>
        <x:v>2124</x:v>
      </x:c>
      <x:c r="O620" s="87" t="n">
        <x:f>N620*'01 Base Costs'!$B$7+L620</x:f>
        <x:v>10216440000</x:v>
      </x:c>
      <x:c r="P620" s="87" t="n">
        <x:f>D620*E620</x:f>
        <x:v>6</x:v>
      </x:c>
      <x:c r="Q620" s="87" t="n">
        <x:f>P620*'01 Base Costs'!$B$12</x:f>
        <x:v>11664000</x:v>
      </x:c>
      <x:c r="R620" s="87" t="n">
        <x:f>0</x:f>
        <x:v>0</x:v>
      </x:c>
      <x:c r="S620" s="87" t="n">
        <x:f>Q620+R620</x:f>
        <x:v>11664000</x:v>
      </x:c>
      <x:c r="T620" s="141" t="n">
        <x:f>S620/'01 Base Costs'!$B$14</x:f>
        <x:v>23.328</x:v>
      </x:c>
      <x:c r="U620" s="87" t="n">
        <x:f>INT(T620)</x:f>
        <x:v>23</x:v>
      </x:c>
      <x:c r="V620" s="87" t="n">
        <x:f>S620-U620*'01 Base Costs'!$B$14</x:f>
        <x:v>164000</x:v>
      </x:c>
      <x:c r="W620" s="120" t="n">
        <x:f>'01 Base Costs'!$B$17/2</x:f>
        <x:v>70</x:v>
      </x:c>
      <x:c r="X620" s="120" t="n">
        <x:f>0</x:f>
        <x:v>0</x:v>
      </x:c>
      <x:c r="Y620" s="87" t="n">
        <x:f>T620*(W620*'01 Base Costs'!$B$7+X620)</x:f>
        <x:v>7854537600</x:v>
      </x:c>
      <x:c r="Z620" s="87" t="n">
        <x:f>T620*'01 Base Costs'!$B$8</x:f>
        <x:v>17563651200</x:v>
      </x:c>
      <x:c r="AA620" s="87" t="n">
        <x:f>Z620*'01 Base Costs'!$B$11</x:f>
        <x:v>878182560</x:v>
      </x:c>
      <x:c r="AB620" s="87" t="n">
        <x:f>Z620-AA620</x:f>
        <x:v>16685468640</x:v>
      </x:c>
      <x:c r="AC620" s="87" t="n">
        <x:f>O620+Y620</x:f>
        <x:v>18070977600</x:v>
      </x:c>
      <x:c r="AD620" s="87" t="n">
        <x:f>AB620-AC620</x:f>
        <x:v>-1385508960</x:v>
      </x:c>
      <x:c r="AE620" s="87" t="n">
        <x:f>AD620/D620</x:f>
        <x:v>-461836320</x:v>
      </x:c>
      <x:c r="AF620" s="87" t="n">
        <x:f>AD620/P620</x:f>
        <x:v>-230918160</x:v>
      </x:c>
      <x:c r="AG620" s="87" t="n">
        <x:f>IF(T620=0,0,AC620/T620/(1-'01 Base Costs'!$B$11))</x:f>
        <x:v>815418453.5412606</x:v>
      </x:c>
      <x:c r="AH620" s="88" t="str">
        <x:f>IF(AD620&gt;0,"PROFIT","LOSS")</x:f>
        <x:v>LOSS</x:v>
      </x:c>
      <x:c r="AI620" s="89" t="str">
        <x:v>Capsuleer Day XXIIII event from screenshot. MCT sale 20% off. Extractor 2-for-1 sale.</x:v>
      </x:c>
    </x:row>
    <x:row r="621">
      <x:c r="A621" s="86" t="n">
        <x:v>619</x:v>
      </x:c>
      <x:c r="B621" s="88" t="str">
        <x:v>Sale/Event</x:v>
      </x:c>
      <x:c r="C621" s="88" t="str">
        <x:v>Capsuleer Day 3M Omega + 2 skins</x:v>
      </x:c>
      <x:c r="D621" s="88" t="n">
        <x:v>3</x:v>
      </x:c>
      <x:c r="E621" s="88" t="n">
        <x:v>2</x:v>
      </x:c>
      <x:c r="F621" s="88" t="str">
        <x:v>NES MCT 20% sale</x:v>
      </x:c>
      <x:c r="G621" s="88" t="str">
        <x:v>NES 10-pack extractor 20% sale</x:v>
      </x:c>
      <x:c r="H621" s="87" t="n">
        <x:f>'01 Base Costs'!$B$27</x:f>
        <x:v>960</x:v>
      </x:c>
      <x:c r="I621" s="87" t="n">
        <x:f>'01 Base Costs'!$B$16*0.8</x:f>
        <x:v>388</x:v>
      </x:c>
      <x:c r="J621" s="87" t="n">
        <x:f>0</x:f>
        <x:v>0</x:v>
      </x:c>
      <x:c r="K621" s="87" t="n">
        <x:f>D621*(E621-1)*I621</x:f>
        <x:v>1164</x:v>
      </x:c>
      <x:c r="L621" s="87" t="n">
        <x:f>D621*(E621-1)*J621</x:f>
        <x:v>0</x:v>
      </x:c>
      <x:c r="M621" s="87" t="n">
        <x:f>0</x:f>
        <x:v>0</x:v>
      </x:c>
      <x:c r="N621" s="87" t="n">
        <x:f>H621+K621+M621</x:f>
        <x:v>2124</x:v>
      </x:c>
      <x:c r="O621" s="87" t="n">
        <x:f>N621*'01 Base Costs'!$B$7+L621</x:f>
        <x:v>10216440000</x:v>
      </x:c>
      <x:c r="P621" s="87" t="n">
        <x:f>D621*E621</x:f>
        <x:v>6</x:v>
      </x:c>
      <x:c r="Q621" s="87" t="n">
        <x:f>P621*'01 Base Costs'!$B$12</x:f>
        <x:v>11664000</x:v>
      </x:c>
      <x:c r="R621" s="87" t="n">
        <x:f>0</x:f>
        <x:v>0</x:v>
      </x:c>
      <x:c r="S621" s="87" t="n">
        <x:f>Q621+R621</x:f>
        <x:v>11664000</x:v>
      </x:c>
      <x:c r="T621" s="141" t="n">
        <x:f>S621/'01 Base Costs'!$B$14</x:f>
        <x:v>23.328</x:v>
      </x:c>
      <x:c r="U621" s="87" t="n">
        <x:f>INT(T621)</x:f>
        <x:v>23</x:v>
      </x:c>
      <x:c r="V621" s="87" t="n">
        <x:f>S621-U621*'01 Base Costs'!$B$14</x:f>
        <x:v>164000</x:v>
      </x:c>
      <x:c r="W621" s="120" t="n">
        <x:f>'01 Base Costs'!$B$19*0.8/10</x:f>
        <x:v>95.2</x:v>
      </x:c>
      <x:c r="X621" s="120" t="n">
        <x:f>0</x:f>
        <x:v>0</x:v>
      </x:c>
      <x:c r="Y621" s="87" t="n">
        <x:f>T621*(W621*'01 Base Costs'!$B$7+X621)</x:f>
        <x:v>10682171136</x:v>
      </x:c>
      <x:c r="Z621" s="87" t="n">
        <x:f>T621*'01 Base Costs'!$B$8</x:f>
        <x:v>17563651200</x:v>
      </x:c>
      <x:c r="AA621" s="87" t="n">
        <x:f>Z621*'01 Base Costs'!$B$11</x:f>
        <x:v>878182560</x:v>
      </x:c>
      <x:c r="AB621" s="87" t="n">
        <x:f>Z621-AA621</x:f>
        <x:v>16685468640</x:v>
      </x:c>
      <x:c r="AC621" s="87" t="n">
        <x:f>O621+Y621</x:f>
        <x:v>20898611136</x:v>
      </x:c>
      <x:c r="AD621" s="87" t="n">
        <x:f>AB621-AC621</x:f>
        <x:v>-4213142496</x:v>
      </x:c>
      <x:c r="AE621" s="87" t="n">
        <x:f>AD621/D621</x:f>
        <x:v>-1404380832</x:v>
      </x:c>
      <x:c r="AF621" s="87" t="n">
        <x:f>AD621/P621</x:f>
        <x:v>-702190416</x:v>
      </x:c>
      <x:c r="AG621" s="87" t="n">
        <x:f>IF(T621=0,0,AC621/T621/(1-'01 Base Costs'!$B$11))</x:f>
        <x:v>943010032.4886291</x:v>
      </x:c>
      <x:c r="AH621" s="88" t="str">
        <x:f>IF(AD621&gt;0,"PROFIT","LOSS")</x:f>
        <x:v>LOSS</x:v>
      </x:c>
      <x:c r="AI621" s="89" t="str">
        <x:v>Capsuleer Day XXIIII event from screenshot. MCT sale 20% off. 10-pack at 20% off.</x:v>
      </x:c>
    </x:row>
    <x:row r="622">
      <x:c r="A622" s="86" t="n">
        <x:v>620</x:v>
      </x:c>
      <x:c r="B622" s="88" t="str">
        <x:v>Sale/Event</x:v>
      </x:c>
      <x:c r="C622" s="88" t="str">
        <x:v>Capsuleer Day 3M Omega + 2 skins</x:v>
      </x:c>
      <x:c r="D622" s="88" t="n">
        <x:v>3</x:v>
      </x:c>
      <x:c r="E622" s="88" t="n">
        <x:v>2</x:v>
      </x:c>
      <x:c r="F622" s="88" t="str">
        <x:v>NES MCT 20% sale</x:v>
      </x:c>
      <x:c r="G622" s="88" t="str">
        <x:v>NES 50-pack extractor 20% sale</x:v>
      </x:c>
      <x:c r="H622" s="87" t="n">
        <x:f>'01 Base Costs'!$B$27</x:f>
        <x:v>960</x:v>
      </x:c>
      <x:c r="I622" s="87" t="n">
        <x:f>'01 Base Costs'!$B$16*0.8</x:f>
        <x:v>388</x:v>
      </x:c>
      <x:c r="J622" s="87" t="n">
        <x:f>0</x:f>
        <x:v>0</x:v>
      </x:c>
      <x:c r="K622" s="87" t="n">
        <x:f>D622*(E622-1)*I622</x:f>
        <x:v>1164</x:v>
      </x:c>
      <x:c r="L622" s="87" t="n">
        <x:f>D622*(E622-1)*J622</x:f>
        <x:v>0</x:v>
      </x:c>
      <x:c r="M622" s="87" t="n">
        <x:f>0</x:f>
        <x:v>0</x:v>
      </x:c>
      <x:c r="N622" s="87" t="n">
        <x:f>H622+K622+M622</x:f>
        <x:v>2124</x:v>
      </x:c>
      <x:c r="O622" s="87" t="n">
        <x:f>N622*'01 Base Costs'!$B$7+L622</x:f>
        <x:v>10216440000</x:v>
      </x:c>
      <x:c r="P622" s="87" t="n">
        <x:f>D622*E622</x:f>
        <x:v>6</x:v>
      </x:c>
      <x:c r="Q622" s="87" t="n">
        <x:f>P622*'01 Base Costs'!$B$12</x:f>
        <x:v>11664000</x:v>
      </x:c>
      <x:c r="R622" s="87" t="n">
        <x:f>0</x:f>
        <x:v>0</x:v>
      </x:c>
      <x:c r="S622" s="87" t="n">
        <x:f>Q622+R622</x:f>
        <x:v>11664000</x:v>
      </x:c>
      <x:c r="T622" s="141" t="n">
        <x:f>S622/'01 Base Costs'!$B$14</x:f>
        <x:v>23.328</x:v>
      </x:c>
      <x:c r="U622" s="87" t="n">
        <x:f>INT(T622)</x:f>
        <x:v>23</x:v>
      </x:c>
      <x:c r="V622" s="87" t="n">
        <x:f>S622-U622*'01 Base Costs'!$B$14</x:f>
        <x:v>164000</x:v>
      </x:c>
      <x:c r="W622" s="120" t="n">
        <x:f>'01 Base Costs'!$B$20*0.8/50</x:f>
        <x:v>89.6</x:v>
      </x:c>
      <x:c r="X622" s="120" t="n">
        <x:f>0</x:f>
        <x:v>0</x:v>
      </x:c>
      <x:c r="Y622" s="87" t="n">
        <x:f>T622*(W622*'01 Base Costs'!$B$7+X622)</x:f>
        <x:v>10053808128</x:v>
      </x:c>
      <x:c r="Z622" s="87" t="n">
        <x:f>T622*'01 Base Costs'!$B$8</x:f>
        <x:v>17563651200</x:v>
      </x:c>
      <x:c r="AA622" s="87" t="n">
        <x:f>Z622*'01 Base Costs'!$B$11</x:f>
        <x:v>878182560</x:v>
      </x:c>
      <x:c r="AB622" s="87" t="n">
        <x:f>Z622-AA622</x:f>
        <x:v>16685468640</x:v>
      </x:c>
      <x:c r="AC622" s="87" t="n">
        <x:f>O622+Y622</x:f>
        <x:v>20270248128</x:v>
      </x:c>
      <x:c r="AD622" s="87" t="n">
        <x:f>AB622-AC622</x:f>
        <x:v>-3584779488</x:v>
      </x:c>
      <x:c r="AE622" s="87" t="n">
        <x:f>AD622/D622</x:f>
        <x:v>-1194926496</x:v>
      </x:c>
      <x:c r="AF622" s="87" t="n">
        <x:f>AD622/P622</x:f>
        <x:v>-597463248</x:v>
      </x:c>
      <x:c r="AG622" s="87" t="n">
        <x:f>IF(T622=0,0,AC622/T622/(1-'01 Base Costs'!$B$11))</x:f>
        <x:v>914656348.2781028</x:v>
      </x:c>
      <x:c r="AH622" s="88" t="str">
        <x:f>IF(AD622&gt;0,"PROFIT","LOSS")</x:f>
        <x:v>LOSS</x:v>
      </x:c>
      <x:c r="AI622" s="89" t="str">
        <x:v>Capsuleer Day XXIIII event from screenshot. MCT sale 20% off. 50-pack at 20% off.</x:v>
      </x:c>
    </x:row>
    <x:row r="623">
      <x:c r="A623" s="86" t="n">
        <x:v>621</x:v>
      </x:c>
      <x:c r="B623" s="88" t="str">
        <x:v>Sale/Event</x:v>
      </x:c>
      <x:c r="C623" s="88" t="str">
        <x:v>Capsuleer Day 3M Omega + 2 skins</x:v>
      </x:c>
      <x:c r="D623" s="88" t="n">
        <x:v>3</x:v>
      </x:c>
      <x:c r="E623" s="88" t="n">
        <x:v>2</x:v>
      </x:c>
      <x:c r="F623" s="88" t="str">
        <x:v>NES MCT 20% sale</x:v>
      </x:c>
      <x:c r="G623" s="88" t="str">
        <x:v>Market Skill Extractor</x:v>
      </x:c>
      <x:c r="H623" s="87" t="n">
        <x:f>'01 Base Costs'!$B$27</x:f>
        <x:v>960</x:v>
      </x:c>
      <x:c r="I623" s="87" t="n">
        <x:f>'01 Base Costs'!$B$16*0.8</x:f>
        <x:v>388</x:v>
      </x:c>
      <x:c r="J623" s="87" t="n">
        <x:f>0</x:f>
        <x:v>0</x:v>
      </x:c>
      <x:c r="K623" s="87" t="n">
        <x:f>D623*(E623-1)*I623</x:f>
        <x:v>1164</x:v>
      </x:c>
      <x:c r="L623" s="87" t="n">
        <x:f>D623*(E623-1)*J623</x:f>
        <x:v>0</x:v>
      </x:c>
      <x:c r="M623" s="87" t="n">
        <x:f>0</x:f>
        <x:v>0</x:v>
      </x:c>
      <x:c r="N623" s="87" t="n">
        <x:f>H623+K623+M623</x:f>
        <x:v>2124</x:v>
      </x:c>
      <x:c r="O623" s="87" t="n">
        <x:f>N623*'01 Base Costs'!$B$7+L623</x:f>
        <x:v>10216440000</x:v>
      </x:c>
      <x:c r="P623" s="87" t="n">
        <x:f>D623*E623</x:f>
        <x:v>6</x:v>
      </x:c>
      <x:c r="Q623" s="87" t="n">
        <x:f>P623*'01 Base Costs'!$B$12</x:f>
        <x:v>11664000</x:v>
      </x:c>
      <x:c r="R623" s="87" t="n">
        <x:f>0</x:f>
        <x:v>0</x:v>
      </x:c>
      <x:c r="S623" s="87" t="n">
        <x:f>Q623+R623</x:f>
        <x:v>11664000</x:v>
      </x:c>
      <x:c r="T623" s="141" t="n">
        <x:f>S623/'01 Base Costs'!$B$14</x:f>
        <x:v>23.328</x:v>
      </x:c>
      <x:c r="U623" s="87" t="n">
        <x:f>INT(T623)</x:f>
        <x:v>23</x:v>
      </x:c>
      <x:c r="V623" s="87" t="n">
        <x:f>S623-U623*'01 Base Costs'!$B$14</x:f>
        <x:v>164000</x:v>
      </x:c>
      <x:c r="W623" s="120" t="n">
        <x:f>0</x:f>
        <x:v>0</x:v>
      </x:c>
      <x:c r="X623" s="120" t="n">
        <x:f>'01 Base Costs'!$B$9</x:f>
        <x:v>463500000</x:v>
      </x:c>
      <x:c r="Y623" s="87" t="n">
        <x:f>T623*(W623*'01 Base Costs'!$B$7+X623)</x:f>
        <x:v>10812528000</x:v>
      </x:c>
      <x:c r="Z623" s="87" t="n">
        <x:f>T623*'01 Base Costs'!$B$8</x:f>
        <x:v>17563651200</x:v>
      </x:c>
      <x:c r="AA623" s="87" t="n">
        <x:f>Z623*'01 Base Costs'!$B$11</x:f>
        <x:v>878182560</x:v>
      </x:c>
      <x:c r="AB623" s="87" t="n">
        <x:f>Z623-AA623</x:f>
        <x:v>16685468640</x:v>
      </x:c>
      <x:c r="AC623" s="87" t="n">
        <x:f>O623+Y623</x:f>
        <x:v>21028968000</x:v>
      </x:c>
      <x:c r="AD623" s="87" t="n">
        <x:f>AB623-AC623</x:f>
        <x:v>-4343499360</x:v>
      </x:c>
      <x:c r="AE623" s="87" t="n">
        <x:f>AD623/D623</x:f>
        <x:v>-1447833120</x:v>
      </x:c>
      <x:c r="AF623" s="87" t="n">
        <x:f>AD623/P623</x:f>
        <x:v>-723916560</x:v>
      </x:c>
      <x:c r="AG623" s="87" t="n">
        <x:f>IF(T623=0,0,AC623/T623/(1-'01 Base Costs'!$B$11))</x:f>
        <x:v>948892137.751787</x:v>
      </x:c>
      <x:c r="AH623" s="88" t="str">
        <x:f>IF(AD623&gt;0,"PROFIT","LOSS")</x:f>
        <x:v>LOSS</x:v>
      </x:c>
      <x:c r="AI623" s="89" t="str">
        <x:v>Capsuleer Day XXIIII event from screenshot. MCT sale 20% off. Extractor bought on market with ISK.</x:v>
      </x:c>
    </x:row>
    <x:row r="624">
      <x:c r="A624" s="86" t="n">
        <x:v>622</x:v>
      </x:c>
      <x:c r="B624" s="88" t="str">
        <x:v>Sale/Event</x:v>
      </x:c>
      <x:c r="C624" s="88" t="str">
        <x:v>Capsuleer Day 3M Omega + 2 skins</x:v>
      </x:c>
      <x:c r="D624" s="88" t="n">
        <x:v>3</x:v>
      </x:c>
      <x:c r="E624" s="88" t="n">
        <x:v>2</x:v>
      </x:c>
      <x:c r="F624" s="88" t="str">
        <x:v>NES MCT 30% sale</x:v>
      </x:c>
      <x:c r="G624" s="88" t="str">
        <x:v>NES single extractor</x:v>
      </x:c>
      <x:c r="H624" s="87" t="n">
        <x:f>'01 Base Costs'!$B$27</x:f>
        <x:v>960</x:v>
      </x:c>
      <x:c r="I624" s="87" t="n">
        <x:f>'01 Base Costs'!$B$16*0.7</x:f>
        <x:v>339.5</x:v>
      </x:c>
      <x:c r="J624" s="87" t="n">
        <x:f>0</x:f>
        <x:v>0</x:v>
      </x:c>
      <x:c r="K624" s="87" t="n">
        <x:f>D624*(E624-1)*I624</x:f>
        <x:v>1018.5</x:v>
      </x:c>
      <x:c r="L624" s="87" t="n">
        <x:f>D624*(E624-1)*J624</x:f>
        <x:v>0</x:v>
      </x:c>
      <x:c r="M624" s="87" t="n">
        <x:f>0</x:f>
        <x:v>0</x:v>
      </x:c>
      <x:c r="N624" s="87" t="n">
        <x:f>H624+K624+M624</x:f>
        <x:v>1978.5</x:v>
      </x:c>
      <x:c r="O624" s="87" t="n">
        <x:f>N624*'01 Base Costs'!$B$7+L624</x:f>
        <x:v>9516585000</x:v>
      </x:c>
      <x:c r="P624" s="87" t="n">
        <x:f>D624*E624</x:f>
        <x:v>6</x:v>
      </x:c>
      <x:c r="Q624" s="87" t="n">
        <x:f>P624*'01 Base Costs'!$B$12</x:f>
        <x:v>11664000</x:v>
      </x:c>
      <x:c r="R624" s="87" t="n">
        <x:f>0</x:f>
        <x:v>0</x:v>
      </x:c>
      <x:c r="S624" s="87" t="n">
        <x:f>Q624+R624</x:f>
        <x:v>11664000</x:v>
      </x:c>
      <x:c r="T624" s="141" t="n">
        <x:f>S624/'01 Base Costs'!$B$14</x:f>
        <x:v>23.328</x:v>
      </x:c>
      <x:c r="U624" s="87" t="n">
        <x:f>INT(T624)</x:f>
        <x:v>23</x:v>
      </x:c>
      <x:c r="V624" s="87" t="n">
        <x:f>S624-U624*'01 Base Costs'!$B$14</x:f>
        <x:v>164000</x:v>
      </x:c>
      <x:c r="W624" s="120" t="n">
        <x:f>'01 Base Costs'!$B$17</x:f>
        <x:v>140</x:v>
      </x:c>
      <x:c r="X624" s="120" t="n">
        <x:f>0</x:f>
        <x:v>0</x:v>
      </x:c>
      <x:c r="Y624" s="87" t="n">
        <x:f>T624*(W624*'01 Base Costs'!$B$7+X624)</x:f>
        <x:v>15709075200</x:v>
      </x:c>
      <x:c r="Z624" s="87" t="n">
        <x:f>T624*'01 Base Costs'!$B$8</x:f>
        <x:v>17563651200</x:v>
      </x:c>
      <x:c r="AA624" s="87" t="n">
        <x:f>Z624*'01 Base Costs'!$B$11</x:f>
        <x:v>878182560</x:v>
      </x:c>
      <x:c r="AB624" s="87" t="n">
        <x:f>Z624-AA624</x:f>
        <x:v>16685468640</x:v>
      </x:c>
      <x:c r="AC624" s="87" t="n">
        <x:f>O624+Y624</x:f>
        <x:v>25225660200</x:v>
      </x:c>
      <x:c r="AD624" s="87" t="n">
        <x:f>AB624-AC624</x:f>
        <x:v>-8540191560</x:v>
      </x:c>
      <x:c r="AE624" s="87" t="n">
        <x:f>AD624/D624</x:f>
        <x:v>-2846730520</x:v>
      </x:c>
      <x:c r="AF624" s="87" t="n">
        <x:f>AD624/P624</x:f>
        <x:v>-1423365260</x:v>
      </x:c>
      <x:c r="AG624" s="87" t="n">
        <x:f>IF(T624=0,0,AC624/T624/(1-'01 Base Costs'!$B$11))</x:f>
        <x:v>1138259881.9579816</x:v>
      </x:c>
      <x:c r="AH624" s="88" t="str">
        <x:f>IF(AD624&gt;0,"PROFIT","LOSS")</x:f>
        <x:v>LOSS</x:v>
      </x:c>
      <x:c r="AI624" s="89" t="str">
        <x:v>Capsuleer Day XXIIII event from screenshot. MCT sale 30% off. Base single extractor.</x:v>
      </x:c>
    </x:row>
    <x:row r="625">
      <x:c r="A625" s="86" t="n">
        <x:v>623</x:v>
      </x:c>
      <x:c r="B625" s="88" t="str">
        <x:v>Sale/Event</x:v>
      </x:c>
      <x:c r="C625" s="88" t="str">
        <x:v>Capsuleer Day 3M Omega + 2 skins</x:v>
      </x:c>
      <x:c r="D625" s="88" t="n">
        <x:v>3</x:v>
      </x:c>
      <x:c r="E625" s="88" t="n">
        <x:v>2</x:v>
      </x:c>
      <x:c r="F625" s="88" t="str">
        <x:v>NES MCT 30% sale</x:v>
      </x:c>
      <x:c r="G625" s="88" t="str">
        <x:v>NES 5-pack extractor</x:v>
      </x:c>
      <x:c r="H625" s="87" t="n">
        <x:f>'01 Base Costs'!$B$27</x:f>
        <x:v>960</x:v>
      </x:c>
      <x:c r="I625" s="87" t="n">
        <x:f>'01 Base Costs'!$B$16*0.7</x:f>
        <x:v>339.5</x:v>
      </x:c>
      <x:c r="J625" s="87" t="n">
        <x:f>0</x:f>
        <x:v>0</x:v>
      </x:c>
      <x:c r="K625" s="87" t="n">
        <x:f>D625*(E625-1)*I625</x:f>
        <x:v>1018.5</x:v>
      </x:c>
      <x:c r="L625" s="87" t="n">
        <x:f>D625*(E625-1)*J625</x:f>
        <x:v>0</x:v>
      </x:c>
      <x:c r="M625" s="87" t="n">
        <x:f>0</x:f>
        <x:v>0</x:v>
      </x:c>
      <x:c r="N625" s="87" t="n">
        <x:f>H625+K625+M625</x:f>
        <x:v>1978.5</x:v>
      </x:c>
      <x:c r="O625" s="87" t="n">
        <x:f>N625*'01 Base Costs'!$B$7+L625</x:f>
        <x:v>9516585000</x:v>
      </x:c>
      <x:c r="P625" s="87" t="n">
        <x:f>D625*E625</x:f>
        <x:v>6</x:v>
      </x:c>
      <x:c r="Q625" s="87" t="n">
        <x:f>P625*'01 Base Costs'!$B$12</x:f>
        <x:v>11664000</x:v>
      </x:c>
      <x:c r="R625" s="87" t="n">
        <x:f>0</x:f>
        <x:v>0</x:v>
      </x:c>
      <x:c r="S625" s="87" t="n">
        <x:f>Q625+R625</x:f>
        <x:v>11664000</x:v>
      </x:c>
      <x:c r="T625" s="141" t="n">
        <x:f>S625/'01 Base Costs'!$B$14</x:f>
        <x:v>23.328</x:v>
      </x:c>
      <x:c r="U625" s="87" t="n">
        <x:f>INT(T625)</x:f>
        <x:v>23</x:v>
      </x:c>
      <x:c r="V625" s="87" t="n">
        <x:f>S625-U625*'01 Base Costs'!$B$14</x:f>
        <x:v>164000</x:v>
      </x:c>
      <x:c r="W625" s="120" t="n">
        <x:f>'01 Base Costs'!$B$18/5</x:f>
        <x:v>126</x:v>
      </x:c>
      <x:c r="X625" s="120" t="n">
        <x:f>0</x:f>
        <x:v>0</x:v>
      </x:c>
      <x:c r="Y625" s="87" t="n">
        <x:f>T625*(W625*'01 Base Costs'!$B$7+X625)</x:f>
        <x:v>14138167680</x:v>
      </x:c>
      <x:c r="Z625" s="87" t="n">
        <x:f>T625*'01 Base Costs'!$B$8</x:f>
        <x:v>17563651200</x:v>
      </x:c>
      <x:c r="AA625" s="87" t="n">
        <x:f>Z625*'01 Base Costs'!$B$11</x:f>
        <x:v>878182560</x:v>
      </x:c>
      <x:c r="AB625" s="87" t="n">
        <x:f>Z625-AA625</x:f>
        <x:v>16685468640</x:v>
      </x:c>
      <x:c r="AC625" s="87" t="n">
        <x:f>O625+Y625</x:f>
        <x:v>23654752680</x:v>
      </x:c>
      <x:c r="AD625" s="87" t="n">
        <x:f>AB625-AC625</x:f>
        <x:v>-6969284040</x:v>
      </x:c>
      <x:c r="AE625" s="87" t="n">
        <x:f>AD625/D625</x:f>
        <x:v>-2323094680</x:v>
      </x:c>
      <x:c r="AF625" s="87" t="n">
        <x:f>AD625/P625</x:f>
        <x:v>-1161547340</x:v>
      </x:c>
      <x:c r="AG625" s="87" t="n">
        <x:f>IF(T625=0,0,AC625/T625/(1-'01 Base Costs'!$B$11))</x:f>
        <x:v>1067375671.4316658</x:v>
      </x:c>
      <x:c r="AH625" s="88" t="str">
        <x:f>IF(AD625&gt;0,"PROFIT","LOSS")</x:f>
        <x:v>LOSS</x:v>
      </x:c>
      <x:c r="AI625" s="89" t="str">
        <x:v>Capsuleer Day XXIIII event from screenshot. MCT sale 30% off. Base 5-pack average.</x:v>
      </x:c>
    </x:row>
    <x:row r="626">
      <x:c r="A626" s="86" t="n">
        <x:v>624</x:v>
      </x:c>
      <x:c r="B626" s="88" t="str">
        <x:v>Sale/Event</x:v>
      </x:c>
      <x:c r="C626" s="88" t="str">
        <x:v>Capsuleer Day 3M Omega + 2 skins</x:v>
      </x:c>
      <x:c r="D626" s="88" t="n">
        <x:v>3</x:v>
      </x:c>
      <x:c r="E626" s="88" t="n">
        <x:v>2</x:v>
      </x:c>
      <x:c r="F626" s="88" t="str">
        <x:v>NES MCT 30% sale</x:v>
      </x:c>
      <x:c r="G626" s="88" t="str">
        <x:v>NES 10-pack extractor</x:v>
      </x:c>
      <x:c r="H626" s="87" t="n">
        <x:f>'01 Base Costs'!$B$27</x:f>
        <x:v>960</x:v>
      </x:c>
      <x:c r="I626" s="87" t="n">
        <x:f>'01 Base Costs'!$B$16*0.7</x:f>
        <x:v>339.5</x:v>
      </x:c>
      <x:c r="J626" s="87" t="n">
        <x:f>0</x:f>
        <x:v>0</x:v>
      </x:c>
      <x:c r="K626" s="87" t="n">
        <x:f>D626*(E626-1)*I626</x:f>
        <x:v>1018.5</x:v>
      </x:c>
      <x:c r="L626" s="87" t="n">
        <x:f>D626*(E626-1)*J626</x:f>
        <x:v>0</x:v>
      </x:c>
      <x:c r="M626" s="87" t="n">
        <x:f>0</x:f>
        <x:v>0</x:v>
      </x:c>
      <x:c r="N626" s="87" t="n">
        <x:f>H626+K626+M626</x:f>
        <x:v>1978.5</x:v>
      </x:c>
      <x:c r="O626" s="87" t="n">
        <x:f>N626*'01 Base Costs'!$B$7+L626</x:f>
        <x:v>9516585000</x:v>
      </x:c>
      <x:c r="P626" s="87" t="n">
        <x:f>D626*E626</x:f>
        <x:v>6</x:v>
      </x:c>
      <x:c r="Q626" s="87" t="n">
        <x:f>P626*'01 Base Costs'!$B$12</x:f>
        <x:v>11664000</x:v>
      </x:c>
      <x:c r="R626" s="87" t="n">
        <x:f>0</x:f>
        <x:v>0</x:v>
      </x:c>
      <x:c r="S626" s="87" t="n">
        <x:f>Q626+R626</x:f>
        <x:v>11664000</x:v>
      </x:c>
      <x:c r="T626" s="141" t="n">
        <x:f>S626/'01 Base Costs'!$B$14</x:f>
        <x:v>23.328</x:v>
      </x:c>
      <x:c r="U626" s="87" t="n">
        <x:f>INT(T626)</x:f>
        <x:v>23</x:v>
      </x:c>
      <x:c r="V626" s="87" t="n">
        <x:f>S626-U626*'01 Base Costs'!$B$14</x:f>
        <x:v>164000</x:v>
      </x:c>
      <x:c r="W626" s="120" t="n">
        <x:f>'01 Base Costs'!$B$19/10</x:f>
        <x:v>119</x:v>
      </x:c>
      <x:c r="X626" s="120" t="n">
        <x:f>0</x:f>
        <x:v>0</x:v>
      </x:c>
      <x:c r="Y626" s="87" t="n">
        <x:f>T626*(W626*'01 Base Costs'!$B$7+X626)</x:f>
        <x:v>13352713920</x:v>
      </x:c>
      <x:c r="Z626" s="87" t="n">
        <x:f>T626*'01 Base Costs'!$B$8</x:f>
        <x:v>17563651200</x:v>
      </x:c>
      <x:c r="AA626" s="87" t="n">
        <x:f>Z626*'01 Base Costs'!$B$11</x:f>
        <x:v>878182560</x:v>
      </x:c>
      <x:c r="AB626" s="87" t="n">
        <x:f>Z626-AA626</x:f>
        <x:v>16685468640</x:v>
      </x:c>
      <x:c r="AC626" s="87" t="n">
        <x:f>O626+Y626</x:f>
        <x:v>22869298920</x:v>
      </x:c>
      <x:c r="AD626" s="87" t="n">
        <x:f>AB626-AC626</x:f>
        <x:v>-6183830280</x:v>
      </x:c>
      <x:c r="AE626" s="87" t="n">
        <x:f>AD626/D626</x:f>
        <x:v>-2061276760</x:v>
      </x:c>
      <x:c r="AF626" s="87" t="n">
        <x:f>AD626/P626</x:f>
        <x:v>-1030638380</x:v>
      </x:c>
      <x:c r="AG626" s="87" t="n">
        <x:f>IF(T626=0,0,AC626/T626/(1-'01 Base Costs'!$B$11))</x:f>
        <x:v>1031933566.1685078</x:v>
      </x:c>
      <x:c r="AH626" s="88" t="str">
        <x:f>IF(AD626&gt;0,"PROFIT","LOSS")</x:f>
        <x:v>LOSS</x:v>
      </x:c>
      <x:c r="AI626" s="89" t="str">
        <x:v>Capsuleer Day XXIIII event from screenshot. MCT sale 30% off. Base 10-pack average.</x:v>
      </x:c>
    </x:row>
    <x:row r="627">
      <x:c r="A627" s="86" t="n">
        <x:v>625</x:v>
      </x:c>
      <x:c r="B627" s="88" t="str">
        <x:v>Sale/Event</x:v>
      </x:c>
      <x:c r="C627" s="88" t="str">
        <x:v>Capsuleer Day 3M Omega + 2 skins</x:v>
      </x:c>
      <x:c r="D627" s="88" t="n">
        <x:v>3</x:v>
      </x:c>
      <x:c r="E627" s="88" t="n">
        <x:v>2</x:v>
      </x:c>
      <x:c r="F627" s="88" t="str">
        <x:v>NES MCT 30% sale</x:v>
      </x:c>
      <x:c r="G627" s="88" t="str">
        <x:v>NES 50-pack extractor</x:v>
      </x:c>
      <x:c r="H627" s="87" t="n">
        <x:f>'01 Base Costs'!$B$27</x:f>
        <x:v>960</x:v>
      </x:c>
      <x:c r="I627" s="87" t="n">
        <x:f>'01 Base Costs'!$B$16*0.7</x:f>
        <x:v>339.5</x:v>
      </x:c>
      <x:c r="J627" s="87" t="n">
        <x:f>0</x:f>
        <x:v>0</x:v>
      </x:c>
      <x:c r="K627" s="87" t="n">
        <x:f>D627*(E627-1)*I627</x:f>
        <x:v>1018.5</x:v>
      </x:c>
      <x:c r="L627" s="87" t="n">
        <x:f>D627*(E627-1)*J627</x:f>
        <x:v>0</x:v>
      </x:c>
      <x:c r="M627" s="87" t="n">
        <x:f>0</x:f>
        <x:v>0</x:v>
      </x:c>
      <x:c r="N627" s="87" t="n">
        <x:f>H627+K627+M627</x:f>
        <x:v>1978.5</x:v>
      </x:c>
      <x:c r="O627" s="87" t="n">
        <x:f>N627*'01 Base Costs'!$B$7+L627</x:f>
        <x:v>9516585000</x:v>
      </x:c>
      <x:c r="P627" s="87" t="n">
        <x:f>D627*E627</x:f>
        <x:v>6</x:v>
      </x:c>
      <x:c r="Q627" s="87" t="n">
        <x:f>P627*'01 Base Costs'!$B$12</x:f>
        <x:v>11664000</x:v>
      </x:c>
      <x:c r="R627" s="87" t="n">
        <x:f>0</x:f>
        <x:v>0</x:v>
      </x:c>
      <x:c r="S627" s="87" t="n">
        <x:f>Q627+R627</x:f>
        <x:v>11664000</x:v>
      </x:c>
      <x:c r="T627" s="141" t="n">
        <x:f>S627/'01 Base Costs'!$B$14</x:f>
        <x:v>23.328</x:v>
      </x:c>
      <x:c r="U627" s="87" t="n">
        <x:f>INT(T627)</x:f>
        <x:v>23</x:v>
      </x:c>
      <x:c r="V627" s="87" t="n">
        <x:f>S627-U627*'01 Base Costs'!$B$14</x:f>
        <x:v>164000</x:v>
      </x:c>
      <x:c r="W627" s="120" t="n">
        <x:f>'01 Base Costs'!$B$20/50</x:f>
        <x:v>112</x:v>
      </x:c>
      <x:c r="X627" s="120" t="n">
        <x:f>0</x:f>
        <x:v>0</x:v>
      </x:c>
      <x:c r="Y627" s="87" t="n">
        <x:f>T627*(W627*'01 Base Costs'!$B$7+X627)</x:f>
        <x:v>12567260160</x:v>
      </x:c>
      <x:c r="Z627" s="87" t="n">
        <x:f>T627*'01 Base Costs'!$B$8</x:f>
        <x:v>17563651200</x:v>
      </x:c>
      <x:c r="AA627" s="87" t="n">
        <x:f>Z627*'01 Base Costs'!$B$11</x:f>
        <x:v>878182560</x:v>
      </x:c>
      <x:c r="AB627" s="87" t="n">
        <x:f>Z627-AA627</x:f>
        <x:v>16685468640</x:v>
      </x:c>
      <x:c r="AC627" s="87" t="n">
        <x:f>O627+Y627</x:f>
        <x:v>22083845160</x:v>
      </x:c>
      <x:c r="AD627" s="87" t="n">
        <x:f>AB627-AC627</x:f>
        <x:v>-5398376520</x:v>
      </x:c>
      <x:c r="AE627" s="87" t="n">
        <x:f>AD627/D627</x:f>
        <x:v>-1799458840</x:v>
      </x:c>
      <x:c r="AF627" s="87" t="n">
        <x:f>AD627/P627</x:f>
        <x:v>-899729420</x:v>
      </x:c>
      <x:c r="AG627" s="87" t="n">
        <x:f>IF(T627=0,0,AC627/T627/(1-'01 Base Costs'!$B$11))</x:f>
        <x:v>996491460.90535</x:v>
      </x:c>
      <x:c r="AH627" s="88" t="str">
        <x:f>IF(AD627&gt;0,"PROFIT","LOSS")</x:f>
        <x:v>LOSS</x:v>
      </x:c>
      <x:c r="AI627" s="89" t="str">
        <x:v>Capsuleer Day XXIIII event from screenshot. MCT sale 30% off. Base 50-pack average.</x:v>
      </x:c>
    </x:row>
    <x:row r="628">
      <x:c r="A628" s="86" t="n">
        <x:v>626</x:v>
      </x:c>
      <x:c r="B628" s="88" t="str">
        <x:v>Sale/Event</x:v>
      </x:c>
      <x:c r="C628" s="88" t="str">
        <x:v>Capsuleer Day 3M Omega + 2 skins</x:v>
      </x:c>
      <x:c r="D628" s="88" t="n">
        <x:v>3</x:v>
      </x:c>
      <x:c r="E628" s="88" t="n">
        <x:v>2</x:v>
      </x:c>
      <x:c r="F628" s="88" t="str">
        <x:v>NES MCT 30% sale</x:v>
      </x:c>
      <x:c r="G628" s="88" t="str">
        <x:v>NES 3-for-2 extractor sale</x:v>
      </x:c>
      <x:c r="H628" s="87" t="n">
        <x:f>'01 Base Costs'!$B$27</x:f>
        <x:v>960</x:v>
      </x:c>
      <x:c r="I628" s="87" t="n">
        <x:f>'01 Base Costs'!$B$16*0.7</x:f>
        <x:v>339.5</x:v>
      </x:c>
      <x:c r="J628" s="87" t="n">
        <x:f>0</x:f>
        <x:v>0</x:v>
      </x:c>
      <x:c r="K628" s="87" t="n">
        <x:f>D628*(E628-1)*I628</x:f>
        <x:v>1018.5</x:v>
      </x:c>
      <x:c r="L628" s="87" t="n">
        <x:f>D628*(E628-1)*J628</x:f>
        <x:v>0</x:v>
      </x:c>
      <x:c r="M628" s="87" t="n">
        <x:f>0</x:f>
        <x:v>0</x:v>
      </x:c>
      <x:c r="N628" s="87" t="n">
        <x:f>H628+K628+M628</x:f>
        <x:v>1978.5</x:v>
      </x:c>
      <x:c r="O628" s="87" t="n">
        <x:f>N628*'01 Base Costs'!$B$7+L628</x:f>
        <x:v>9516585000</x:v>
      </x:c>
      <x:c r="P628" s="87" t="n">
        <x:f>D628*E628</x:f>
        <x:v>6</x:v>
      </x:c>
      <x:c r="Q628" s="87" t="n">
        <x:f>P628*'01 Base Costs'!$B$12</x:f>
        <x:v>11664000</x:v>
      </x:c>
      <x:c r="R628" s="87" t="n">
        <x:f>0</x:f>
        <x:v>0</x:v>
      </x:c>
      <x:c r="S628" s="87" t="n">
        <x:f>Q628+R628</x:f>
        <x:v>11664000</x:v>
      </x:c>
      <x:c r="T628" s="141" t="n">
        <x:f>S628/'01 Base Costs'!$B$14</x:f>
        <x:v>23.328</x:v>
      </x:c>
      <x:c r="U628" s="87" t="n">
        <x:f>INT(T628)</x:f>
        <x:v>23</x:v>
      </x:c>
      <x:c r="V628" s="87" t="n">
        <x:f>S628-U628*'01 Base Costs'!$B$14</x:f>
        <x:v>164000</x:v>
      </x:c>
      <x:c r="W628" s="120" t="n">
        <x:f>'01 Base Costs'!$B$17*2/3</x:f>
        <x:v>93.33333333333333</x:v>
      </x:c>
      <x:c r="X628" s="120" t="n">
        <x:f>0</x:f>
        <x:v>0</x:v>
      </x:c>
      <x:c r="Y628" s="87" t="n">
        <x:f>T628*(W628*'01 Base Costs'!$B$7+X628)</x:f>
        <x:v>10472716800</x:v>
      </x:c>
      <x:c r="Z628" s="87" t="n">
        <x:f>T628*'01 Base Costs'!$B$8</x:f>
        <x:v>17563651200</x:v>
      </x:c>
      <x:c r="AA628" s="87" t="n">
        <x:f>Z628*'01 Base Costs'!$B$11</x:f>
        <x:v>878182560</x:v>
      </x:c>
      <x:c r="AB628" s="87" t="n">
        <x:f>Z628-AA628</x:f>
        <x:v>16685468640</x:v>
      </x:c>
      <x:c r="AC628" s="87" t="n">
        <x:f>O628+Y628</x:f>
        <x:v>19989301800</x:v>
      </x:c>
      <x:c r="AD628" s="87" t="n">
        <x:f>AB628-AC628</x:f>
        <x:v>-3303833160</x:v>
      </x:c>
      <x:c r="AE628" s="87" t="n">
        <x:f>AD628/D628</x:f>
        <x:v>-1101277720</x:v>
      </x:c>
      <x:c r="AF628" s="87" t="n">
        <x:f>AD628/P628</x:f>
        <x:v>-550638860</x:v>
      </x:c>
      <x:c r="AG628" s="87" t="n">
        <x:f>IF(T628=0,0,AC628/T628/(1-'01 Base Costs'!$B$11))</x:f>
        <x:v>901979180.2035954</x:v>
      </x:c>
      <x:c r="AH628" s="88" t="str">
        <x:f>IF(AD628&gt;0,"PROFIT","LOSS")</x:f>
        <x:v>LOSS</x:v>
      </x:c>
      <x:c r="AI628" s="89" t="str">
        <x:v>Capsuleer Day XXIIII event from screenshot. MCT sale 30% off. Extractor 3-for-2 sale.</x:v>
      </x:c>
    </x:row>
    <x:row r="629">
      <x:c r="A629" s="86" t="n">
        <x:v>627</x:v>
      </x:c>
      <x:c r="B629" s="88" t="str">
        <x:v>Sale/Event</x:v>
      </x:c>
      <x:c r="C629" s="88" t="str">
        <x:v>Capsuleer Day 3M Omega + 2 skins</x:v>
      </x:c>
      <x:c r="D629" s="88" t="n">
        <x:v>3</x:v>
      </x:c>
      <x:c r="E629" s="88" t="n">
        <x:v>2</x:v>
      </x:c>
      <x:c r="F629" s="88" t="str">
        <x:v>NES MCT 30% sale</x:v>
      </x:c>
      <x:c r="G629" s="88" t="str">
        <x:v>NES 2-for-1 extractor sale</x:v>
      </x:c>
      <x:c r="H629" s="87" t="n">
        <x:f>'01 Base Costs'!$B$27</x:f>
        <x:v>960</x:v>
      </x:c>
      <x:c r="I629" s="87" t="n">
        <x:f>'01 Base Costs'!$B$16*0.7</x:f>
        <x:v>339.5</x:v>
      </x:c>
      <x:c r="J629" s="87" t="n">
        <x:f>0</x:f>
        <x:v>0</x:v>
      </x:c>
      <x:c r="K629" s="87" t="n">
        <x:f>D629*(E629-1)*I629</x:f>
        <x:v>1018.5</x:v>
      </x:c>
      <x:c r="L629" s="87" t="n">
        <x:f>D629*(E629-1)*J629</x:f>
        <x:v>0</x:v>
      </x:c>
      <x:c r="M629" s="87" t="n">
        <x:f>0</x:f>
        <x:v>0</x:v>
      </x:c>
      <x:c r="N629" s="87" t="n">
        <x:f>H629+K629+M629</x:f>
        <x:v>1978.5</x:v>
      </x:c>
      <x:c r="O629" s="87" t="n">
        <x:f>N629*'01 Base Costs'!$B$7+L629</x:f>
        <x:v>9516585000</x:v>
      </x:c>
      <x:c r="P629" s="87" t="n">
        <x:f>D629*E629</x:f>
        <x:v>6</x:v>
      </x:c>
      <x:c r="Q629" s="87" t="n">
        <x:f>P629*'01 Base Costs'!$B$12</x:f>
        <x:v>11664000</x:v>
      </x:c>
      <x:c r="R629" s="87" t="n">
        <x:f>0</x:f>
        <x:v>0</x:v>
      </x:c>
      <x:c r="S629" s="87" t="n">
        <x:f>Q629+R629</x:f>
        <x:v>11664000</x:v>
      </x:c>
      <x:c r="T629" s="141" t="n">
        <x:f>S629/'01 Base Costs'!$B$14</x:f>
        <x:v>23.328</x:v>
      </x:c>
      <x:c r="U629" s="87" t="n">
        <x:f>INT(T629)</x:f>
        <x:v>23</x:v>
      </x:c>
      <x:c r="V629" s="87" t="n">
        <x:f>S629-U629*'01 Base Costs'!$B$14</x:f>
        <x:v>164000</x:v>
      </x:c>
      <x:c r="W629" s="120" t="n">
        <x:f>'01 Base Costs'!$B$17/2</x:f>
        <x:v>70</x:v>
      </x:c>
      <x:c r="X629" s="120" t="n">
        <x:f>0</x:f>
        <x:v>0</x:v>
      </x:c>
      <x:c r="Y629" s="87" t="n">
        <x:f>T629*(W629*'01 Base Costs'!$B$7+X629)</x:f>
        <x:v>7854537600</x:v>
      </x:c>
      <x:c r="Z629" s="87" t="n">
        <x:f>T629*'01 Base Costs'!$B$8</x:f>
        <x:v>17563651200</x:v>
      </x:c>
      <x:c r="AA629" s="87" t="n">
        <x:f>Z629*'01 Base Costs'!$B$11</x:f>
        <x:v>878182560</x:v>
      </x:c>
      <x:c r="AB629" s="87" t="n">
        <x:f>Z629-AA629</x:f>
        <x:v>16685468640</x:v>
      </x:c>
      <x:c r="AC629" s="87" t="n">
        <x:f>O629+Y629</x:f>
        <x:v>17371122600</x:v>
      </x:c>
      <x:c r="AD629" s="87" t="n">
        <x:f>AB629-AC629</x:f>
        <x:v>-685653960</x:v>
      </x:c>
      <x:c r="AE629" s="87" t="n">
        <x:f>AD629/D629</x:f>
        <x:v>-228551320</x:v>
      </x:c>
      <x:c r="AF629" s="87" t="n">
        <x:f>AD629/P629</x:f>
        <x:v>-114275660</x:v>
      </x:c>
      <x:c r="AG629" s="87" t="n">
        <x:f>IF(T629=0,0,AC629/T629/(1-'01 Base Costs'!$B$11))</x:f>
        <x:v>783838829.3264024</x:v>
      </x:c>
      <x:c r="AH629" s="88" t="str">
        <x:f>IF(AD629&gt;0,"PROFIT","LOSS")</x:f>
        <x:v>LOSS</x:v>
      </x:c>
      <x:c r="AI629" s="89" t="str">
        <x:v>Capsuleer Day XXIIII event from screenshot. MCT sale 30% off. Extractor 2-for-1 sale.</x:v>
      </x:c>
    </x:row>
    <x:row r="630">
      <x:c r="A630" s="86" t="n">
        <x:v>628</x:v>
      </x:c>
      <x:c r="B630" s="88" t="str">
        <x:v>Sale/Event</x:v>
      </x:c>
      <x:c r="C630" s="88" t="str">
        <x:v>Capsuleer Day 3M Omega + 2 skins</x:v>
      </x:c>
      <x:c r="D630" s="88" t="n">
        <x:v>3</x:v>
      </x:c>
      <x:c r="E630" s="88" t="n">
        <x:v>2</x:v>
      </x:c>
      <x:c r="F630" s="88" t="str">
        <x:v>NES MCT 30% sale</x:v>
      </x:c>
      <x:c r="G630" s="88" t="str">
        <x:v>NES 10-pack extractor 20% sale</x:v>
      </x:c>
      <x:c r="H630" s="87" t="n">
        <x:f>'01 Base Costs'!$B$27</x:f>
        <x:v>960</x:v>
      </x:c>
      <x:c r="I630" s="87" t="n">
        <x:f>'01 Base Costs'!$B$16*0.7</x:f>
        <x:v>339.5</x:v>
      </x:c>
      <x:c r="J630" s="87" t="n">
        <x:f>0</x:f>
        <x:v>0</x:v>
      </x:c>
      <x:c r="K630" s="87" t="n">
        <x:f>D630*(E630-1)*I630</x:f>
        <x:v>1018.5</x:v>
      </x:c>
      <x:c r="L630" s="87" t="n">
        <x:f>D630*(E630-1)*J630</x:f>
        <x:v>0</x:v>
      </x:c>
      <x:c r="M630" s="87" t="n">
        <x:f>0</x:f>
        <x:v>0</x:v>
      </x:c>
      <x:c r="N630" s="87" t="n">
        <x:f>H630+K630+M630</x:f>
        <x:v>1978.5</x:v>
      </x:c>
      <x:c r="O630" s="87" t="n">
        <x:f>N630*'01 Base Costs'!$B$7+L630</x:f>
        <x:v>9516585000</x:v>
      </x:c>
      <x:c r="P630" s="87" t="n">
        <x:f>D630*E630</x:f>
        <x:v>6</x:v>
      </x:c>
      <x:c r="Q630" s="87" t="n">
        <x:f>P630*'01 Base Costs'!$B$12</x:f>
        <x:v>11664000</x:v>
      </x:c>
      <x:c r="R630" s="87" t="n">
        <x:f>0</x:f>
        <x:v>0</x:v>
      </x:c>
      <x:c r="S630" s="87" t="n">
        <x:f>Q630+R630</x:f>
        <x:v>11664000</x:v>
      </x:c>
      <x:c r="T630" s="141" t="n">
        <x:f>S630/'01 Base Costs'!$B$14</x:f>
        <x:v>23.328</x:v>
      </x:c>
      <x:c r="U630" s="87" t="n">
        <x:f>INT(T630)</x:f>
        <x:v>23</x:v>
      </x:c>
      <x:c r="V630" s="87" t="n">
        <x:f>S630-U630*'01 Base Costs'!$B$14</x:f>
        <x:v>164000</x:v>
      </x:c>
      <x:c r="W630" s="120" t="n">
        <x:f>'01 Base Costs'!$B$19*0.8/10</x:f>
        <x:v>95.2</x:v>
      </x:c>
      <x:c r="X630" s="120" t="n">
        <x:f>0</x:f>
        <x:v>0</x:v>
      </x:c>
      <x:c r="Y630" s="87" t="n">
        <x:f>T630*(W630*'01 Base Costs'!$B$7+X630)</x:f>
        <x:v>10682171136</x:v>
      </x:c>
      <x:c r="Z630" s="87" t="n">
        <x:f>T630*'01 Base Costs'!$B$8</x:f>
        <x:v>17563651200</x:v>
      </x:c>
      <x:c r="AA630" s="87" t="n">
        <x:f>Z630*'01 Base Costs'!$B$11</x:f>
        <x:v>878182560</x:v>
      </x:c>
      <x:c r="AB630" s="87" t="n">
        <x:f>Z630-AA630</x:f>
        <x:v>16685468640</x:v>
      </x:c>
      <x:c r="AC630" s="87" t="n">
        <x:f>O630+Y630</x:f>
        <x:v>20198756136</x:v>
      </x:c>
      <x:c r="AD630" s="87" t="n">
        <x:f>AB630-AC630</x:f>
        <x:v>-3513287496</x:v>
      </x:c>
      <x:c r="AE630" s="87" t="n">
        <x:f>AD630/D630</x:f>
        <x:v>-1171095832</x:v>
      </x:c>
      <x:c r="AF630" s="87" t="n">
        <x:f>AD630/P630</x:f>
        <x:v>-585547916</x:v>
      </x:c>
      <x:c r="AG630" s="87" t="n">
        <x:f>IF(T630=0,0,AC630/T630/(1-'01 Base Costs'!$B$11))</x:f>
        <x:v>911430408.2737708</x:v>
      </x:c>
      <x:c r="AH630" s="88" t="str">
        <x:f>IF(AD630&gt;0,"PROFIT","LOSS")</x:f>
        <x:v>LOSS</x:v>
      </x:c>
      <x:c r="AI630" s="89" t="str">
        <x:v>Capsuleer Day XXIIII event from screenshot. MCT sale 30% off. 10-pack at 20% off.</x:v>
      </x:c>
    </x:row>
    <x:row r="631">
      <x:c r="A631" s="86" t="n">
        <x:v>629</x:v>
      </x:c>
      <x:c r="B631" s="88" t="str">
        <x:v>Sale/Event</x:v>
      </x:c>
      <x:c r="C631" s="88" t="str">
        <x:v>Capsuleer Day 3M Omega + 2 skins</x:v>
      </x:c>
      <x:c r="D631" s="88" t="n">
        <x:v>3</x:v>
      </x:c>
      <x:c r="E631" s="88" t="n">
        <x:v>2</x:v>
      </x:c>
      <x:c r="F631" s="88" t="str">
        <x:v>NES MCT 30% sale</x:v>
      </x:c>
      <x:c r="G631" s="88" t="str">
        <x:v>NES 50-pack extractor 20% sale</x:v>
      </x:c>
      <x:c r="H631" s="87" t="n">
        <x:f>'01 Base Costs'!$B$27</x:f>
        <x:v>960</x:v>
      </x:c>
      <x:c r="I631" s="87" t="n">
        <x:f>'01 Base Costs'!$B$16*0.7</x:f>
        <x:v>339.5</x:v>
      </x:c>
      <x:c r="J631" s="87" t="n">
        <x:f>0</x:f>
        <x:v>0</x:v>
      </x:c>
      <x:c r="K631" s="87" t="n">
        <x:f>D631*(E631-1)*I631</x:f>
        <x:v>1018.5</x:v>
      </x:c>
      <x:c r="L631" s="87" t="n">
        <x:f>D631*(E631-1)*J631</x:f>
        <x:v>0</x:v>
      </x:c>
      <x:c r="M631" s="87" t="n">
        <x:f>0</x:f>
        <x:v>0</x:v>
      </x:c>
      <x:c r="N631" s="87" t="n">
        <x:f>H631+K631+M631</x:f>
        <x:v>1978.5</x:v>
      </x:c>
      <x:c r="O631" s="87" t="n">
        <x:f>N631*'01 Base Costs'!$B$7+L631</x:f>
        <x:v>9516585000</x:v>
      </x:c>
      <x:c r="P631" s="87" t="n">
        <x:f>D631*E631</x:f>
        <x:v>6</x:v>
      </x:c>
      <x:c r="Q631" s="87" t="n">
        <x:f>P631*'01 Base Costs'!$B$12</x:f>
        <x:v>11664000</x:v>
      </x:c>
      <x:c r="R631" s="87" t="n">
        <x:f>0</x:f>
        <x:v>0</x:v>
      </x:c>
      <x:c r="S631" s="87" t="n">
        <x:f>Q631+R631</x:f>
        <x:v>11664000</x:v>
      </x:c>
      <x:c r="T631" s="141" t="n">
        <x:f>S631/'01 Base Costs'!$B$14</x:f>
        <x:v>23.328</x:v>
      </x:c>
      <x:c r="U631" s="87" t="n">
        <x:f>INT(T631)</x:f>
        <x:v>23</x:v>
      </x:c>
      <x:c r="V631" s="87" t="n">
        <x:f>S631-U631*'01 Base Costs'!$B$14</x:f>
        <x:v>164000</x:v>
      </x:c>
      <x:c r="W631" s="120" t="n">
        <x:f>'01 Base Costs'!$B$20*0.8/50</x:f>
        <x:v>89.6</x:v>
      </x:c>
      <x:c r="X631" s="120" t="n">
        <x:f>0</x:f>
        <x:v>0</x:v>
      </x:c>
      <x:c r="Y631" s="87" t="n">
        <x:f>T631*(W631*'01 Base Costs'!$B$7+X631)</x:f>
        <x:v>10053808128</x:v>
      </x:c>
      <x:c r="Z631" s="87" t="n">
        <x:f>T631*'01 Base Costs'!$B$8</x:f>
        <x:v>17563651200</x:v>
      </x:c>
      <x:c r="AA631" s="87" t="n">
        <x:f>Z631*'01 Base Costs'!$B$11</x:f>
        <x:v>878182560</x:v>
      </x:c>
      <x:c r="AB631" s="87" t="n">
        <x:f>Z631-AA631</x:f>
        <x:v>16685468640</x:v>
      </x:c>
      <x:c r="AC631" s="87" t="n">
        <x:f>O631+Y631</x:f>
        <x:v>19570393128</x:v>
      </x:c>
      <x:c r="AD631" s="87" t="n">
        <x:f>AB631-AC631</x:f>
        <x:v>-2884924488</x:v>
      </x:c>
      <x:c r="AE631" s="87" t="n">
        <x:f>AD631/D631</x:f>
        <x:v>-961641496</x:v>
      </x:c>
      <x:c r="AF631" s="87" t="n">
        <x:f>AD631/P631</x:f>
        <x:v>-480820748</x:v>
      </x:c>
      <x:c r="AG631" s="87" t="n">
        <x:f>IF(T631=0,0,AC631/T631/(1-'01 Base Costs'!$B$11))</x:f>
        <x:v>883076724.0632446</x:v>
      </x:c>
      <x:c r="AH631" s="88" t="str">
        <x:f>IF(AD631&gt;0,"PROFIT","LOSS")</x:f>
        <x:v>LOSS</x:v>
      </x:c>
      <x:c r="AI631" s="89" t="str">
        <x:v>Capsuleer Day XXIIII event from screenshot. MCT sale 30% off. 50-pack at 20% off.</x:v>
      </x:c>
    </x:row>
    <x:row r="632">
      <x:c r="A632" s="86" t="n">
        <x:v>630</x:v>
      </x:c>
      <x:c r="B632" s="88" t="str">
        <x:v>Sale/Event</x:v>
      </x:c>
      <x:c r="C632" s="88" t="str">
        <x:v>Capsuleer Day 3M Omega + 2 skins</x:v>
      </x:c>
      <x:c r="D632" s="88" t="n">
        <x:v>3</x:v>
      </x:c>
      <x:c r="E632" s="88" t="n">
        <x:v>2</x:v>
      </x:c>
      <x:c r="F632" s="88" t="str">
        <x:v>NES MCT 30% sale</x:v>
      </x:c>
      <x:c r="G632" s="88" t="str">
        <x:v>Market Skill Extractor</x:v>
      </x:c>
      <x:c r="H632" s="87" t="n">
        <x:f>'01 Base Costs'!$B$27</x:f>
        <x:v>960</x:v>
      </x:c>
      <x:c r="I632" s="87" t="n">
        <x:f>'01 Base Costs'!$B$16*0.7</x:f>
        <x:v>339.5</x:v>
      </x:c>
      <x:c r="J632" s="87" t="n">
        <x:f>0</x:f>
        <x:v>0</x:v>
      </x:c>
      <x:c r="K632" s="87" t="n">
        <x:f>D632*(E632-1)*I632</x:f>
        <x:v>1018.5</x:v>
      </x:c>
      <x:c r="L632" s="87" t="n">
        <x:f>D632*(E632-1)*J632</x:f>
        <x:v>0</x:v>
      </x:c>
      <x:c r="M632" s="87" t="n">
        <x:f>0</x:f>
        <x:v>0</x:v>
      </x:c>
      <x:c r="N632" s="87" t="n">
        <x:f>H632+K632+M632</x:f>
        <x:v>1978.5</x:v>
      </x:c>
      <x:c r="O632" s="87" t="n">
        <x:f>N632*'01 Base Costs'!$B$7+L632</x:f>
        <x:v>9516585000</x:v>
      </x:c>
      <x:c r="P632" s="87" t="n">
        <x:f>D632*E632</x:f>
        <x:v>6</x:v>
      </x:c>
      <x:c r="Q632" s="87" t="n">
        <x:f>P632*'01 Base Costs'!$B$12</x:f>
        <x:v>11664000</x:v>
      </x:c>
      <x:c r="R632" s="87" t="n">
        <x:f>0</x:f>
        <x:v>0</x:v>
      </x:c>
      <x:c r="S632" s="87" t="n">
        <x:f>Q632+R632</x:f>
        <x:v>11664000</x:v>
      </x:c>
      <x:c r="T632" s="141" t="n">
        <x:f>S632/'01 Base Costs'!$B$14</x:f>
        <x:v>23.328</x:v>
      </x:c>
      <x:c r="U632" s="87" t="n">
        <x:f>INT(T632)</x:f>
        <x:v>23</x:v>
      </x:c>
      <x:c r="V632" s="87" t="n">
        <x:f>S632-U632*'01 Base Costs'!$B$14</x:f>
        <x:v>164000</x:v>
      </x:c>
      <x:c r="W632" s="120" t="n">
        <x:f>0</x:f>
        <x:v>0</x:v>
      </x:c>
      <x:c r="X632" s="120" t="n">
        <x:f>'01 Base Costs'!$B$9</x:f>
        <x:v>463500000</x:v>
      </x:c>
      <x:c r="Y632" s="87" t="n">
        <x:f>T632*(W632*'01 Base Costs'!$B$7+X632)</x:f>
        <x:v>10812528000</x:v>
      </x:c>
      <x:c r="Z632" s="87" t="n">
        <x:f>T632*'01 Base Costs'!$B$8</x:f>
        <x:v>17563651200</x:v>
      </x:c>
      <x:c r="AA632" s="87" t="n">
        <x:f>Z632*'01 Base Costs'!$B$11</x:f>
        <x:v>878182560</x:v>
      </x:c>
      <x:c r="AB632" s="87" t="n">
        <x:f>Z632-AA632</x:f>
        <x:v>16685468640</x:v>
      </x:c>
      <x:c r="AC632" s="87" t="n">
        <x:f>O632+Y632</x:f>
        <x:v>20329113000</x:v>
      </x:c>
      <x:c r="AD632" s="87" t="n">
        <x:f>AB632-AC632</x:f>
        <x:v>-3643644360</x:v>
      </x:c>
      <x:c r="AE632" s="87" t="n">
        <x:f>AD632/D632</x:f>
        <x:v>-1214548120</x:v>
      </x:c>
      <x:c r="AF632" s="87" t="n">
        <x:f>AD632/P632</x:f>
        <x:v>-607274060</x:v>
      </x:c>
      <x:c r="AG632" s="87" t="n">
        <x:f>IF(T632=0,0,AC632/T632/(1-'01 Base Costs'!$B$11))</x:f>
        <x:v>917312513.5369288</x:v>
      </x:c>
      <x:c r="AH632" s="88" t="str">
        <x:f>IF(AD632&gt;0,"PROFIT","LOSS")</x:f>
        <x:v>LOSS</x:v>
      </x:c>
      <x:c r="AI632" s="89" t="str">
        <x:v>Capsuleer Day XXIIII event from screenshot. MCT sale 30% off. Extractor bought on market with ISK.</x:v>
      </x:c>
    </x:row>
    <x:row r="633">
      <x:c r="A633" s="86" t="n">
        <x:v>631</x:v>
      </x:c>
      <x:c r="B633" s="88" t="str">
        <x:v>Sale/Event</x:v>
      </x:c>
      <x:c r="C633" s="88" t="str">
        <x:v>Capsuleer Day 3M Omega + 2 skins</x:v>
      </x:c>
      <x:c r="D633" s="88" t="n">
        <x:v>3</x:v>
      </x:c>
      <x:c r="E633" s="88" t="n">
        <x:v>2</x:v>
      </x:c>
      <x:c r="F633" s="88" t="str">
        <x:v>NES MCT 40% sale</x:v>
      </x:c>
      <x:c r="G633" s="88" t="str">
        <x:v>NES single extractor</x:v>
      </x:c>
      <x:c r="H633" s="87" t="n">
        <x:f>'01 Base Costs'!$B$27</x:f>
        <x:v>960</x:v>
      </x:c>
      <x:c r="I633" s="87" t="n">
        <x:f>'01 Base Costs'!$B$16*0.6</x:f>
        <x:v>291</x:v>
      </x:c>
      <x:c r="J633" s="87" t="n">
        <x:f>0</x:f>
        <x:v>0</x:v>
      </x:c>
      <x:c r="K633" s="87" t="n">
        <x:f>D633*(E633-1)*I633</x:f>
        <x:v>873</x:v>
      </x:c>
      <x:c r="L633" s="87" t="n">
        <x:f>D633*(E633-1)*J633</x:f>
        <x:v>0</x:v>
      </x:c>
      <x:c r="M633" s="87" t="n">
        <x:f>0</x:f>
        <x:v>0</x:v>
      </x:c>
      <x:c r="N633" s="87" t="n">
        <x:f>H633+K633+M633</x:f>
        <x:v>1833</x:v>
      </x:c>
      <x:c r="O633" s="87" t="n">
        <x:f>N633*'01 Base Costs'!$B$7+L633</x:f>
        <x:v>8816730000</x:v>
      </x:c>
      <x:c r="P633" s="87" t="n">
        <x:f>D633*E633</x:f>
        <x:v>6</x:v>
      </x:c>
      <x:c r="Q633" s="87" t="n">
        <x:f>P633*'01 Base Costs'!$B$12</x:f>
        <x:v>11664000</x:v>
      </x:c>
      <x:c r="R633" s="87" t="n">
        <x:f>0</x:f>
        <x:v>0</x:v>
      </x:c>
      <x:c r="S633" s="87" t="n">
        <x:f>Q633+R633</x:f>
        <x:v>11664000</x:v>
      </x:c>
      <x:c r="T633" s="141" t="n">
        <x:f>S633/'01 Base Costs'!$B$14</x:f>
        <x:v>23.328</x:v>
      </x:c>
      <x:c r="U633" s="87" t="n">
        <x:f>INT(T633)</x:f>
        <x:v>23</x:v>
      </x:c>
      <x:c r="V633" s="87" t="n">
        <x:f>S633-U633*'01 Base Costs'!$B$14</x:f>
        <x:v>164000</x:v>
      </x:c>
      <x:c r="W633" s="120" t="n">
        <x:f>'01 Base Costs'!$B$17</x:f>
        <x:v>140</x:v>
      </x:c>
      <x:c r="X633" s="120" t="n">
        <x:f>0</x:f>
        <x:v>0</x:v>
      </x:c>
      <x:c r="Y633" s="87" t="n">
        <x:f>T633*(W633*'01 Base Costs'!$B$7+X633)</x:f>
        <x:v>15709075200</x:v>
      </x:c>
      <x:c r="Z633" s="87" t="n">
        <x:f>T633*'01 Base Costs'!$B$8</x:f>
        <x:v>17563651200</x:v>
      </x:c>
      <x:c r="AA633" s="87" t="n">
        <x:f>Z633*'01 Base Costs'!$B$11</x:f>
        <x:v>878182560</x:v>
      </x:c>
      <x:c r="AB633" s="87" t="n">
        <x:f>Z633-AA633</x:f>
        <x:v>16685468640</x:v>
      </x:c>
      <x:c r="AC633" s="87" t="n">
        <x:f>O633+Y633</x:f>
        <x:v>24525805200</x:v>
      </x:c>
      <x:c r="AD633" s="87" t="n">
        <x:f>AB633-AC633</x:f>
        <x:v>-7840336560</x:v>
      </x:c>
      <x:c r="AE633" s="87" t="n">
        <x:f>AD633/D633</x:f>
        <x:v>-2613445520</x:v>
      </x:c>
      <x:c r="AF633" s="87" t="n">
        <x:f>AD633/P633</x:f>
        <x:v>-1306722760</x:v>
      </x:c>
      <x:c r="AG633" s="87" t="n">
        <x:f>IF(T633=0,0,AC633/T633/(1-'01 Base Costs'!$B$11))</x:f>
        <x:v>1106680257.7431233</x:v>
      </x:c>
      <x:c r="AH633" s="88" t="str">
        <x:f>IF(AD633&gt;0,"PROFIT","LOSS")</x:f>
        <x:v>LOSS</x:v>
      </x:c>
      <x:c r="AI633" s="89" t="str">
        <x:v>Capsuleer Day XXIIII event from screenshot. MCT sale 40% off. Base single extractor.</x:v>
      </x:c>
    </x:row>
    <x:row r="634">
      <x:c r="A634" s="86" t="n">
        <x:v>632</x:v>
      </x:c>
      <x:c r="B634" s="88" t="str">
        <x:v>Sale/Event</x:v>
      </x:c>
      <x:c r="C634" s="88" t="str">
        <x:v>Capsuleer Day 3M Omega + 2 skins</x:v>
      </x:c>
      <x:c r="D634" s="88" t="n">
        <x:v>3</x:v>
      </x:c>
      <x:c r="E634" s="88" t="n">
        <x:v>2</x:v>
      </x:c>
      <x:c r="F634" s="88" t="str">
        <x:v>NES MCT 40% sale</x:v>
      </x:c>
      <x:c r="G634" s="88" t="str">
        <x:v>NES 5-pack extractor</x:v>
      </x:c>
      <x:c r="H634" s="87" t="n">
        <x:f>'01 Base Costs'!$B$27</x:f>
        <x:v>960</x:v>
      </x:c>
      <x:c r="I634" s="87" t="n">
        <x:f>'01 Base Costs'!$B$16*0.6</x:f>
        <x:v>291</x:v>
      </x:c>
      <x:c r="J634" s="87" t="n">
        <x:f>0</x:f>
        <x:v>0</x:v>
      </x:c>
      <x:c r="K634" s="87" t="n">
        <x:f>D634*(E634-1)*I634</x:f>
        <x:v>873</x:v>
      </x:c>
      <x:c r="L634" s="87" t="n">
        <x:f>D634*(E634-1)*J634</x:f>
        <x:v>0</x:v>
      </x:c>
      <x:c r="M634" s="87" t="n">
        <x:f>0</x:f>
        <x:v>0</x:v>
      </x:c>
      <x:c r="N634" s="87" t="n">
        <x:f>H634+K634+M634</x:f>
        <x:v>1833</x:v>
      </x:c>
      <x:c r="O634" s="87" t="n">
        <x:f>N634*'01 Base Costs'!$B$7+L634</x:f>
        <x:v>8816730000</x:v>
      </x:c>
      <x:c r="P634" s="87" t="n">
        <x:f>D634*E634</x:f>
        <x:v>6</x:v>
      </x:c>
      <x:c r="Q634" s="87" t="n">
        <x:f>P634*'01 Base Costs'!$B$12</x:f>
        <x:v>11664000</x:v>
      </x:c>
      <x:c r="R634" s="87" t="n">
        <x:f>0</x:f>
        <x:v>0</x:v>
      </x:c>
      <x:c r="S634" s="87" t="n">
        <x:f>Q634+R634</x:f>
        <x:v>11664000</x:v>
      </x:c>
      <x:c r="T634" s="141" t="n">
        <x:f>S634/'01 Base Costs'!$B$14</x:f>
        <x:v>23.328</x:v>
      </x:c>
      <x:c r="U634" s="87" t="n">
        <x:f>INT(T634)</x:f>
        <x:v>23</x:v>
      </x:c>
      <x:c r="V634" s="87" t="n">
        <x:f>S634-U634*'01 Base Costs'!$B$14</x:f>
        <x:v>164000</x:v>
      </x:c>
      <x:c r="W634" s="120" t="n">
        <x:f>'01 Base Costs'!$B$18/5</x:f>
        <x:v>126</x:v>
      </x:c>
      <x:c r="X634" s="120" t="n">
        <x:f>0</x:f>
        <x:v>0</x:v>
      </x:c>
      <x:c r="Y634" s="87" t="n">
        <x:f>T634*(W634*'01 Base Costs'!$B$7+X634)</x:f>
        <x:v>14138167680</x:v>
      </x:c>
      <x:c r="Z634" s="87" t="n">
        <x:f>T634*'01 Base Costs'!$B$8</x:f>
        <x:v>17563651200</x:v>
      </x:c>
      <x:c r="AA634" s="87" t="n">
        <x:f>Z634*'01 Base Costs'!$B$11</x:f>
        <x:v>878182560</x:v>
      </x:c>
      <x:c r="AB634" s="87" t="n">
        <x:f>Z634-AA634</x:f>
        <x:v>16685468640</x:v>
      </x:c>
      <x:c r="AC634" s="87" t="n">
        <x:f>O634+Y634</x:f>
        <x:v>22954897680</x:v>
      </x:c>
      <x:c r="AD634" s="87" t="n">
        <x:f>AB634-AC634</x:f>
        <x:v>-6269429040</x:v>
      </x:c>
      <x:c r="AE634" s="87" t="n">
        <x:f>AD634/D634</x:f>
        <x:v>-2089809680</x:v>
      </x:c>
      <x:c r="AF634" s="87" t="n">
        <x:f>AD634/P634</x:f>
        <x:v>-1044904840</x:v>
      </x:c>
      <x:c r="AG634" s="87" t="n">
        <x:f>IF(T634=0,0,AC634/T634/(1-'01 Base Costs'!$B$11))</x:f>
        <x:v>1035796047.2168075</x:v>
      </x:c>
      <x:c r="AH634" s="88" t="str">
        <x:f>IF(AD634&gt;0,"PROFIT","LOSS")</x:f>
        <x:v>LOSS</x:v>
      </x:c>
      <x:c r="AI634" s="89" t="str">
        <x:v>Capsuleer Day XXIIII event from screenshot. MCT sale 40% off. Base 5-pack average.</x:v>
      </x:c>
    </x:row>
    <x:row r="635">
      <x:c r="A635" s="86" t="n">
        <x:v>633</x:v>
      </x:c>
      <x:c r="B635" s="88" t="str">
        <x:v>Sale/Event</x:v>
      </x:c>
      <x:c r="C635" s="88" t="str">
        <x:v>Capsuleer Day 3M Omega + 2 skins</x:v>
      </x:c>
      <x:c r="D635" s="88" t="n">
        <x:v>3</x:v>
      </x:c>
      <x:c r="E635" s="88" t="n">
        <x:v>2</x:v>
      </x:c>
      <x:c r="F635" s="88" t="str">
        <x:v>NES MCT 40% sale</x:v>
      </x:c>
      <x:c r="G635" s="88" t="str">
        <x:v>NES 10-pack extractor</x:v>
      </x:c>
      <x:c r="H635" s="87" t="n">
        <x:f>'01 Base Costs'!$B$27</x:f>
        <x:v>960</x:v>
      </x:c>
      <x:c r="I635" s="87" t="n">
        <x:f>'01 Base Costs'!$B$16*0.6</x:f>
        <x:v>291</x:v>
      </x:c>
      <x:c r="J635" s="87" t="n">
        <x:f>0</x:f>
        <x:v>0</x:v>
      </x:c>
      <x:c r="K635" s="87" t="n">
        <x:f>D635*(E635-1)*I635</x:f>
        <x:v>873</x:v>
      </x:c>
      <x:c r="L635" s="87" t="n">
        <x:f>D635*(E635-1)*J635</x:f>
        <x:v>0</x:v>
      </x:c>
      <x:c r="M635" s="87" t="n">
        <x:f>0</x:f>
        <x:v>0</x:v>
      </x:c>
      <x:c r="N635" s="87" t="n">
        <x:f>H635+K635+M635</x:f>
        <x:v>1833</x:v>
      </x:c>
      <x:c r="O635" s="87" t="n">
        <x:f>N635*'01 Base Costs'!$B$7+L635</x:f>
        <x:v>8816730000</x:v>
      </x:c>
      <x:c r="P635" s="87" t="n">
        <x:f>D635*E635</x:f>
        <x:v>6</x:v>
      </x:c>
      <x:c r="Q635" s="87" t="n">
        <x:f>P635*'01 Base Costs'!$B$12</x:f>
        <x:v>11664000</x:v>
      </x:c>
      <x:c r="R635" s="87" t="n">
        <x:f>0</x:f>
        <x:v>0</x:v>
      </x:c>
      <x:c r="S635" s="87" t="n">
        <x:f>Q635+R635</x:f>
        <x:v>11664000</x:v>
      </x:c>
      <x:c r="T635" s="141" t="n">
        <x:f>S635/'01 Base Costs'!$B$14</x:f>
        <x:v>23.328</x:v>
      </x:c>
      <x:c r="U635" s="87" t="n">
        <x:f>INT(T635)</x:f>
        <x:v>23</x:v>
      </x:c>
      <x:c r="V635" s="87" t="n">
        <x:f>S635-U635*'01 Base Costs'!$B$14</x:f>
        <x:v>164000</x:v>
      </x:c>
      <x:c r="W635" s="120" t="n">
        <x:f>'01 Base Costs'!$B$19/10</x:f>
        <x:v>119</x:v>
      </x:c>
      <x:c r="X635" s="120" t="n">
        <x:f>0</x:f>
        <x:v>0</x:v>
      </x:c>
      <x:c r="Y635" s="87" t="n">
        <x:f>T635*(W635*'01 Base Costs'!$B$7+X635)</x:f>
        <x:v>13352713920</x:v>
      </x:c>
      <x:c r="Z635" s="87" t="n">
        <x:f>T635*'01 Base Costs'!$B$8</x:f>
        <x:v>17563651200</x:v>
      </x:c>
      <x:c r="AA635" s="87" t="n">
        <x:f>Z635*'01 Base Costs'!$B$11</x:f>
        <x:v>878182560</x:v>
      </x:c>
      <x:c r="AB635" s="87" t="n">
        <x:f>Z635-AA635</x:f>
        <x:v>16685468640</x:v>
      </x:c>
      <x:c r="AC635" s="87" t="n">
        <x:f>O635+Y635</x:f>
        <x:v>22169443920</x:v>
      </x:c>
      <x:c r="AD635" s="87" t="n">
        <x:f>AB635-AC635</x:f>
        <x:v>-5483975280</x:v>
      </x:c>
      <x:c r="AE635" s="87" t="n">
        <x:f>AD635/D635</x:f>
        <x:v>-1827991760</x:v>
      </x:c>
      <x:c r="AF635" s="87" t="n">
        <x:f>AD635/P635</x:f>
        <x:v>-913995880</x:v>
      </x:c>
      <x:c r="AG635" s="87" t="n">
        <x:f>IF(T635=0,0,AC635/T635/(1-'01 Base Costs'!$B$11))</x:f>
        <x:v>1000353941.9536495</x:v>
      </x:c>
      <x:c r="AH635" s="88" t="str">
        <x:f>IF(AD635&gt;0,"PROFIT","LOSS")</x:f>
        <x:v>LOSS</x:v>
      </x:c>
      <x:c r="AI635" s="89" t="str">
        <x:v>Capsuleer Day XXIIII event from screenshot. MCT sale 40% off. Base 10-pack average.</x:v>
      </x:c>
    </x:row>
    <x:row r="636">
      <x:c r="A636" s="86" t="n">
        <x:v>634</x:v>
      </x:c>
      <x:c r="B636" s="88" t="str">
        <x:v>Sale/Event</x:v>
      </x:c>
      <x:c r="C636" s="88" t="str">
        <x:v>Capsuleer Day 3M Omega + 2 skins</x:v>
      </x:c>
      <x:c r="D636" s="88" t="n">
        <x:v>3</x:v>
      </x:c>
      <x:c r="E636" s="88" t="n">
        <x:v>2</x:v>
      </x:c>
      <x:c r="F636" s="88" t="str">
        <x:v>NES MCT 40% sale</x:v>
      </x:c>
      <x:c r="G636" s="88" t="str">
        <x:v>NES 50-pack extractor</x:v>
      </x:c>
      <x:c r="H636" s="87" t="n">
        <x:f>'01 Base Costs'!$B$27</x:f>
        <x:v>960</x:v>
      </x:c>
      <x:c r="I636" s="87" t="n">
        <x:f>'01 Base Costs'!$B$16*0.6</x:f>
        <x:v>291</x:v>
      </x:c>
      <x:c r="J636" s="87" t="n">
        <x:f>0</x:f>
        <x:v>0</x:v>
      </x:c>
      <x:c r="K636" s="87" t="n">
        <x:f>D636*(E636-1)*I636</x:f>
        <x:v>873</x:v>
      </x:c>
      <x:c r="L636" s="87" t="n">
        <x:f>D636*(E636-1)*J636</x:f>
        <x:v>0</x:v>
      </x:c>
      <x:c r="M636" s="87" t="n">
        <x:f>0</x:f>
        <x:v>0</x:v>
      </x:c>
      <x:c r="N636" s="87" t="n">
        <x:f>H636+K636+M636</x:f>
        <x:v>1833</x:v>
      </x:c>
      <x:c r="O636" s="87" t="n">
        <x:f>N636*'01 Base Costs'!$B$7+L636</x:f>
        <x:v>8816730000</x:v>
      </x:c>
      <x:c r="P636" s="87" t="n">
        <x:f>D636*E636</x:f>
        <x:v>6</x:v>
      </x:c>
      <x:c r="Q636" s="87" t="n">
        <x:f>P636*'01 Base Costs'!$B$12</x:f>
        <x:v>11664000</x:v>
      </x:c>
      <x:c r="R636" s="87" t="n">
        <x:f>0</x:f>
        <x:v>0</x:v>
      </x:c>
      <x:c r="S636" s="87" t="n">
        <x:f>Q636+R636</x:f>
        <x:v>11664000</x:v>
      </x:c>
      <x:c r="T636" s="141" t="n">
        <x:f>S636/'01 Base Costs'!$B$14</x:f>
        <x:v>23.328</x:v>
      </x:c>
      <x:c r="U636" s="87" t="n">
        <x:f>INT(T636)</x:f>
        <x:v>23</x:v>
      </x:c>
      <x:c r="V636" s="87" t="n">
        <x:f>S636-U636*'01 Base Costs'!$B$14</x:f>
        <x:v>164000</x:v>
      </x:c>
      <x:c r="W636" s="120" t="n">
        <x:f>'01 Base Costs'!$B$20/50</x:f>
        <x:v>112</x:v>
      </x:c>
      <x:c r="X636" s="120" t="n">
        <x:f>0</x:f>
        <x:v>0</x:v>
      </x:c>
      <x:c r="Y636" s="87" t="n">
        <x:f>T636*(W636*'01 Base Costs'!$B$7+X636)</x:f>
        <x:v>12567260160</x:v>
      </x:c>
      <x:c r="Z636" s="87" t="n">
        <x:f>T636*'01 Base Costs'!$B$8</x:f>
        <x:v>17563651200</x:v>
      </x:c>
      <x:c r="AA636" s="87" t="n">
        <x:f>Z636*'01 Base Costs'!$B$11</x:f>
        <x:v>878182560</x:v>
      </x:c>
      <x:c r="AB636" s="87" t="n">
        <x:f>Z636-AA636</x:f>
        <x:v>16685468640</x:v>
      </x:c>
      <x:c r="AC636" s="87" t="n">
        <x:f>O636+Y636</x:f>
        <x:v>21383990160</x:v>
      </x:c>
      <x:c r="AD636" s="87" t="n">
        <x:f>AB636-AC636</x:f>
        <x:v>-4698521520</x:v>
      </x:c>
      <x:c r="AE636" s="87" t="n">
        <x:f>AD636/D636</x:f>
        <x:v>-1566173840</x:v>
      </x:c>
      <x:c r="AF636" s="87" t="n">
        <x:f>AD636/P636</x:f>
        <x:v>-783086920</x:v>
      </x:c>
      <x:c r="AG636" s="87" t="n">
        <x:f>IF(T636=0,0,AC636/T636/(1-'01 Base Costs'!$B$11))</x:f>
        <x:v>964911836.6904917</x:v>
      </x:c>
      <x:c r="AH636" s="88" t="str">
        <x:f>IF(AD636&gt;0,"PROFIT","LOSS")</x:f>
        <x:v>LOSS</x:v>
      </x:c>
      <x:c r="AI636" s="89" t="str">
        <x:v>Capsuleer Day XXIIII event from screenshot. MCT sale 40% off. Base 50-pack average.</x:v>
      </x:c>
    </x:row>
    <x:row r="637">
      <x:c r="A637" s="86" t="n">
        <x:v>635</x:v>
      </x:c>
      <x:c r="B637" s="88" t="str">
        <x:v>Sale/Event</x:v>
      </x:c>
      <x:c r="C637" s="88" t="str">
        <x:v>Capsuleer Day 3M Omega + 2 skins</x:v>
      </x:c>
      <x:c r="D637" s="88" t="n">
        <x:v>3</x:v>
      </x:c>
      <x:c r="E637" s="88" t="n">
        <x:v>2</x:v>
      </x:c>
      <x:c r="F637" s="88" t="str">
        <x:v>NES MCT 40% sale</x:v>
      </x:c>
      <x:c r="G637" s="88" t="str">
        <x:v>NES 3-for-2 extractor sale</x:v>
      </x:c>
      <x:c r="H637" s="87" t="n">
        <x:f>'01 Base Costs'!$B$27</x:f>
        <x:v>960</x:v>
      </x:c>
      <x:c r="I637" s="87" t="n">
        <x:f>'01 Base Costs'!$B$16*0.6</x:f>
        <x:v>291</x:v>
      </x:c>
      <x:c r="J637" s="87" t="n">
        <x:f>0</x:f>
        <x:v>0</x:v>
      </x:c>
      <x:c r="K637" s="87" t="n">
        <x:f>D637*(E637-1)*I637</x:f>
        <x:v>873</x:v>
      </x:c>
      <x:c r="L637" s="87" t="n">
        <x:f>D637*(E637-1)*J637</x:f>
        <x:v>0</x:v>
      </x:c>
      <x:c r="M637" s="87" t="n">
        <x:f>0</x:f>
        <x:v>0</x:v>
      </x:c>
      <x:c r="N637" s="87" t="n">
        <x:f>H637+K637+M637</x:f>
        <x:v>1833</x:v>
      </x:c>
      <x:c r="O637" s="87" t="n">
        <x:f>N637*'01 Base Costs'!$B$7+L637</x:f>
        <x:v>8816730000</x:v>
      </x:c>
      <x:c r="P637" s="87" t="n">
        <x:f>D637*E637</x:f>
        <x:v>6</x:v>
      </x:c>
      <x:c r="Q637" s="87" t="n">
        <x:f>P637*'01 Base Costs'!$B$12</x:f>
        <x:v>11664000</x:v>
      </x:c>
      <x:c r="R637" s="87" t="n">
        <x:f>0</x:f>
        <x:v>0</x:v>
      </x:c>
      <x:c r="S637" s="87" t="n">
        <x:f>Q637+R637</x:f>
        <x:v>11664000</x:v>
      </x:c>
      <x:c r="T637" s="141" t="n">
        <x:f>S637/'01 Base Costs'!$B$14</x:f>
        <x:v>23.328</x:v>
      </x:c>
      <x:c r="U637" s="87" t="n">
        <x:f>INT(T637)</x:f>
        <x:v>23</x:v>
      </x:c>
      <x:c r="V637" s="87" t="n">
        <x:f>S637-U637*'01 Base Costs'!$B$14</x:f>
        <x:v>164000</x:v>
      </x:c>
      <x:c r="W637" s="120" t="n">
        <x:f>'01 Base Costs'!$B$17*2/3</x:f>
        <x:v>93.33333333333333</x:v>
      </x:c>
      <x:c r="X637" s="120" t="n">
        <x:f>0</x:f>
        <x:v>0</x:v>
      </x:c>
      <x:c r="Y637" s="87" t="n">
        <x:f>T637*(W637*'01 Base Costs'!$B$7+X637)</x:f>
        <x:v>10472716800</x:v>
      </x:c>
      <x:c r="Z637" s="87" t="n">
        <x:f>T637*'01 Base Costs'!$B$8</x:f>
        <x:v>17563651200</x:v>
      </x:c>
      <x:c r="AA637" s="87" t="n">
        <x:f>Z637*'01 Base Costs'!$B$11</x:f>
        <x:v>878182560</x:v>
      </x:c>
      <x:c r="AB637" s="87" t="n">
        <x:f>Z637-AA637</x:f>
        <x:v>16685468640</x:v>
      </x:c>
      <x:c r="AC637" s="87" t="n">
        <x:f>O637+Y637</x:f>
        <x:v>19289446800</x:v>
      </x:c>
      <x:c r="AD637" s="87" t="n">
        <x:f>AB637-AC637</x:f>
        <x:v>-2603978160</x:v>
      </x:c>
      <x:c r="AE637" s="87" t="n">
        <x:f>AD637/D637</x:f>
        <x:v>-867992720</x:v>
      </x:c>
      <x:c r="AF637" s="87" t="n">
        <x:f>AD637/P637</x:f>
        <x:v>-433996360</x:v>
      </x:c>
      <x:c r="AG637" s="87" t="n">
        <x:f>IF(T637=0,0,AC637/T637/(1-'01 Base Costs'!$B$11))</x:f>
        <x:v>870399555.9887373</x:v>
      </x:c>
      <x:c r="AH637" s="88" t="str">
        <x:f>IF(AD637&gt;0,"PROFIT","LOSS")</x:f>
        <x:v>LOSS</x:v>
      </x:c>
      <x:c r="AI637" s="89" t="str">
        <x:v>Capsuleer Day XXIIII event from screenshot. MCT sale 40% off. Extractor 3-for-2 sale.</x:v>
      </x:c>
    </x:row>
    <x:row r="638">
      <x:c r="A638" s="86" t="n">
        <x:v>636</x:v>
      </x:c>
      <x:c r="B638" s="88" t="str">
        <x:v>Sale/Event</x:v>
      </x:c>
      <x:c r="C638" s="88" t="str">
        <x:v>Capsuleer Day 3M Omega + 2 skins</x:v>
      </x:c>
      <x:c r="D638" s="88" t="n">
        <x:v>3</x:v>
      </x:c>
      <x:c r="E638" s="88" t="n">
        <x:v>2</x:v>
      </x:c>
      <x:c r="F638" s="88" t="str">
        <x:v>NES MCT 40% sale</x:v>
      </x:c>
      <x:c r="G638" s="88" t="str">
        <x:v>NES 2-for-1 extractor sale</x:v>
      </x:c>
      <x:c r="H638" s="87" t="n">
        <x:f>'01 Base Costs'!$B$27</x:f>
        <x:v>960</x:v>
      </x:c>
      <x:c r="I638" s="87" t="n">
        <x:f>'01 Base Costs'!$B$16*0.6</x:f>
        <x:v>291</x:v>
      </x:c>
      <x:c r="J638" s="87" t="n">
        <x:f>0</x:f>
        <x:v>0</x:v>
      </x:c>
      <x:c r="K638" s="87" t="n">
        <x:f>D638*(E638-1)*I638</x:f>
        <x:v>873</x:v>
      </x:c>
      <x:c r="L638" s="87" t="n">
        <x:f>D638*(E638-1)*J638</x:f>
        <x:v>0</x:v>
      </x:c>
      <x:c r="M638" s="87" t="n">
        <x:f>0</x:f>
        <x:v>0</x:v>
      </x:c>
      <x:c r="N638" s="87" t="n">
        <x:f>H638+K638+M638</x:f>
        <x:v>1833</x:v>
      </x:c>
      <x:c r="O638" s="87" t="n">
        <x:f>N638*'01 Base Costs'!$B$7+L638</x:f>
        <x:v>8816730000</x:v>
      </x:c>
      <x:c r="P638" s="87" t="n">
        <x:f>D638*E638</x:f>
        <x:v>6</x:v>
      </x:c>
      <x:c r="Q638" s="87" t="n">
        <x:f>P638*'01 Base Costs'!$B$12</x:f>
        <x:v>11664000</x:v>
      </x:c>
      <x:c r="R638" s="87" t="n">
        <x:f>0</x:f>
        <x:v>0</x:v>
      </x:c>
      <x:c r="S638" s="87" t="n">
        <x:f>Q638+R638</x:f>
        <x:v>11664000</x:v>
      </x:c>
      <x:c r="T638" s="141" t="n">
        <x:f>S638/'01 Base Costs'!$B$14</x:f>
        <x:v>23.328</x:v>
      </x:c>
      <x:c r="U638" s="87" t="n">
        <x:f>INT(T638)</x:f>
        <x:v>23</x:v>
      </x:c>
      <x:c r="V638" s="87" t="n">
        <x:f>S638-U638*'01 Base Costs'!$B$14</x:f>
        <x:v>164000</x:v>
      </x:c>
      <x:c r="W638" s="120" t="n">
        <x:f>'01 Base Costs'!$B$17/2</x:f>
        <x:v>70</x:v>
      </x:c>
      <x:c r="X638" s="120" t="n">
        <x:f>0</x:f>
        <x:v>0</x:v>
      </x:c>
      <x:c r="Y638" s="87" t="n">
        <x:f>T638*(W638*'01 Base Costs'!$B$7+X638)</x:f>
        <x:v>7854537600</x:v>
      </x:c>
      <x:c r="Z638" s="87" t="n">
        <x:f>T638*'01 Base Costs'!$B$8</x:f>
        <x:v>17563651200</x:v>
      </x:c>
      <x:c r="AA638" s="87" t="n">
        <x:f>Z638*'01 Base Costs'!$B$11</x:f>
        <x:v>878182560</x:v>
      </x:c>
      <x:c r="AB638" s="87" t="n">
        <x:f>Z638-AA638</x:f>
        <x:v>16685468640</x:v>
      </x:c>
      <x:c r="AC638" s="87" t="n">
        <x:f>O638+Y638</x:f>
        <x:v>16671267600</x:v>
      </x:c>
      <x:c r="AD638" s="87" t="n">
        <x:f>AB638-AC638</x:f>
        <x:v>14201040</x:v>
      </x:c>
      <x:c r="AE638" s="87" t="n">
        <x:f>AD638/D638</x:f>
        <x:v>4733680</x:v>
      </x:c>
      <x:c r="AF638" s="87" t="n">
        <x:f>AD638/P638</x:f>
        <x:v>2366840</x:v>
      </x:c>
      <x:c r="AG638" s="87" t="n">
        <x:f>IF(T638=0,0,AC638/T638/(1-'01 Base Costs'!$B$11))</x:f>
        <x:v>752259205.1115443</x:v>
      </x:c>
      <x:c r="AH638" s="88" t="str">
        <x:f>IF(AD638&gt;0,"PROFIT","LOSS")</x:f>
        <x:v>PROFIT</x:v>
      </x:c>
      <x:c r="AI638" s="89" t="str">
        <x:v>Capsuleer Day XXIIII event from screenshot. MCT sale 40% off. Extractor 2-for-1 sale.</x:v>
      </x:c>
    </x:row>
    <x:row r="639">
      <x:c r="A639" s="86" t="n">
        <x:v>637</x:v>
      </x:c>
      <x:c r="B639" s="88" t="str">
        <x:v>Sale/Event</x:v>
      </x:c>
      <x:c r="C639" s="88" t="str">
        <x:v>Capsuleer Day 3M Omega + 2 skins</x:v>
      </x:c>
      <x:c r="D639" s="88" t="n">
        <x:v>3</x:v>
      </x:c>
      <x:c r="E639" s="88" t="n">
        <x:v>2</x:v>
      </x:c>
      <x:c r="F639" s="88" t="str">
        <x:v>NES MCT 40% sale</x:v>
      </x:c>
      <x:c r="G639" s="88" t="str">
        <x:v>NES 10-pack extractor 20% sale</x:v>
      </x:c>
      <x:c r="H639" s="87" t="n">
        <x:f>'01 Base Costs'!$B$27</x:f>
        <x:v>960</x:v>
      </x:c>
      <x:c r="I639" s="87" t="n">
        <x:f>'01 Base Costs'!$B$16*0.6</x:f>
        <x:v>291</x:v>
      </x:c>
      <x:c r="J639" s="87" t="n">
        <x:f>0</x:f>
        <x:v>0</x:v>
      </x:c>
      <x:c r="K639" s="87" t="n">
        <x:f>D639*(E639-1)*I639</x:f>
        <x:v>873</x:v>
      </x:c>
      <x:c r="L639" s="87" t="n">
        <x:f>D639*(E639-1)*J639</x:f>
        <x:v>0</x:v>
      </x:c>
      <x:c r="M639" s="87" t="n">
        <x:f>0</x:f>
        <x:v>0</x:v>
      </x:c>
      <x:c r="N639" s="87" t="n">
        <x:f>H639+K639+M639</x:f>
        <x:v>1833</x:v>
      </x:c>
      <x:c r="O639" s="87" t="n">
        <x:f>N639*'01 Base Costs'!$B$7+L639</x:f>
        <x:v>8816730000</x:v>
      </x:c>
      <x:c r="P639" s="87" t="n">
        <x:f>D639*E639</x:f>
        <x:v>6</x:v>
      </x:c>
      <x:c r="Q639" s="87" t="n">
        <x:f>P639*'01 Base Costs'!$B$12</x:f>
        <x:v>11664000</x:v>
      </x:c>
      <x:c r="R639" s="87" t="n">
        <x:f>0</x:f>
        <x:v>0</x:v>
      </x:c>
      <x:c r="S639" s="87" t="n">
        <x:f>Q639+R639</x:f>
        <x:v>11664000</x:v>
      </x:c>
      <x:c r="T639" s="141" t="n">
        <x:f>S639/'01 Base Costs'!$B$14</x:f>
        <x:v>23.328</x:v>
      </x:c>
      <x:c r="U639" s="87" t="n">
        <x:f>INT(T639)</x:f>
        <x:v>23</x:v>
      </x:c>
      <x:c r="V639" s="87" t="n">
        <x:f>S639-U639*'01 Base Costs'!$B$14</x:f>
        <x:v>164000</x:v>
      </x:c>
      <x:c r="W639" s="120" t="n">
        <x:f>'01 Base Costs'!$B$19*0.8/10</x:f>
        <x:v>95.2</x:v>
      </x:c>
      <x:c r="X639" s="120" t="n">
        <x:f>0</x:f>
        <x:v>0</x:v>
      </x:c>
      <x:c r="Y639" s="87" t="n">
        <x:f>T639*(W639*'01 Base Costs'!$B$7+X639)</x:f>
        <x:v>10682171136</x:v>
      </x:c>
      <x:c r="Z639" s="87" t="n">
        <x:f>T639*'01 Base Costs'!$B$8</x:f>
        <x:v>17563651200</x:v>
      </x:c>
      <x:c r="AA639" s="87" t="n">
        <x:f>Z639*'01 Base Costs'!$B$11</x:f>
        <x:v>878182560</x:v>
      </x:c>
      <x:c r="AB639" s="87" t="n">
        <x:f>Z639-AA639</x:f>
        <x:v>16685468640</x:v>
      </x:c>
      <x:c r="AC639" s="87" t="n">
        <x:f>O639+Y639</x:f>
        <x:v>19498901136</x:v>
      </x:c>
      <x:c r="AD639" s="87" t="n">
        <x:f>AB639-AC639</x:f>
        <x:v>-2813432496</x:v>
      </x:c>
      <x:c r="AE639" s="87" t="n">
        <x:f>AD639/D639</x:f>
        <x:v>-937810832</x:v>
      </x:c>
      <x:c r="AF639" s="87" t="n">
        <x:f>AD639/P639</x:f>
        <x:v>-468905416</x:v>
      </x:c>
      <x:c r="AG639" s="87" t="n">
        <x:f>IF(T639=0,0,AC639/T639/(1-'01 Base Costs'!$B$11))</x:f>
        <x:v>879850784.0589128</x:v>
      </x:c>
      <x:c r="AH639" s="88" t="str">
        <x:f>IF(AD639&gt;0,"PROFIT","LOSS")</x:f>
        <x:v>LOSS</x:v>
      </x:c>
      <x:c r="AI639" s="89" t="str">
        <x:v>Capsuleer Day XXIIII event from screenshot. MCT sale 40% off. 10-pack at 20% off.</x:v>
      </x:c>
    </x:row>
    <x:row r="640">
      <x:c r="A640" s="86" t="n">
        <x:v>638</x:v>
      </x:c>
      <x:c r="B640" s="88" t="str">
        <x:v>Sale/Event</x:v>
      </x:c>
      <x:c r="C640" s="88" t="str">
        <x:v>Capsuleer Day 3M Omega + 2 skins</x:v>
      </x:c>
      <x:c r="D640" s="88" t="n">
        <x:v>3</x:v>
      </x:c>
      <x:c r="E640" s="88" t="n">
        <x:v>2</x:v>
      </x:c>
      <x:c r="F640" s="88" t="str">
        <x:v>NES MCT 40% sale</x:v>
      </x:c>
      <x:c r="G640" s="88" t="str">
        <x:v>NES 50-pack extractor 20% sale</x:v>
      </x:c>
      <x:c r="H640" s="87" t="n">
        <x:f>'01 Base Costs'!$B$27</x:f>
        <x:v>960</x:v>
      </x:c>
      <x:c r="I640" s="87" t="n">
        <x:f>'01 Base Costs'!$B$16*0.6</x:f>
        <x:v>291</x:v>
      </x:c>
      <x:c r="J640" s="87" t="n">
        <x:f>0</x:f>
        <x:v>0</x:v>
      </x:c>
      <x:c r="K640" s="87" t="n">
        <x:f>D640*(E640-1)*I640</x:f>
        <x:v>873</x:v>
      </x:c>
      <x:c r="L640" s="87" t="n">
        <x:f>D640*(E640-1)*J640</x:f>
        <x:v>0</x:v>
      </x:c>
      <x:c r="M640" s="87" t="n">
        <x:f>0</x:f>
        <x:v>0</x:v>
      </x:c>
      <x:c r="N640" s="87" t="n">
        <x:f>H640+K640+M640</x:f>
        <x:v>1833</x:v>
      </x:c>
      <x:c r="O640" s="87" t="n">
        <x:f>N640*'01 Base Costs'!$B$7+L640</x:f>
        <x:v>8816730000</x:v>
      </x:c>
      <x:c r="P640" s="87" t="n">
        <x:f>D640*E640</x:f>
        <x:v>6</x:v>
      </x:c>
      <x:c r="Q640" s="87" t="n">
        <x:f>P640*'01 Base Costs'!$B$12</x:f>
        <x:v>11664000</x:v>
      </x:c>
      <x:c r="R640" s="87" t="n">
        <x:f>0</x:f>
        <x:v>0</x:v>
      </x:c>
      <x:c r="S640" s="87" t="n">
        <x:f>Q640+R640</x:f>
        <x:v>11664000</x:v>
      </x:c>
      <x:c r="T640" s="141" t="n">
        <x:f>S640/'01 Base Costs'!$B$14</x:f>
        <x:v>23.328</x:v>
      </x:c>
      <x:c r="U640" s="87" t="n">
        <x:f>INT(T640)</x:f>
        <x:v>23</x:v>
      </x:c>
      <x:c r="V640" s="87" t="n">
        <x:f>S640-U640*'01 Base Costs'!$B$14</x:f>
        <x:v>164000</x:v>
      </x:c>
      <x:c r="W640" s="120" t="n">
        <x:f>'01 Base Costs'!$B$20*0.8/50</x:f>
        <x:v>89.6</x:v>
      </x:c>
      <x:c r="X640" s="120" t="n">
        <x:f>0</x:f>
        <x:v>0</x:v>
      </x:c>
      <x:c r="Y640" s="87" t="n">
        <x:f>T640*(W640*'01 Base Costs'!$B$7+X640)</x:f>
        <x:v>10053808128</x:v>
      </x:c>
      <x:c r="Z640" s="87" t="n">
        <x:f>T640*'01 Base Costs'!$B$8</x:f>
        <x:v>17563651200</x:v>
      </x:c>
      <x:c r="AA640" s="87" t="n">
        <x:f>Z640*'01 Base Costs'!$B$11</x:f>
        <x:v>878182560</x:v>
      </x:c>
      <x:c r="AB640" s="87" t="n">
        <x:f>Z640-AA640</x:f>
        <x:v>16685468640</x:v>
      </x:c>
      <x:c r="AC640" s="87" t="n">
        <x:f>O640+Y640</x:f>
        <x:v>18870538128</x:v>
      </x:c>
      <x:c r="AD640" s="87" t="n">
        <x:f>AB640-AC640</x:f>
        <x:v>-2185069488</x:v>
      </x:c>
      <x:c r="AE640" s="87" t="n">
        <x:f>AD640/D640</x:f>
        <x:v>-728356496</x:v>
      </x:c>
      <x:c r="AF640" s="87" t="n">
        <x:f>AD640/P640</x:f>
        <x:v>-364178248</x:v>
      </x:c>
      <x:c r="AG640" s="87" t="n">
        <x:f>IF(T640=0,0,AC640/T640/(1-'01 Base Costs'!$B$11))</x:f>
        <x:v>851497099.8483864</x:v>
      </x:c>
      <x:c r="AH640" s="88" t="str">
        <x:f>IF(AD640&gt;0,"PROFIT","LOSS")</x:f>
        <x:v>LOSS</x:v>
      </x:c>
      <x:c r="AI640" s="89" t="str">
        <x:v>Capsuleer Day XXIIII event from screenshot. MCT sale 40% off. 50-pack at 20% off.</x:v>
      </x:c>
    </x:row>
    <x:row r="641">
      <x:c r="A641" s="86" t="n">
        <x:v>639</x:v>
      </x:c>
      <x:c r="B641" s="88" t="str">
        <x:v>Sale/Event</x:v>
      </x:c>
      <x:c r="C641" s="88" t="str">
        <x:v>Capsuleer Day 3M Omega + 2 skins</x:v>
      </x:c>
      <x:c r="D641" s="88" t="n">
        <x:v>3</x:v>
      </x:c>
      <x:c r="E641" s="88" t="n">
        <x:v>2</x:v>
      </x:c>
      <x:c r="F641" s="88" t="str">
        <x:v>NES MCT 40% sale</x:v>
      </x:c>
      <x:c r="G641" s="88" t="str">
        <x:v>Market Skill Extractor</x:v>
      </x:c>
      <x:c r="H641" s="87" t="n">
        <x:f>'01 Base Costs'!$B$27</x:f>
        <x:v>960</x:v>
      </x:c>
      <x:c r="I641" s="87" t="n">
        <x:f>'01 Base Costs'!$B$16*0.6</x:f>
        <x:v>291</x:v>
      </x:c>
      <x:c r="J641" s="87" t="n">
        <x:f>0</x:f>
        <x:v>0</x:v>
      </x:c>
      <x:c r="K641" s="87" t="n">
        <x:f>D641*(E641-1)*I641</x:f>
        <x:v>873</x:v>
      </x:c>
      <x:c r="L641" s="87" t="n">
        <x:f>D641*(E641-1)*J641</x:f>
        <x:v>0</x:v>
      </x:c>
      <x:c r="M641" s="87" t="n">
        <x:f>0</x:f>
        <x:v>0</x:v>
      </x:c>
      <x:c r="N641" s="87" t="n">
        <x:f>H641+K641+M641</x:f>
        <x:v>1833</x:v>
      </x:c>
      <x:c r="O641" s="87" t="n">
        <x:f>N641*'01 Base Costs'!$B$7+L641</x:f>
        <x:v>8816730000</x:v>
      </x:c>
      <x:c r="P641" s="87" t="n">
        <x:f>D641*E641</x:f>
        <x:v>6</x:v>
      </x:c>
      <x:c r="Q641" s="87" t="n">
        <x:f>P641*'01 Base Costs'!$B$12</x:f>
        <x:v>11664000</x:v>
      </x:c>
      <x:c r="R641" s="87" t="n">
        <x:f>0</x:f>
        <x:v>0</x:v>
      </x:c>
      <x:c r="S641" s="87" t="n">
        <x:f>Q641+R641</x:f>
        <x:v>11664000</x:v>
      </x:c>
      <x:c r="T641" s="141" t="n">
        <x:f>S641/'01 Base Costs'!$B$14</x:f>
        <x:v>23.328</x:v>
      </x:c>
      <x:c r="U641" s="87" t="n">
        <x:f>INT(T641)</x:f>
        <x:v>23</x:v>
      </x:c>
      <x:c r="V641" s="87" t="n">
        <x:f>S641-U641*'01 Base Costs'!$B$14</x:f>
        <x:v>164000</x:v>
      </x:c>
      <x:c r="W641" s="120" t="n">
        <x:f>0</x:f>
        <x:v>0</x:v>
      </x:c>
      <x:c r="X641" s="120" t="n">
        <x:f>'01 Base Costs'!$B$9</x:f>
        <x:v>463500000</x:v>
      </x:c>
      <x:c r="Y641" s="87" t="n">
        <x:f>T641*(W641*'01 Base Costs'!$B$7+X641)</x:f>
        <x:v>10812528000</x:v>
      </x:c>
      <x:c r="Z641" s="87" t="n">
        <x:f>T641*'01 Base Costs'!$B$8</x:f>
        <x:v>17563651200</x:v>
      </x:c>
      <x:c r="AA641" s="87" t="n">
        <x:f>Z641*'01 Base Costs'!$B$11</x:f>
        <x:v>878182560</x:v>
      </x:c>
      <x:c r="AB641" s="87" t="n">
        <x:f>Z641-AA641</x:f>
        <x:v>16685468640</x:v>
      </x:c>
      <x:c r="AC641" s="87" t="n">
        <x:f>O641+Y641</x:f>
        <x:v>19629258000</x:v>
      </x:c>
      <x:c r="AD641" s="87" t="n">
        <x:f>AB641-AC641</x:f>
        <x:v>-2943789360</x:v>
      </x:c>
      <x:c r="AE641" s="87" t="n">
        <x:f>AD641/D641</x:f>
        <x:v>-981263120</x:v>
      </x:c>
      <x:c r="AF641" s="87" t="n">
        <x:f>AD641/P641</x:f>
        <x:v>-490631560</x:v>
      </x:c>
      <x:c r="AG641" s="87" t="n">
        <x:f>IF(T641=0,0,AC641/T641/(1-'01 Base Costs'!$B$11))</x:f>
        <x:v>885732889.3220706</x:v>
      </x:c>
      <x:c r="AH641" s="88" t="str">
        <x:f>IF(AD641&gt;0,"PROFIT","LOSS")</x:f>
        <x:v>LOSS</x:v>
      </x:c>
      <x:c r="AI641" s="89" t="str">
        <x:v>Capsuleer Day XXIIII event from screenshot. MCT sale 40% off. Extractor bought on market with ISK.</x:v>
      </x:c>
    </x:row>
    <x:row r="642">
      <x:c r="A642" s="86" t="n">
        <x:v>640</x:v>
      </x:c>
      <x:c r="B642" s="88" t="str">
        <x:v>Sale/Event</x:v>
      </x:c>
      <x:c r="C642" s="88" t="str">
        <x:v>Capsuleer Day 3M Omega + 2 skins</x:v>
      </x:c>
      <x:c r="D642" s="88" t="n">
        <x:v>3</x:v>
      </x:c>
      <x:c r="E642" s="88" t="n">
        <x:v>2</x:v>
      </x:c>
      <x:c r="F642" s="88" t="str">
        <x:v>Market MCT certificate</x:v>
      </x:c>
      <x:c r="G642" s="88" t="str">
        <x:v>NES single extractor</x:v>
      </x:c>
      <x:c r="H642" s="87" t="n">
        <x:f>'01 Base Costs'!$B$27</x:f>
        <x:v>960</x:v>
      </x:c>
      <x:c r="I642" s="87" t="n">
        <x:f>0</x:f>
        <x:v>0</x:v>
      </x:c>
      <x:c r="J642" s="87" t="n">
        <x:f>'01 Base Costs'!$B$10</x:f>
        <x:v>2332850000</x:v>
      </x:c>
      <x:c r="K642" s="87" t="n">
        <x:f>D642*(E642-1)*I642</x:f>
        <x:v>0</x:v>
      </x:c>
      <x:c r="L642" s="87" t="n">
        <x:f>D642*(E642-1)*J642</x:f>
        <x:v>6998550000</x:v>
      </x:c>
      <x:c r="M642" s="87" t="n">
        <x:f>0</x:f>
        <x:v>0</x:v>
      </x:c>
      <x:c r="N642" s="87" t="n">
        <x:f>H642+K642+M642</x:f>
        <x:v>960</x:v>
      </x:c>
      <x:c r="O642" s="87" t="n">
        <x:f>N642*'01 Base Costs'!$B$7+L642</x:f>
        <x:v>11616150000</x:v>
      </x:c>
      <x:c r="P642" s="87" t="n">
        <x:f>D642*E642</x:f>
        <x:v>6</x:v>
      </x:c>
      <x:c r="Q642" s="87" t="n">
        <x:f>P642*'01 Base Costs'!$B$12</x:f>
        <x:v>11664000</x:v>
      </x:c>
      <x:c r="R642" s="87" t="n">
        <x:f>0</x:f>
        <x:v>0</x:v>
      </x:c>
      <x:c r="S642" s="87" t="n">
        <x:f>Q642+R642</x:f>
        <x:v>11664000</x:v>
      </x:c>
      <x:c r="T642" s="141" t="n">
        <x:f>S642/'01 Base Costs'!$B$14</x:f>
        <x:v>23.328</x:v>
      </x:c>
      <x:c r="U642" s="87" t="n">
        <x:f>INT(T642)</x:f>
        <x:v>23</x:v>
      </x:c>
      <x:c r="V642" s="87" t="n">
        <x:f>S642-U642*'01 Base Costs'!$B$14</x:f>
        <x:v>164000</x:v>
      </x:c>
      <x:c r="W642" s="120" t="n">
        <x:f>'01 Base Costs'!$B$17</x:f>
        <x:v>140</x:v>
      </x:c>
      <x:c r="X642" s="120" t="n">
        <x:f>0</x:f>
        <x:v>0</x:v>
      </x:c>
      <x:c r="Y642" s="87" t="n">
        <x:f>T642*(W642*'01 Base Costs'!$B$7+X642)</x:f>
        <x:v>15709075200</x:v>
      </x:c>
      <x:c r="Z642" s="87" t="n">
        <x:f>T642*'01 Base Costs'!$B$8</x:f>
        <x:v>17563651200</x:v>
      </x:c>
      <x:c r="AA642" s="87" t="n">
        <x:f>Z642*'01 Base Costs'!$B$11</x:f>
        <x:v>878182560</x:v>
      </x:c>
      <x:c r="AB642" s="87" t="n">
        <x:f>Z642-AA642</x:f>
        <x:v>16685468640</x:v>
      </x:c>
      <x:c r="AC642" s="87" t="n">
        <x:f>O642+Y642</x:f>
        <x:v>27325225200</x:v>
      </x:c>
      <x:c r="AD642" s="87" t="n">
        <x:f>AB642-AC642</x:f>
        <x:v>-10639756560</x:v>
      </x:c>
      <x:c r="AE642" s="87" t="n">
        <x:f>AD642/D642</x:f>
        <x:v>-3546585520</x:v>
      </x:c>
      <x:c r="AF642" s="87" t="n">
        <x:f>AD642/P642</x:f>
        <x:v>-1773292760</x:v>
      </x:c>
      <x:c r="AG642" s="87" t="n">
        <x:f>IF(T642=0,0,AC642/T642/(1-'01 Base Costs'!$B$11))</x:f>
        <x:v>1232998754.6025558</x:v>
      </x:c>
      <x:c r="AH642" s="88" t="str">
        <x:f>IF(AD642&gt;0,"PROFIT","LOSS")</x:f>
        <x:v>LOSS</x:v>
      </x:c>
      <x:c r="AI642" s="89" t="str">
        <x:v>Capsuleer Day XXIIII event from screenshot. MCT certificate bought with ISK market price. Base single extractor.</x:v>
      </x:c>
    </x:row>
    <x:row r="643">
      <x:c r="A643" s="86" t="n">
        <x:v>641</x:v>
      </x:c>
      <x:c r="B643" s="88" t="str">
        <x:v>Sale/Event</x:v>
      </x:c>
      <x:c r="C643" s="88" t="str">
        <x:v>Capsuleer Day 3M Omega + 2 skins</x:v>
      </x:c>
      <x:c r="D643" s="88" t="n">
        <x:v>3</x:v>
      </x:c>
      <x:c r="E643" s="88" t="n">
        <x:v>2</x:v>
      </x:c>
      <x:c r="F643" s="88" t="str">
        <x:v>Market MCT certificate</x:v>
      </x:c>
      <x:c r="G643" s="88" t="str">
        <x:v>NES 5-pack extractor</x:v>
      </x:c>
      <x:c r="H643" s="87" t="n">
        <x:f>'01 Base Costs'!$B$27</x:f>
        <x:v>960</x:v>
      </x:c>
      <x:c r="I643" s="87" t="n">
        <x:f>0</x:f>
        <x:v>0</x:v>
      </x:c>
      <x:c r="J643" s="87" t="n">
        <x:f>'01 Base Costs'!$B$10</x:f>
        <x:v>2332850000</x:v>
      </x:c>
      <x:c r="K643" s="87" t="n">
        <x:f>D643*(E643-1)*I643</x:f>
        <x:v>0</x:v>
      </x:c>
      <x:c r="L643" s="87" t="n">
        <x:f>D643*(E643-1)*J643</x:f>
        <x:v>6998550000</x:v>
      </x:c>
      <x:c r="M643" s="87" t="n">
        <x:f>0</x:f>
        <x:v>0</x:v>
      </x:c>
      <x:c r="N643" s="87" t="n">
        <x:f>H643+K643+M643</x:f>
        <x:v>960</x:v>
      </x:c>
      <x:c r="O643" s="87" t="n">
        <x:f>N643*'01 Base Costs'!$B$7+L643</x:f>
        <x:v>11616150000</x:v>
      </x:c>
      <x:c r="P643" s="87" t="n">
        <x:f>D643*E643</x:f>
        <x:v>6</x:v>
      </x:c>
      <x:c r="Q643" s="87" t="n">
        <x:f>P643*'01 Base Costs'!$B$12</x:f>
        <x:v>11664000</x:v>
      </x:c>
      <x:c r="R643" s="87" t="n">
        <x:f>0</x:f>
        <x:v>0</x:v>
      </x:c>
      <x:c r="S643" s="87" t="n">
        <x:f>Q643+R643</x:f>
        <x:v>11664000</x:v>
      </x:c>
      <x:c r="T643" s="141" t="n">
        <x:f>S643/'01 Base Costs'!$B$14</x:f>
        <x:v>23.328</x:v>
      </x:c>
      <x:c r="U643" s="87" t="n">
        <x:f>INT(T643)</x:f>
        <x:v>23</x:v>
      </x:c>
      <x:c r="V643" s="87" t="n">
        <x:f>S643-U643*'01 Base Costs'!$B$14</x:f>
        <x:v>164000</x:v>
      </x:c>
      <x:c r="W643" s="120" t="n">
        <x:f>'01 Base Costs'!$B$18/5</x:f>
        <x:v>126</x:v>
      </x:c>
      <x:c r="X643" s="120" t="n">
        <x:f>0</x:f>
        <x:v>0</x:v>
      </x:c>
      <x:c r="Y643" s="87" t="n">
        <x:f>T643*(W643*'01 Base Costs'!$B$7+X643)</x:f>
        <x:v>14138167680</x:v>
      </x:c>
      <x:c r="Z643" s="87" t="n">
        <x:f>T643*'01 Base Costs'!$B$8</x:f>
        <x:v>17563651200</x:v>
      </x:c>
      <x:c r="AA643" s="87" t="n">
        <x:f>Z643*'01 Base Costs'!$B$11</x:f>
        <x:v>878182560</x:v>
      </x:c>
      <x:c r="AB643" s="87" t="n">
        <x:f>Z643-AA643</x:f>
        <x:v>16685468640</x:v>
      </x:c>
      <x:c r="AC643" s="87" t="n">
        <x:f>O643+Y643</x:f>
        <x:v>25754317680</x:v>
      </x:c>
      <x:c r="AD643" s="87" t="n">
        <x:f>AB643-AC643</x:f>
        <x:v>-9068849040</x:v>
      </x:c>
      <x:c r="AE643" s="87" t="n">
        <x:f>AD643/D643</x:f>
        <x:v>-3022949680</x:v>
      </x:c>
      <x:c r="AF643" s="87" t="n">
        <x:f>AD643/P643</x:f>
        <x:v>-1511474840</x:v>
      </x:c>
      <x:c r="AG643" s="87" t="n">
        <x:f>IF(T643=0,0,AC643/T643/(1-'01 Base Costs'!$B$11))</x:f>
        <x:v>1162114544.07624</x:v>
      </x:c>
      <x:c r="AH643" s="88" t="str">
        <x:f>IF(AD643&gt;0,"PROFIT","LOSS")</x:f>
        <x:v>LOSS</x:v>
      </x:c>
      <x:c r="AI643" s="89" t="str">
        <x:v>Capsuleer Day XXIIII event from screenshot. MCT certificate bought with ISK market price. Base 5-pack average.</x:v>
      </x:c>
    </x:row>
    <x:row r="644">
      <x:c r="A644" s="86" t="n">
        <x:v>642</x:v>
      </x:c>
      <x:c r="B644" s="88" t="str">
        <x:v>Sale/Event</x:v>
      </x:c>
      <x:c r="C644" s="88" t="str">
        <x:v>Capsuleer Day 3M Omega + 2 skins</x:v>
      </x:c>
      <x:c r="D644" s="88" t="n">
        <x:v>3</x:v>
      </x:c>
      <x:c r="E644" s="88" t="n">
        <x:v>2</x:v>
      </x:c>
      <x:c r="F644" s="88" t="str">
        <x:v>Market MCT certificate</x:v>
      </x:c>
      <x:c r="G644" s="88" t="str">
        <x:v>NES 10-pack extractor</x:v>
      </x:c>
      <x:c r="H644" s="87" t="n">
        <x:f>'01 Base Costs'!$B$27</x:f>
        <x:v>960</x:v>
      </x:c>
      <x:c r="I644" s="87" t="n">
        <x:f>0</x:f>
        <x:v>0</x:v>
      </x:c>
      <x:c r="J644" s="87" t="n">
        <x:f>'01 Base Costs'!$B$10</x:f>
        <x:v>2332850000</x:v>
      </x:c>
      <x:c r="K644" s="87" t="n">
        <x:f>D644*(E644-1)*I644</x:f>
        <x:v>0</x:v>
      </x:c>
      <x:c r="L644" s="87" t="n">
        <x:f>D644*(E644-1)*J644</x:f>
        <x:v>6998550000</x:v>
      </x:c>
      <x:c r="M644" s="87" t="n">
        <x:f>0</x:f>
        <x:v>0</x:v>
      </x:c>
      <x:c r="N644" s="87" t="n">
        <x:f>H644+K644+M644</x:f>
        <x:v>960</x:v>
      </x:c>
      <x:c r="O644" s="87" t="n">
        <x:f>N644*'01 Base Costs'!$B$7+L644</x:f>
        <x:v>11616150000</x:v>
      </x:c>
      <x:c r="P644" s="87" t="n">
        <x:f>D644*E644</x:f>
        <x:v>6</x:v>
      </x:c>
      <x:c r="Q644" s="87" t="n">
        <x:f>P644*'01 Base Costs'!$B$12</x:f>
        <x:v>11664000</x:v>
      </x:c>
      <x:c r="R644" s="87" t="n">
        <x:f>0</x:f>
        <x:v>0</x:v>
      </x:c>
      <x:c r="S644" s="87" t="n">
        <x:f>Q644+R644</x:f>
        <x:v>11664000</x:v>
      </x:c>
      <x:c r="T644" s="141" t="n">
        <x:f>S644/'01 Base Costs'!$B$14</x:f>
        <x:v>23.328</x:v>
      </x:c>
      <x:c r="U644" s="87" t="n">
        <x:f>INT(T644)</x:f>
        <x:v>23</x:v>
      </x:c>
      <x:c r="V644" s="87" t="n">
        <x:f>S644-U644*'01 Base Costs'!$B$14</x:f>
        <x:v>164000</x:v>
      </x:c>
      <x:c r="W644" s="120" t="n">
        <x:f>'01 Base Costs'!$B$19/10</x:f>
        <x:v>119</x:v>
      </x:c>
      <x:c r="X644" s="120" t="n">
        <x:f>0</x:f>
        <x:v>0</x:v>
      </x:c>
      <x:c r="Y644" s="87" t="n">
        <x:f>T644*(W644*'01 Base Costs'!$B$7+X644)</x:f>
        <x:v>13352713920</x:v>
      </x:c>
      <x:c r="Z644" s="87" t="n">
        <x:f>T644*'01 Base Costs'!$B$8</x:f>
        <x:v>17563651200</x:v>
      </x:c>
      <x:c r="AA644" s="87" t="n">
        <x:f>Z644*'01 Base Costs'!$B$11</x:f>
        <x:v>878182560</x:v>
      </x:c>
      <x:c r="AB644" s="87" t="n">
        <x:f>Z644-AA644</x:f>
        <x:v>16685468640</x:v>
      </x:c>
      <x:c r="AC644" s="87" t="n">
        <x:f>O644+Y644</x:f>
        <x:v>24968863920</x:v>
      </x:c>
      <x:c r="AD644" s="87" t="n">
        <x:f>AB644-AC644</x:f>
        <x:v>-8283395280</x:v>
      </x:c>
      <x:c r="AE644" s="87" t="n">
        <x:f>AD644/D644</x:f>
        <x:v>-2761131760</x:v>
      </x:c>
      <x:c r="AF644" s="87" t="n">
        <x:f>AD644/P644</x:f>
        <x:v>-1380565880</x:v>
      </x:c>
      <x:c r="AG644" s="87" t="n">
        <x:f>IF(T644=0,0,AC644/T644/(1-'01 Base Costs'!$B$11))</x:f>
        <x:v>1126672438.8130822</x:v>
      </x:c>
      <x:c r="AH644" s="88" t="str">
        <x:f>IF(AD644&gt;0,"PROFIT","LOSS")</x:f>
        <x:v>LOSS</x:v>
      </x:c>
      <x:c r="AI644" s="89" t="str">
        <x:v>Capsuleer Day XXIIII event from screenshot. MCT certificate bought with ISK market price. Base 10-pack average.</x:v>
      </x:c>
    </x:row>
    <x:row r="645">
      <x:c r="A645" s="86" t="n">
        <x:v>643</x:v>
      </x:c>
      <x:c r="B645" s="88" t="str">
        <x:v>Sale/Event</x:v>
      </x:c>
      <x:c r="C645" s="88" t="str">
        <x:v>Capsuleer Day 3M Omega + 2 skins</x:v>
      </x:c>
      <x:c r="D645" s="88" t="n">
        <x:v>3</x:v>
      </x:c>
      <x:c r="E645" s="88" t="n">
        <x:v>2</x:v>
      </x:c>
      <x:c r="F645" s="88" t="str">
        <x:v>Market MCT certificate</x:v>
      </x:c>
      <x:c r="G645" s="88" t="str">
        <x:v>NES 50-pack extractor</x:v>
      </x:c>
      <x:c r="H645" s="87" t="n">
        <x:f>'01 Base Costs'!$B$27</x:f>
        <x:v>960</x:v>
      </x:c>
      <x:c r="I645" s="87" t="n">
        <x:f>0</x:f>
        <x:v>0</x:v>
      </x:c>
      <x:c r="J645" s="87" t="n">
        <x:f>'01 Base Costs'!$B$10</x:f>
        <x:v>2332850000</x:v>
      </x:c>
      <x:c r="K645" s="87" t="n">
        <x:f>D645*(E645-1)*I645</x:f>
        <x:v>0</x:v>
      </x:c>
      <x:c r="L645" s="87" t="n">
        <x:f>D645*(E645-1)*J645</x:f>
        <x:v>6998550000</x:v>
      </x:c>
      <x:c r="M645" s="87" t="n">
        <x:f>0</x:f>
        <x:v>0</x:v>
      </x:c>
      <x:c r="N645" s="87" t="n">
        <x:f>H645+K645+M645</x:f>
        <x:v>960</x:v>
      </x:c>
      <x:c r="O645" s="87" t="n">
        <x:f>N645*'01 Base Costs'!$B$7+L645</x:f>
        <x:v>11616150000</x:v>
      </x:c>
      <x:c r="P645" s="87" t="n">
        <x:f>D645*E645</x:f>
        <x:v>6</x:v>
      </x:c>
      <x:c r="Q645" s="87" t="n">
        <x:f>P645*'01 Base Costs'!$B$12</x:f>
        <x:v>11664000</x:v>
      </x:c>
      <x:c r="R645" s="87" t="n">
        <x:f>0</x:f>
        <x:v>0</x:v>
      </x:c>
      <x:c r="S645" s="87" t="n">
        <x:f>Q645+R645</x:f>
        <x:v>11664000</x:v>
      </x:c>
      <x:c r="T645" s="141" t="n">
        <x:f>S645/'01 Base Costs'!$B$14</x:f>
        <x:v>23.328</x:v>
      </x:c>
      <x:c r="U645" s="87" t="n">
        <x:f>INT(T645)</x:f>
        <x:v>23</x:v>
      </x:c>
      <x:c r="V645" s="87" t="n">
        <x:f>S645-U645*'01 Base Costs'!$B$14</x:f>
        <x:v>164000</x:v>
      </x:c>
      <x:c r="W645" s="120" t="n">
        <x:f>'01 Base Costs'!$B$20/50</x:f>
        <x:v>112</x:v>
      </x:c>
      <x:c r="X645" s="120" t="n">
        <x:f>0</x:f>
        <x:v>0</x:v>
      </x:c>
      <x:c r="Y645" s="87" t="n">
        <x:f>T645*(W645*'01 Base Costs'!$B$7+X645)</x:f>
        <x:v>12567260160</x:v>
      </x:c>
      <x:c r="Z645" s="87" t="n">
        <x:f>T645*'01 Base Costs'!$B$8</x:f>
        <x:v>17563651200</x:v>
      </x:c>
      <x:c r="AA645" s="87" t="n">
        <x:f>Z645*'01 Base Costs'!$B$11</x:f>
        <x:v>878182560</x:v>
      </x:c>
      <x:c r="AB645" s="87" t="n">
        <x:f>Z645-AA645</x:f>
        <x:v>16685468640</x:v>
      </x:c>
      <x:c r="AC645" s="87" t="n">
        <x:f>O645+Y645</x:f>
        <x:v>24183410160</x:v>
      </x:c>
      <x:c r="AD645" s="87" t="n">
        <x:f>AB645-AC645</x:f>
        <x:v>-7497941520</x:v>
      </x:c>
      <x:c r="AE645" s="87" t="n">
        <x:f>AD645/D645</x:f>
        <x:v>-2499313840</x:v>
      </x:c>
      <x:c r="AF645" s="87" t="n">
        <x:f>AD645/P645</x:f>
        <x:v>-1249656920</x:v>
      </x:c>
      <x:c r="AG645" s="87" t="n">
        <x:f>IF(T645=0,0,AC645/T645/(1-'01 Base Costs'!$B$11))</x:f>
        <x:v>1091230333.5499244</x:v>
      </x:c>
      <x:c r="AH645" s="88" t="str">
        <x:f>IF(AD645&gt;0,"PROFIT","LOSS")</x:f>
        <x:v>LOSS</x:v>
      </x:c>
      <x:c r="AI645" s="89" t="str">
        <x:v>Capsuleer Day XXIIII event from screenshot. MCT certificate bought with ISK market price. Base 50-pack average.</x:v>
      </x:c>
    </x:row>
    <x:row r="646">
      <x:c r="A646" s="86" t="n">
        <x:v>644</x:v>
      </x:c>
      <x:c r="B646" s="88" t="str">
        <x:v>Sale/Event</x:v>
      </x:c>
      <x:c r="C646" s="88" t="str">
        <x:v>Capsuleer Day 3M Omega + 2 skins</x:v>
      </x:c>
      <x:c r="D646" s="88" t="n">
        <x:v>3</x:v>
      </x:c>
      <x:c r="E646" s="88" t="n">
        <x:v>2</x:v>
      </x:c>
      <x:c r="F646" s="88" t="str">
        <x:v>Market MCT certificate</x:v>
      </x:c>
      <x:c r="G646" s="88" t="str">
        <x:v>NES 3-for-2 extractor sale</x:v>
      </x:c>
      <x:c r="H646" s="87" t="n">
        <x:f>'01 Base Costs'!$B$27</x:f>
        <x:v>960</x:v>
      </x:c>
      <x:c r="I646" s="87" t="n">
        <x:f>0</x:f>
        <x:v>0</x:v>
      </x:c>
      <x:c r="J646" s="87" t="n">
        <x:f>'01 Base Costs'!$B$10</x:f>
        <x:v>2332850000</x:v>
      </x:c>
      <x:c r="K646" s="87" t="n">
        <x:f>D646*(E646-1)*I646</x:f>
        <x:v>0</x:v>
      </x:c>
      <x:c r="L646" s="87" t="n">
        <x:f>D646*(E646-1)*J646</x:f>
        <x:v>6998550000</x:v>
      </x:c>
      <x:c r="M646" s="87" t="n">
        <x:f>0</x:f>
        <x:v>0</x:v>
      </x:c>
      <x:c r="N646" s="87" t="n">
        <x:f>H646+K646+M646</x:f>
        <x:v>960</x:v>
      </x:c>
      <x:c r="O646" s="87" t="n">
        <x:f>N646*'01 Base Costs'!$B$7+L646</x:f>
        <x:v>11616150000</x:v>
      </x:c>
      <x:c r="P646" s="87" t="n">
        <x:f>D646*E646</x:f>
        <x:v>6</x:v>
      </x:c>
      <x:c r="Q646" s="87" t="n">
        <x:f>P646*'01 Base Costs'!$B$12</x:f>
        <x:v>11664000</x:v>
      </x:c>
      <x:c r="R646" s="87" t="n">
        <x:f>0</x:f>
        <x:v>0</x:v>
      </x:c>
      <x:c r="S646" s="87" t="n">
        <x:f>Q646+R646</x:f>
        <x:v>11664000</x:v>
      </x:c>
      <x:c r="T646" s="141" t="n">
        <x:f>S646/'01 Base Costs'!$B$14</x:f>
        <x:v>23.328</x:v>
      </x:c>
      <x:c r="U646" s="87" t="n">
        <x:f>INT(T646)</x:f>
        <x:v>23</x:v>
      </x:c>
      <x:c r="V646" s="87" t="n">
        <x:f>S646-U646*'01 Base Costs'!$B$14</x:f>
        <x:v>164000</x:v>
      </x:c>
      <x:c r="W646" s="120" t="n">
        <x:f>'01 Base Costs'!$B$17*2/3</x:f>
        <x:v>93.33333333333333</x:v>
      </x:c>
      <x:c r="X646" s="120" t="n">
        <x:f>0</x:f>
        <x:v>0</x:v>
      </x:c>
      <x:c r="Y646" s="87" t="n">
        <x:f>T646*(W646*'01 Base Costs'!$B$7+X646)</x:f>
        <x:v>10472716800</x:v>
      </x:c>
      <x:c r="Z646" s="87" t="n">
        <x:f>T646*'01 Base Costs'!$B$8</x:f>
        <x:v>17563651200</x:v>
      </x:c>
      <x:c r="AA646" s="87" t="n">
        <x:f>Z646*'01 Base Costs'!$B$11</x:f>
        <x:v>878182560</x:v>
      </x:c>
      <x:c r="AB646" s="87" t="n">
        <x:f>Z646-AA646</x:f>
        <x:v>16685468640</x:v>
      </x:c>
      <x:c r="AC646" s="87" t="n">
        <x:f>O646+Y646</x:f>
        <x:v>22088866800</x:v>
      </x:c>
      <x:c r="AD646" s="87" t="n">
        <x:f>AB646-AC646</x:f>
        <x:v>-5403398160</x:v>
      </x:c>
      <x:c r="AE646" s="87" t="n">
        <x:f>AD646/D646</x:f>
        <x:v>-1801132720</x:v>
      </x:c>
      <x:c r="AF646" s="87" t="n">
        <x:f>AD646/P646</x:f>
        <x:v>-900566360</x:v>
      </x:c>
      <x:c r="AG646" s="87" t="n">
        <x:f>IF(T646=0,0,AC646/T646/(1-'01 Base Costs'!$B$11))</x:f>
        <x:v>996718052.8481698</x:v>
      </x:c>
      <x:c r="AH646" s="88" t="str">
        <x:f>IF(AD646&gt;0,"PROFIT","LOSS")</x:f>
        <x:v>LOSS</x:v>
      </x:c>
      <x:c r="AI646" s="89" t="str">
        <x:v>Capsuleer Day XXIIII event from screenshot. MCT certificate bought with ISK market price. Extractor 3-for-2 sale.</x:v>
      </x:c>
    </x:row>
    <x:row r="647">
      <x:c r="A647" s="86" t="n">
        <x:v>645</x:v>
      </x:c>
      <x:c r="B647" s="88" t="str">
        <x:v>Sale/Event</x:v>
      </x:c>
      <x:c r="C647" s="88" t="str">
        <x:v>Capsuleer Day 3M Omega + 2 skins</x:v>
      </x:c>
      <x:c r="D647" s="88" t="n">
        <x:v>3</x:v>
      </x:c>
      <x:c r="E647" s="88" t="n">
        <x:v>2</x:v>
      </x:c>
      <x:c r="F647" s="88" t="str">
        <x:v>Market MCT certificate</x:v>
      </x:c>
      <x:c r="G647" s="88" t="str">
        <x:v>NES 2-for-1 extractor sale</x:v>
      </x:c>
      <x:c r="H647" s="87" t="n">
        <x:f>'01 Base Costs'!$B$27</x:f>
        <x:v>960</x:v>
      </x:c>
      <x:c r="I647" s="87" t="n">
        <x:f>0</x:f>
        <x:v>0</x:v>
      </x:c>
      <x:c r="J647" s="87" t="n">
        <x:f>'01 Base Costs'!$B$10</x:f>
        <x:v>2332850000</x:v>
      </x:c>
      <x:c r="K647" s="87" t="n">
        <x:f>D647*(E647-1)*I647</x:f>
        <x:v>0</x:v>
      </x:c>
      <x:c r="L647" s="87" t="n">
        <x:f>D647*(E647-1)*J647</x:f>
        <x:v>6998550000</x:v>
      </x:c>
      <x:c r="M647" s="87" t="n">
        <x:f>0</x:f>
        <x:v>0</x:v>
      </x:c>
      <x:c r="N647" s="87" t="n">
        <x:f>H647+K647+M647</x:f>
        <x:v>960</x:v>
      </x:c>
      <x:c r="O647" s="87" t="n">
        <x:f>N647*'01 Base Costs'!$B$7+L647</x:f>
        <x:v>11616150000</x:v>
      </x:c>
      <x:c r="P647" s="87" t="n">
        <x:f>D647*E647</x:f>
        <x:v>6</x:v>
      </x:c>
      <x:c r="Q647" s="87" t="n">
        <x:f>P647*'01 Base Costs'!$B$12</x:f>
        <x:v>11664000</x:v>
      </x:c>
      <x:c r="R647" s="87" t="n">
        <x:f>0</x:f>
        <x:v>0</x:v>
      </x:c>
      <x:c r="S647" s="87" t="n">
        <x:f>Q647+R647</x:f>
        <x:v>11664000</x:v>
      </x:c>
      <x:c r="T647" s="141" t="n">
        <x:f>S647/'01 Base Costs'!$B$14</x:f>
        <x:v>23.328</x:v>
      </x:c>
      <x:c r="U647" s="87" t="n">
        <x:f>INT(T647)</x:f>
        <x:v>23</x:v>
      </x:c>
      <x:c r="V647" s="87" t="n">
        <x:f>S647-U647*'01 Base Costs'!$B$14</x:f>
        <x:v>164000</x:v>
      </x:c>
      <x:c r="W647" s="120" t="n">
        <x:f>'01 Base Costs'!$B$17/2</x:f>
        <x:v>70</x:v>
      </x:c>
      <x:c r="X647" s="120" t="n">
        <x:f>0</x:f>
        <x:v>0</x:v>
      </x:c>
      <x:c r="Y647" s="87" t="n">
        <x:f>T647*(W647*'01 Base Costs'!$B$7+X647)</x:f>
        <x:v>7854537600</x:v>
      </x:c>
      <x:c r="Z647" s="87" t="n">
        <x:f>T647*'01 Base Costs'!$B$8</x:f>
        <x:v>17563651200</x:v>
      </x:c>
      <x:c r="AA647" s="87" t="n">
        <x:f>Z647*'01 Base Costs'!$B$11</x:f>
        <x:v>878182560</x:v>
      </x:c>
      <x:c r="AB647" s="87" t="n">
        <x:f>Z647-AA647</x:f>
        <x:v>16685468640</x:v>
      </x:c>
      <x:c r="AC647" s="87" t="n">
        <x:f>O647+Y647</x:f>
        <x:v>19470687600</x:v>
      </x:c>
      <x:c r="AD647" s="87" t="n">
        <x:f>AB647-AC647</x:f>
        <x:v>-2785218960</x:v>
      </x:c>
      <x:c r="AE647" s="87" t="n">
        <x:f>AD647/D647</x:f>
        <x:v>-928406320</x:v>
      </x:c>
      <x:c r="AF647" s="87" t="n">
        <x:f>AD647/P647</x:f>
        <x:v>-464203160</x:v>
      </x:c>
      <x:c r="AG647" s="87" t="n">
        <x:f>IF(T647=0,0,AC647/T647/(1-'01 Base Costs'!$B$11))</x:f>
        <x:v>878577701.970977</x:v>
      </x:c>
      <x:c r="AH647" s="88" t="str">
        <x:f>IF(AD647&gt;0,"PROFIT","LOSS")</x:f>
        <x:v>LOSS</x:v>
      </x:c>
      <x:c r="AI647" s="89" t="str">
        <x:v>Capsuleer Day XXIIII event from screenshot. MCT certificate bought with ISK market price. Extractor 2-for-1 sale.</x:v>
      </x:c>
    </x:row>
    <x:row r="648">
      <x:c r="A648" s="86" t="n">
        <x:v>646</x:v>
      </x:c>
      <x:c r="B648" s="88" t="str">
        <x:v>Sale/Event</x:v>
      </x:c>
      <x:c r="C648" s="88" t="str">
        <x:v>Capsuleer Day 3M Omega + 2 skins</x:v>
      </x:c>
      <x:c r="D648" s="88" t="n">
        <x:v>3</x:v>
      </x:c>
      <x:c r="E648" s="88" t="n">
        <x:v>2</x:v>
      </x:c>
      <x:c r="F648" s="88" t="str">
        <x:v>Market MCT certificate</x:v>
      </x:c>
      <x:c r="G648" s="88" t="str">
        <x:v>NES 10-pack extractor 20% sale</x:v>
      </x:c>
      <x:c r="H648" s="87" t="n">
        <x:f>'01 Base Costs'!$B$27</x:f>
        <x:v>960</x:v>
      </x:c>
      <x:c r="I648" s="87" t="n">
        <x:f>0</x:f>
        <x:v>0</x:v>
      </x:c>
      <x:c r="J648" s="87" t="n">
        <x:f>'01 Base Costs'!$B$10</x:f>
        <x:v>2332850000</x:v>
      </x:c>
      <x:c r="K648" s="87" t="n">
        <x:f>D648*(E648-1)*I648</x:f>
        <x:v>0</x:v>
      </x:c>
      <x:c r="L648" s="87" t="n">
        <x:f>D648*(E648-1)*J648</x:f>
        <x:v>6998550000</x:v>
      </x:c>
      <x:c r="M648" s="87" t="n">
        <x:f>0</x:f>
        <x:v>0</x:v>
      </x:c>
      <x:c r="N648" s="87" t="n">
        <x:f>H648+K648+M648</x:f>
        <x:v>960</x:v>
      </x:c>
      <x:c r="O648" s="87" t="n">
        <x:f>N648*'01 Base Costs'!$B$7+L648</x:f>
        <x:v>11616150000</x:v>
      </x:c>
      <x:c r="P648" s="87" t="n">
        <x:f>D648*E648</x:f>
        <x:v>6</x:v>
      </x:c>
      <x:c r="Q648" s="87" t="n">
        <x:f>P648*'01 Base Costs'!$B$12</x:f>
        <x:v>11664000</x:v>
      </x:c>
      <x:c r="R648" s="87" t="n">
        <x:f>0</x:f>
        <x:v>0</x:v>
      </x:c>
      <x:c r="S648" s="87" t="n">
        <x:f>Q648+R648</x:f>
        <x:v>11664000</x:v>
      </x:c>
      <x:c r="T648" s="141" t="n">
        <x:f>S648/'01 Base Costs'!$B$14</x:f>
        <x:v>23.328</x:v>
      </x:c>
      <x:c r="U648" s="87" t="n">
        <x:f>INT(T648)</x:f>
        <x:v>23</x:v>
      </x:c>
      <x:c r="V648" s="87" t="n">
        <x:f>S648-U648*'01 Base Costs'!$B$14</x:f>
        <x:v>164000</x:v>
      </x:c>
      <x:c r="W648" s="120" t="n">
        <x:f>'01 Base Costs'!$B$19*0.8/10</x:f>
        <x:v>95.2</x:v>
      </x:c>
      <x:c r="X648" s="120" t="n">
        <x:f>0</x:f>
        <x:v>0</x:v>
      </x:c>
      <x:c r="Y648" s="87" t="n">
        <x:f>T648*(W648*'01 Base Costs'!$B$7+X648)</x:f>
        <x:v>10682171136</x:v>
      </x:c>
      <x:c r="Z648" s="87" t="n">
        <x:f>T648*'01 Base Costs'!$B$8</x:f>
        <x:v>17563651200</x:v>
      </x:c>
      <x:c r="AA648" s="87" t="n">
        <x:f>Z648*'01 Base Costs'!$B$11</x:f>
        <x:v>878182560</x:v>
      </x:c>
      <x:c r="AB648" s="87" t="n">
        <x:f>Z648-AA648</x:f>
        <x:v>16685468640</x:v>
      </x:c>
      <x:c r="AC648" s="87" t="n">
        <x:f>O648+Y648</x:f>
        <x:v>22298321136</x:v>
      </x:c>
      <x:c r="AD648" s="87" t="n">
        <x:f>AB648-AC648</x:f>
        <x:v>-5612852496</x:v>
      </x:c>
      <x:c r="AE648" s="87" t="n">
        <x:f>AD648/D648</x:f>
        <x:v>-1870950832</x:v>
      </x:c>
      <x:c r="AF648" s="87" t="n">
        <x:f>AD648/P648</x:f>
        <x:v>-935475416</x:v>
      </x:c>
      <x:c r="AG648" s="87" t="n">
        <x:f>IF(T648=0,0,AC648/T648/(1-'01 Base Costs'!$B$11))</x:f>
        <x:v>1006169280.9183453</x:v>
      </x:c>
      <x:c r="AH648" s="88" t="str">
        <x:f>IF(AD648&gt;0,"PROFIT","LOSS")</x:f>
        <x:v>LOSS</x:v>
      </x:c>
      <x:c r="AI648" s="89" t="str">
        <x:v>Capsuleer Day XXIIII event from screenshot. MCT certificate bought with ISK market price. 10-pack at 20% off.</x:v>
      </x:c>
    </x:row>
    <x:row r="649">
      <x:c r="A649" s="86" t="n">
        <x:v>647</x:v>
      </x:c>
      <x:c r="B649" s="88" t="str">
        <x:v>Sale/Event</x:v>
      </x:c>
      <x:c r="C649" s="88" t="str">
        <x:v>Capsuleer Day 3M Omega + 2 skins</x:v>
      </x:c>
      <x:c r="D649" s="88" t="n">
        <x:v>3</x:v>
      </x:c>
      <x:c r="E649" s="88" t="n">
        <x:v>2</x:v>
      </x:c>
      <x:c r="F649" s="88" t="str">
        <x:v>Market MCT certificate</x:v>
      </x:c>
      <x:c r="G649" s="88" t="str">
        <x:v>NES 50-pack extractor 20% sale</x:v>
      </x:c>
      <x:c r="H649" s="87" t="n">
        <x:f>'01 Base Costs'!$B$27</x:f>
        <x:v>960</x:v>
      </x:c>
      <x:c r="I649" s="87" t="n">
        <x:f>0</x:f>
        <x:v>0</x:v>
      </x:c>
      <x:c r="J649" s="87" t="n">
        <x:f>'01 Base Costs'!$B$10</x:f>
        <x:v>2332850000</x:v>
      </x:c>
      <x:c r="K649" s="87" t="n">
        <x:f>D649*(E649-1)*I649</x:f>
        <x:v>0</x:v>
      </x:c>
      <x:c r="L649" s="87" t="n">
        <x:f>D649*(E649-1)*J649</x:f>
        <x:v>6998550000</x:v>
      </x:c>
      <x:c r="M649" s="87" t="n">
        <x:f>0</x:f>
        <x:v>0</x:v>
      </x:c>
      <x:c r="N649" s="87" t="n">
        <x:f>H649+K649+M649</x:f>
        <x:v>960</x:v>
      </x:c>
      <x:c r="O649" s="87" t="n">
        <x:f>N649*'01 Base Costs'!$B$7+L649</x:f>
        <x:v>11616150000</x:v>
      </x:c>
      <x:c r="P649" s="87" t="n">
        <x:f>D649*E649</x:f>
        <x:v>6</x:v>
      </x:c>
      <x:c r="Q649" s="87" t="n">
        <x:f>P649*'01 Base Costs'!$B$12</x:f>
        <x:v>11664000</x:v>
      </x:c>
      <x:c r="R649" s="87" t="n">
        <x:f>0</x:f>
        <x:v>0</x:v>
      </x:c>
      <x:c r="S649" s="87" t="n">
        <x:f>Q649+R649</x:f>
        <x:v>11664000</x:v>
      </x:c>
      <x:c r="T649" s="141" t="n">
        <x:f>S649/'01 Base Costs'!$B$14</x:f>
        <x:v>23.328</x:v>
      </x:c>
      <x:c r="U649" s="87" t="n">
        <x:f>INT(T649)</x:f>
        <x:v>23</x:v>
      </x:c>
      <x:c r="V649" s="87" t="n">
        <x:f>S649-U649*'01 Base Costs'!$B$14</x:f>
        <x:v>164000</x:v>
      </x:c>
      <x:c r="W649" s="120" t="n">
        <x:f>'01 Base Costs'!$B$20*0.8/50</x:f>
        <x:v>89.6</x:v>
      </x:c>
      <x:c r="X649" s="120" t="n">
        <x:f>0</x:f>
        <x:v>0</x:v>
      </x:c>
      <x:c r="Y649" s="87" t="n">
        <x:f>T649*(W649*'01 Base Costs'!$B$7+X649)</x:f>
        <x:v>10053808128</x:v>
      </x:c>
      <x:c r="Z649" s="87" t="n">
        <x:f>T649*'01 Base Costs'!$B$8</x:f>
        <x:v>17563651200</x:v>
      </x:c>
      <x:c r="AA649" s="87" t="n">
        <x:f>Z649*'01 Base Costs'!$B$11</x:f>
        <x:v>878182560</x:v>
      </x:c>
      <x:c r="AB649" s="87" t="n">
        <x:f>Z649-AA649</x:f>
        <x:v>16685468640</x:v>
      </x:c>
      <x:c r="AC649" s="87" t="n">
        <x:f>O649+Y649</x:f>
        <x:v>21669958128</x:v>
      </x:c>
      <x:c r="AD649" s="87" t="n">
        <x:f>AB649-AC649</x:f>
        <x:v>-4984489488</x:v>
      </x:c>
      <x:c r="AE649" s="87" t="n">
        <x:f>AD649/D649</x:f>
        <x:v>-1661496496</x:v>
      </x:c>
      <x:c r="AF649" s="87" t="n">
        <x:f>AD649/P649</x:f>
        <x:v>-830748248</x:v>
      </x:c>
      <x:c r="AG649" s="87" t="n">
        <x:f>IF(T649=0,0,AC649/T649/(1-'01 Base Costs'!$B$11))</x:f>
        <x:v>977815596.7078191</x:v>
      </x:c>
      <x:c r="AH649" s="88" t="str">
        <x:f>IF(AD649&gt;0,"PROFIT","LOSS")</x:f>
        <x:v>LOSS</x:v>
      </x:c>
      <x:c r="AI649" s="89" t="str">
        <x:v>Capsuleer Day XXIIII event from screenshot. MCT certificate bought with ISK market price. 50-pack at 20% off.</x:v>
      </x:c>
    </x:row>
    <x:row r="650">
      <x:c r="A650" s="86" t="n">
        <x:v>648</x:v>
      </x:c>
      <x:c r="B650" s="88" t="str">
        <x:v>Sale/Event</x:v>
      </x:c>
      <x:c r="C650" s="88" t="str">
        <x:v>Capsuleer Day 3M Omega + 2 skins</x:v>
      </x:c>
      <x:c r="D650" s="88" t="n">
        <x:v>3</x:v>
      </x:c>
      <x:c r="E650" s="88" t="n">
        <x:v>2</x:v>
      </x:c>
      <x:c r="F650" s="88" t="str">
        <x:v>Market MCT certificate</x:v>
      </x:c>
      <x:c r="G650" s="88" t="str">
        <x:v>Market Skill Extractor</x:v>
      </x:c>
      <x:c r="H650" s="87" t="n">
        <x:f>'01 Base Costs'!$B$27</x:f>
        <x:v>960</x:v>
      </x:c>
      <x:c r="I650" s="87" t="n">
        <x:f>0</x:f>
        <x:v>0</x:v>
      </x:c>
      <x:c r="J650" s="87" t="n">
        <x:f>'01 Base Costs'!$B$10</x:f>
        <x:v>2332850000</x:v>
      </x:c>
      <x:c r="K650" s="87" t="n">
        <x:f>D650*(E650-1)*I650</x:f>
        <x:v>0</x:v>
      </x:c>
      <x:c r="L650" s="87" t="n">
        <x:f>D650*(E650-1)*J650</x:f>
        <x:v>6998550000</x:v>
      </x:c>
      <x:c r="M650" s="87" t="n">
        <x:f>0</x:f>
        <x:v>0</x:v>
      </x:c>
      <x:c r="N650" s="87" t="n">
        <x:f>H650+K650+M650</x:f>
        <x:v>960</x:v>
      </x:c>
      <x:c r="O650" s="87" t="n">
        <x:f>N650*'01 Base Costs'!$B$7+L650</x:f>
        <x:v>11616150000</x:v>
      </x:c>
      <x:c r="P650" s="87" t="n">
        <x:f>D650*E650</x:f>
        <x:v>6</x:v>
      </x:c>
      <x:c r="Q650" s="87" t="n">
        <x:f>P650*'01 Base Costs'!$B$12</x:f>
        <x:v>11664000</x:v>
      </x:c>
      <x:c r="R650" s="87" t="n">
        <x:f>0</x:f>
        <x:v>0</x:v>
      </x:c>
      <x:c r="S650" s="87" t="n">
        <x:f>Q650+R650</x:f>
        <x:v>11664000</x:v>
      </x:c>
      <x:c r="T650" s="141" t="n">
        <x:f>S650/'01 Base Costs'!$B$14</x:f>
        <x:v>23.328</x:v>
      </x:c>
      <x:c r="U650" s="87" t="n">
        <x:f>INT(T650)</x:f>
        <x:v>23</x:v>
      </x:c>
      <x:c r="V650" s="87" t="n">
        <x:f>S650-U650*'01 Base Costs'!$B$14</x:f>
        <x:v>164000</x:v>
      </x:c>
      <x:c r="W650" s="120" t="n">
        <x:f>0</x:f>
        <x:v>0</x:v>
      </x:c>
      <x:c r="X650" s="120" t="n">
        <x:f>'01 Base Costs'!$B$9</x:f>
        <x:v>463500000</x:v>
      </x:c>
      <x:c r="Y650" s="87" t="n">
        <x:f>T650*(W650*'01 Base Costs'!$B$7+X650)</x:f>
        <x:v>10812528000</x:v>
      </x:c>
      <x:c r="Z650" s="87" t="n">
        <x:f>T650*'01 Base Costs'!$B$8</x:f>
        <x:v>17563651200</x:v>
      </x:c>
      <x:c r="AA650" s="87" t="n">
        <x:f>Z650*'01 Base Costs'!$B$11</x:f>
        <x:v>878182560</x:v>
      </x:c>
      <x:c r="AB650" s="87" t="n">
        <x:f>Z650-AA650</x:f>
        <x:v>16685468640</x:v>
      </x:c>
      <x:c r="AC650" s="87" t="n">
        <x:f>O650+Y650</x:f>
        <x:v>22428678000</x:v>
      </x:c>
      <x:c r="AD650" s="87" t="n">
        <x:f>AB650-AC650</x:f>
        <x:v>-5743209360</x:v>
      </x:c>
      <x:c r="AE650" s="87" t="n">
        <x:f>AD650/D650</x:f>
        <x:v>-1914403120</x:v>
      </x:c>
      <x:c r="AF650" s="87" t="n">
        <x:f>AD650/P650</x:f>
        <x:v>-957201560</x:v>
      </x:c>
      <x:c r="AG650" s="87" t="n">
        <x:f>IF(T650=0,0,AC650/T650/(1-'01 Base Costs'!$B$11))</x:f>
        <x:v>1012051386.1815033</x:v>
      </x:c>
      <x:c r="AH650" s="88" t="str">
        <x:f>IF(AD650&gt;0,"PROFIT","LOSS")</x:f>
        <x:v>LOSS</x:v>
      </x:c>
      <x:c r="AI650" s="89" t="str">
        <x:v>Capsuleer Day XXIIII event from screenshot. MCT certificate bought with ISK market price. Extractor bought on market with ISK.</x:v>
      </x:c>
    </x:row>
    <x:row r="651">
      <x:c r="A651" s="86" t="n">
        <x:v>649</x:v>
      </x:c>
      <x:c r="B651" s="88" t="str">
        <x:v>Sale/Event</x:v>
      </x:c>
      <x:c r="C651" s="88" t="str">
        <x:v>Capsuleer Day 3M Omega + 2 skins</x:v>
      </x:c>
      <x:c r="D651" s="88" t="n">
        <x:v>3</x:v>
      </x:c>
      <x:c r="E651" s="88" t="n">
        <x:v>3</x:v>
      </x:c>
      <x:c r="F651" s="88" t="str">
        <x:v>NES base MCT</x:v>
      </x:c>
      <x:c r="G651" s="88" t="str">
        <x:v>NES single extractor</x:v>
      </x:c>
      <x:c r="H651" s="87" t="n">
        <x:f>'01 Base Costs'!$B$27</x:f>
        <x:v>960</x:v>
      </x:c>
      <x:c r="I651" s="87" t="n">
        <x:f>'01 Base Costs'!$B$16</x:f>
        <x:v>485</x:v>
      </x:c>
      <x:c r="J651" s="87" t="n">
        <x:f>0</x:f>
        <x:v>0</x:v>
      </x:c>
      <x:c r="K651" s="87" t="n">
        <x:f>D651*(E651-1)*I651</x:f>
        <x:v>2910</x:v>
      </x:c>
      <x:c r="L651" s="87" t="n">
        <x:f>D651*(E651-1)*J651</x:f>
        <x:v>0</x:v>
      </x:c>
      <x:c r="M651" s="87" t="n">
        <x:f>0</x:f>
        <x:v>0</x:v>
      </x:c>
      <x:c r="N651" s="87" t="n">
        <x:f>H651+K651+M651</x:f>
        <x:v>3870</x:v>
      </x:c>
      <x:c r="O651" s="87" t="n">
        <x:f>N651*'01 Base Costs'!$B$7+L651</x:f>
        <x:v>18614700000</x:v>
      </x:c>
      <x:c r="P651" s="87" t="n">
        <x:f>D651*E651</x:f>
        <x:v>9</x:v>
      </x:c>
      <x:c r="Q651" s="87" t="n">
        <x:f>P651*'01 Base Costs'!$B$12</x:f>
        <x:v>17496000</x:v>
      </x:c>
      <x:c r="R651" s="87" t="n">
        <x:f>0</x:f>
        <x:v>0</x:v>
      </x:c>
      <x:c r="S651" s="87" t="n">
        <x:f>Q651+R651</x:f>
        <x:v>17496000</x:v>
      </x:c>
      <x:c r="T651" s="141" t="n">
        <x:f>S651/'01 Base Costs'!$B$14</x:f>
        <x:v>34.992</x:v>
      </x:c>
      <x:c r="U651" s="87" t="n">
        <x:f>INT(T651)</x:f>
        <x:v>34</x:v>
      </x:c>
      <x:c r="V651" s="87" t="n">
        <x:f>S651-U651*'01 Base Costs'!$B$14</x:f>
        <x:v>496000</x:v>
      </x:c>
      <x:c r="W651" s="120" t="n">
        <x:f>'01 Base Costs'!$B$17</x:f>
        <x:v>140</x:v>
      </x:c>
      <x:c r="X651" s="120" t="n">
        <x:f>0</x:f>
        <x:v>0</x:v>
      </x:c>
      <x:c r="Y651" s="87" t="n">
        <x:f>T651*(W651*'01 Base Costs'!$B$7+X651)</x:f>
        <x:v>23563612800</x:v>
      </x:c>
      <x:c r="Z651" s="87" t="n">
        <x:f>T651*'01 Base Costs'!$B$8</x:f>
        <x:v>26345476799.999996</x:v>
      </x:c>
      <x:c r="AA651" s="87" t="n">
        <x:f>Z651*'01 Base Costs'!$B$11</x:f>
        <x:v>1317273840</x:v>
      </x:c>
      <x:c r="AB651" s="87" t="n">
        <x:f>Z651-AA651</x:f>
        <x:v>25028202959.999996</x:v>
      </x:c>
      <x:c r="AC651" s="87" t="n">
        <x:f>O651+Y651</x:f>
        <x:v>42178312800</x:v>
      </x:c>
      <x:c r="AD651" s="87" t="n">
        <x:f>AB651-AC651</x:f>
        <x:v>-17150109840.000004</x:v>
      </x:c>
      <x:c r="AE651" s="87" t="n">
        <x:f>AD651/D651</x:f>
        <x:v>-5716703280.000001</x:v>
      </x:c>
      <x:c r="AF651" s="87" t="n">
        <x:f>AD651/P651</x:f>
        <x:v>-1905567760.0000005</x:v>
      </x:c>
      <x:c r="AG651" s="87" t="n">
        <x:f>IF(T651=0,0,AC651/T651/(1-'01 Base Costs'!$B$11))</x:f>
        <x:v>1268810699.5884776</x:v>
      </x:c>
      <x:c r="AH651" s="88" t="str">
        <x:f>IF(AD651&gt;0,"PROFIT","LOSS")</x:f>
        <x:v>LOSS</x:v>
      </x:c>
      <x:c r="AI651" s="89" t="str">
        <x:v>Capsuleer Day XXIIII event from screenshot. MCT purchased with PLEX in NES. Base single extractor.</x:v>
      </x:c>
    </x:row>
    <x:row r="652">
      <x:c r="A652" s="86" t="n">
        <x:v>650</x:v>
      </x:c>
      <x:c r="B652" s="88" t="str">
        <x:v>Sale/Event</x:v>
      </x:c>
      <x:c r="C652" s="88" t="str">
        <x:v>Capsuleer Day 3M Omega + 2 skins</x:v>
      </x:c>
      <x:c r="D652" s="88" t="n">
        <x:v>3</x:v>
      </x:c>
      <x:c r="E652" s="88" t="n">
        <x:v>3</x:v>
      </x:c>
      <x:c r="F652" s="88" t="str">
        <x:v>NES base MCT</x:v>
      </x:c>
      <x:c r="G652" s="88" t="str">
        <x:v>NES 5-pack extractor</x:v>
      </x:c>
      <x:c r="H652" s="87" t="n">
        <x:f>'01 Base Costs'!$B$27</x:f>
        <x:v>960</x:v>
      </x:c>
      <x:c r="I652" s="87" t="n">
        <x:f>'01 Base Costs'!$B$16</x:f>
        <x:v>485</x:v>
      </x:c>
      <x:c r="J652" s="87" t="n">
        <x:f>0</x:f>
        <x:v>0</x:v>
      </x:c>
      <x:c r="K652" s="87" t="n">
        <x:f>D652*(E652-1)*I652</x:f>
        <x:v>2910</x:v>
      </x:c>
      <x:c r="L652" s="87" t="n">
        <x:f>D652*(E652-1)*J652</x:f>
        <x:v>0</x:v>
      </x:c>
      <x:c r="M652" s="87" t="n">
        <x:f>0</x:f>
        <x:v>0</x:v>
      </x:c>
      <x:c r="N652" s="87" t="n">
        <x:f>H652+K652+M652</x:f>
        <x:v>3870</x:v>
      </x:c>
      <x:c r="O652" s="87" t="n">
        <x:f>N652*'01 Base Costs'!$B$7+L652</x:f>
        <x:v>18614700000</x:v>
      </x:c>
      <x:c r="P652" s="87" t="n">
        <x:f>D652*E652</x:f>
        <x:v>9</x:v>
      </x:c>
      <x:c r="Q652" s="87" t="n">
        <x:f>P652*'01 Base Costs'!$B$12</x:f>
        <x:v>17496000</x:v>
      </x:c>
      <x:c r="R652" s="87" t="n">
        <x:f>0</x:f>
        <x:v>0</x:v>
      </x:c>
      <x:c r="S652" s="87" t="n">
        <x:f>Q652+R652</x:f>
        <x:v>17496000</x:v>
      </x:c>
      <x:c r="T652" s="141" t="n">
        <x:f>S652/'01 Base Costs'!$B$14</x:f>
        <x:v>34.992</x:v>
      </x:c>
      <x:c r="U652" s="87" t="n">
        <x:f>INT(T652)</x:f>
        <x:v>34</x:v>
      </x:c>
      <x:c r="V652" s="87" t="n">
        <x:f>S652-U652*'01 Base Costs'!$B$14</x:f>
        <x:v>496000</x:v>
      </x:c>
      <x:c r="W652" s="120" t="n">
        <x:f>'01 Base Costs'!$B$18/5</x:f>
        <x:v>126</x:v>
      </x:c>
      <x:c r="X652" s="120" t="n">
        <x:f>0</x:f>
        <x:v>0</x:v>
      </x:c>
      <x:c r="Y652" s="87" t="n">
        <x:f>T652*(W652*'01 Base Costs'!$B$7+X652)</x:f>
        <x:v>21207251520</x:v>
      </x:c>
      <x:c r="Z652" s="87" t="n">
        <x:f>T652*'01 Base Costs'!$B$8</x:f>
        <x:v>26345476799.999996</x:v>
      </x:c>
      <x:c r="AA652" s="87" t="n">
        <x:f>Z652*'01 Base Costs'!$B$11</x:f>
        <x:v>1317273840</x:v>
      </x:c>
      <x:c r="AB652" s="87" t="n">
        <x:f>Z652-AA652</x:f>
        <x:v>25028202959.999996</x:v>
      </x:c>
      <x:c r="AC652" s="87" t="n">
        <x:f>O652+Y652</x:f>
        <x:v>39821951520</x:v>
      </x:c>
      <x:c r="AD652" s="87" t="n">
        <x:f>AB652-AC652</x:f>
        <x:v>-14793748560.000004</x:v>
      </x:c>
      <x:c r="AE652" s="87" t="n">
        <x:f>AD652/D652</x:f>
        <x:v>-4931249520.000001</x:v>
      </x:c>
      <x:c r="AF652" s="87" t="n">
        <x:f>AD652/P652</x:f>
        <x:v>-1643749840.0000005</x:v>
      </x:c>
      <x:c r="AG652" s="87" t="n">
        <x:f>IF(T652=0,0,AC652/T652/(1-'01 Base Costs'!$B$11))</x:f>
        <x:v>1197926489.0621617</x:v>
      </x:c>
      <x:c r="AH652" s="88" t="str">
        <x:f>IF(AD652&gt;0,"PROFIT","LOSS")</x:f>
        <x:v>LOSS</x:v>
      </x:c>
      <x:c r="AI652" s="89" t="str">
        <x:v>Capsuleer Day XXIIII event from screenshot. MCT purchased with PLEX in NES. Base 5-pack average.</x:v>
      </x:c>
    </x:row>
    <x:row r="653">
      <x:c r="A653" s="86" t="n">
        <x:v>651</x:v>
      </x:c>
      <x:c r="B653" s="88" t="str">
        <x:v>Sale/Event</x:v>
      </x:c>
      <x:c r="C653" s="88" t="str">
        <x:v>Capsuleer Day 3M Omega + 2 skins</x:v>
      </x:c>
      <x:c r="D653" s="88" t="n">
        <x:v>3</x:v>
      </x:c>
      <x:c r="E653" s="88" t="n">
        <x:v>3</x:v>
      </x:c>
      <x:c r="F653" s="88" t="str">
        <x:v>NES base MCT</x:v>
      </x:c>
      <x:c r="G653" s="88" t="str">
        <x:v>NES 10-pack extractor</x:v>
      </x:c>
      <x:c r="H653" s="87" t="n">
        <x:f>'01 Base Costs'!$B$27</x:f>
        <x:v>960</x:v>
      </x:c>
      <x:c r="I653" s="87" t="n">
        <x:f>'01 Base Costs'!$B$16</x:f>
        <x:v>485</x:v>
      </x:c>
      <x:c r="J653" s="87" t="n">
        <x:f>0</x:f>
        <x:v>0</x:v>
      </x:c>
      <x:c r="K653" s="87" t="n">
        <x:f>D653*(E653-1)*I653</x:f>
        <x:v>2910</x:v>
      </x:c>
      <x:c r="L653" s="87" t="n">
        <x:f>D653*(E653-1)*J653</x:f>
        <x:v>0</x:v>
      </x:c>
      <x:c r="M653" s="87" t="n">
        <x:f>0</x:f>
        <x:v>0</x:v>
      </x:c>
      <x:c r="N653" s="87" t="n">
        <x:f>H653+K653+M653</x:f>
        <x:v>3870</x:v>
      </x:c>
      <x:c r="O653" s="87" t="n">
        <x:f>N653*'01 Base Costs'!$B$7+L653</x:f>
        <x:v>18614700000</x:v>
      </x:c>
      <x:c r="P653" s="87" t="n">
        <x:f>D653*E653</x:f>
        <x:v>9</x:v>
      </x:c>
      <x:c r="Q653" s="87" t="n">
        <x:f>P653*'01 Base Costs'!$B$12</x:f>
        <x:v>17496000</x:v>
      </x:c>
      <x:c r="R653" s="87" t="n">
        <x:f>0</x:f>
        <x:v>0</x:v>
      </x:c>
      <x:c r="S653" s="87" t="n">
        <x:f>Q653+R653</x:f>
        <x:v>17496000</x:v>
      </x:c>
      <x:c r="T653" s="141" t="n">
        <x:f>S653/'01 Base Costs'!$B$14</x:f>
        <x:v>34.992</x:v>
      </x:c>
      <x:c r="U653" s="87" t="n">
        <x:f>INT(T653)</x:f>
        <x:v>34</x:v>
      </x:c>
      <x:c r="V653" s="87" t="n">
        <x:f>S653-U653*'01 Base Costs'!$B$14</x:f>
        <x:v>496000</x:v>
      </x:c>
      <x:c r="W653" s="120" t="n">
        <x:f>'01 Base Costs'!$B$19/10</x:f>
        <x:v>119</x:v>
      </x:c>
      <x:c r="X653" s="120" t="n">
        <x:f>0</x:f>
        <x:v>0</x:v>
      </x:c>
      <x:c r="Y653" s="87" t="n">
        <x:f>T653*(W653*'01 Base Costs'!$B$7+X653)</x:f>
        <x:v>20029070880</x:v>
      </x:c>
      <x:c r="Z653" s="87" t="n">
        <x:f>T653*'01 Base Costs'!$B$8</x:f>
        <x:v>26345476799.999996</x:v>
      </x:c>
      <x:c r="AA653" s="87" t="n">
        <x:f>Z653*'01 Base Costs'!$B$11</x:f>
        <x:v>1317273840</x:v>
      </x:c>
      <x:c r="AB653" s="87" t="n">
        <x:f>Z653-AA653</x:f>
        <x:v>25028202959.999996</x:v>
      </x:c>
      <x:c r="AC653" s="87" t="n">
        <x:f>O653+Y653</x:f>
        <x:v>38643770880</x:v>
      </x:c>
      <x:c r="AD653" s="87" t="n">
        <x:f>AB653-AC653</x:f>
        <x:v>-13615567920.000004</x:v>
      </x:c>
      <x:c r="AE653" s="87" t="n">
        <x:f>AD653/D653</x:f>
        <x:v>-4538522640.000001</x:v>
      </x:c>
      <x:c r="AF653" s="87" t="n">
        <x:f>AD653/P653</x:f>
        <x:v>-1512840880.0000005</x:v>
      </x:c>
      <x:c r="AG653" s="87" t="n">
        <x:f>IF(T653=0,0,AC653/T653/(1-'01 Base Costs'!$B$11))</x:f>
        <x:v>1162484383.7990038</x:v>
      </x:c>
      <x:c r="AH653" s="88" t="str">
        <x:f>IF(AD653&gt;0,"PROFIT","LOSS")</x:f>
        <x:v>LOSS</x:v>
      </x:c>
      <x:c r="AI653" s="89" t="str">
        <x:v>Capsuleer Day XXIIII event from screenshot. MCT purchased with PLEX in NES. Base 10-pack average.</x:v>
      </x:c>
    </x:row>
    <x:row r="654">
      <x:c r="A654" s="86" t="n">
        <x:v>652</x:v>
      </x:c>
      <x:c r="B654" s="88" t="str">
        <x:v>Sale/Event</x:v>
      </x:c>
      <x:c r="C654" s="88" t="str">
        <x:v>Capsuleer Day 3M Omega + 2 skins</x:v>
      </x:c>
      <x:c r="D654" s="88" t="n">
        <x:v>3</x:v>
      </x:c>
      <x:c r="E654" s="88" t="n">
        <x:v>3</x:v>
      </x:c>
      <x:c r="F654" s="88" t="str">
        <x:v>NES base MCT</x:v>
      </x:c>
      <x:c r="G654" s="88" t="str">
        <x:v>NES 50-pack extractor</x:v>
      </x:c>
      <x:c r="H654" s="87" t="n">
        <x:f>'01 Base Costs'!$B$27</x:f>
        <x:v>960</x:v>
      </x:c>
      <x:c r="I654" s="87" t="n">
        <x:f>'01 Base Costs'!$B$16</x:f>
        <x:v>485</x:v>
      </x:c>
      <x:c r="J654" s="87" t="n">
        <x:f>0</x:f>
        <x:v>0</x:v>
      </x:c>
      <x:c r="K654" s="87" t="n">
        <x:f>D654*(E654-1)*I654</x:f>
        <x:v>2910</x:v>
      </x:c>
      <x:c r="L654" s="87" t="n">
        <x:f>D654*(E654-1)*J654</x:f>
        <x:v>0</x:v>
      </x:c>
      <x:c r="M654" s="87" t="n">
        <x:f>0</x:f>
        <x:v>0</x:v>
      </x:c>
      <x:c r="N654" s="87" t="n">
        <x:f>H654+K654+M654</x:f>
        <x:v>3870</x:v>
      </x:c>
      <x:c r="O654" s="87" t="n">
        <x:f>N654*'01 Base Costs'!$B$7+L654</x:f>
        <x:v>18614700000</x:v>
      </x:c>
      <x:c r="P654" s="87" t="n">
        <x:f>D654*E654</x:f>
        <x:v>9</x:v>
      </x:c>
      <x:c r="Q654" s="87" t="n">
        <x:f>P654*'01 Base Costs'!$B$12</x:f>
        <x:v>17496000</x:v>
      </x:c>
      <x:c r="R654" s="87" t="n">
        <x:f>0</x:f>
        <x:v>0</x:v>
      </x:c>
      <x:c r="S654" s="87" t="n">
        <x:f>Q654+R654</x:f>
        <x:v>17496000</x:v>
      </x:c>
      <x:c r="T654" s="141" t="n">
        <x:f>S654/'01 Base Costs'!$B$14</x:f>
        <x:v>34.992</x:v>
      </x:c>
      <x:c r="U654" s="87" t="n">
        <x:f>INT(T654)</x:f>
        <x:v>34</x:v>
      </x:c>
      <x:c r="V654" s="87" t="n">
        <x:f>S654-U654*'01 Base Costs'!$B$14</x:f>
        <x:v>496000</x:v>
      </x:c>
      <x:c r="W654" s="120" t="n">
        <x:f>'01 Base Costs'!$B$20/50</x:f>
        <x:v>112</x:v>
      </x:c>
      <x:c r="X654" s="120" t="n">
        <x:f>0</x:f>
        <x:v>0</x:v>
      </x:c>
      <x:c r="Y654" s="87" t="n">
        <x:f>T654*(W654*'01 Base Costs'!$B$7+X654)</x:f>
        <x:v>18850890240</x:v>
      </x:c>
      <x:c r="Z654" s="87" t="n">
        <x:f>T654*'01 Base Costs'!$B$8</x:f>
        <x:v>26345476799.999996</x:v>
      </x:c>
      <x:c r="AA654" s="87" t="n">
        <x:f>Z654*'01 Base Costs'!$B$11</x:f>
        <x:v>1317273840</x:v>
      </x:c>
      <x:c r="AB654" s="87" t="n">
        <x:f>Z654-AA654</x:f>
        <x:v>25028202959.999996</x:v>
      </x:c>
      <x:c r="AC654" s="87" t="n">
        <x:f>O654+Y654</x:f>
        <x:v>37465590240</x:v>
      </x:c>
      <x:c r="AD654" s="87" t="n">
        <x:f>AB654-AC654</x:f>
        <x:v>-12437387280.000004</x:v>
      </x:c>
      <x:c r="AE654" s="87" t="n">
        <x:f>AD654/D654</x:f>
        <x:v>-4145795760.0000014</x:v>
      </x:c>
      <x:c r="AF654" s="87" t="n">
        <x:f>AD654/P654</x:f>
        <x:v>-1381931920.0000005</x:v>
      </x:c>
      <x:c r="AG654" s="87" t="n">
        <x:f>IF(T654=0,0,AC654/T654/(1-'01 Base Costs'!$B$11))</x:f>
        <x:v>1127042278.535846</x:v>
      </x:c>
      <x:c r="AH654" s="88" t="str">
        <x:f>IF(AD654&gt;0,"PROFIT","LOSS")</x:f>
        <x:v>LOSS</x:v>
      </x:c>
      <x:c r="AI654" s="89" t="str">
        <x:v>Capsuleer Day XXIIII event from screenshot. MCT purchased with PLEX in NES. Base 50-pack average.</x:v>
      </x:c>
    </x:row>
    <x:row r="655">
      <x:c r="A655" s="86" t="n">
        <x:v>653</x:v>
      </x:c>
      <x:c r="B655" s="88" t="str">
        <x:v>Sale/Event</x:v>
      </x:c>
      <x:c r="C655" s="88" t="str">
        <x:v>Capsuleer Day 3M Omega + 2 skins</x:v>
      </x:c>
      <x:c r="D655" s="88" t="n">
        <x:v>3</x:v>
      </x:c>
      <x:c r="E655" s="88" t="n">
        <x:v>3</x:v>
      </x:c>
      <x:c r="F655" s="88" t="str">
        <x:v>NES base MCT</x:v>
      </x:c>
      <x:c r="G655" s="88" t="str">
        <x:v>NES 3-for-2 extractor sale</x:v>
      </x:c>
      <x:c r="H655" s="87" t="n">
        <x:f>'01 Base Costs'!$B$27</x:f>
        <x:v>960</x:v>
      </x:c>
      <x:c r="I655" s="87" t="n">
        <x:f>'01 Base Costs'!$B$16</x:f>
        <x:v>485</x:v>
      </x:c>
      <x:c r="J655" s="87" t="n">
        <x:f>0</x:f>
        <x:v>0</x:v>
      </x:c>
      <x:c r="K655" s="87" t="n">
        <x:f>D655*(E655-1)*I655</x:f>
        <x:v>2910</x:v>
      </x:c>
      <x:c r="L655" s="87" t="n">
        <x:f>D655*(E655-1)*J655</x:f>
        <x:v>0</x:v>
      </x:c>
      <x:c r="M655" s="87" t="n">
        <x:f>0</x:f>
        <x:v>0</x:v>
      </x:c>
      <x:c r="N655" s="87" t="n">
        <x:f>H655+K655+M655</x:f>
        <x:v>3870</x:v>
      </x:c>
      <x:c r="O655" s="87" t="n">
        <x:f>N655*'01 Base Costs'!$B$7+L655</x:f>
        <x:v>18614700000</x:v>
      </x:c>
      <x:c r="P655" s="87" t="n">
        <x:f>D655*E655</x:f>
        <x:v>9</x:v>
      </x:c>
      <x:c r="Q655" s="87" t="n">
        <x:f>P655*'01 Base Costs'!$B$12</x:f>
        <x:v>17496000</x:v>
      </x:c>
      <x:c r="R655" s="87" t="n">
        <x:f>0</x:f>
        <x:v>0</x:v>
      </x:c>
      <x:c r="S655" s="87" t="n">
        <x:f>Q655+R655</x:f>
        <x:v>17496000</x:v>
      </x:c>
      <x:c r="T655" s="141" t="n">
        <x:f>S655/'01 Base Costs'!$B$14</x:f>
        <x:v>34.992</x:v>
      </x:c>
      <x:c r="U655" s="87" t="n">
        <x:f>INT(T655)</x:f>
        <x:v>34</x:v>
      </x:c>
      <x:c r="V655" s="87" t="n">
        <x:f>S655-U655*'01 Base Costs'!$B$14</x:f>
        <x:v>496000</x:v>
      </x:c>
      <x:c r="W655" s="120" t="n">
        <x:f>'01 Base Costs'!$B$17*2/3</x:f>
        <x:v>93.33333333333333</x:v>
      </x:c>
      <x:c r="X655" s="120" t="n">
        <x:f>0</x:f>
        <x:v>0</x:v>
      </x:c>
      <x:c r="Y655" s="87" t="n">
        <x:f>T655*(W655*'01 Base Costs'!$B$7+X655)</x:f>
        <x:v>15709075199.999998</x:v>
      </x:c>
      <x:c r="Z655" s="87" t="n">
        <x:f>T655*'01 Base Costs'!$B$8</x:f>
        <x:v>26345476799.999996</x:v>
      </x:c>
      <x:c r="AA655" s="87" t="n">
        <x:f>Z655*'01 Base Costs'!$B$11</x:f>
        <x:v>1317273840</x:v>
      </x:c>
      <x:c r="AB655" s="87" t="n">
        <x:f>Z655-AA655</x:f>
        <x:v>25028202959.999996</x:v>
      </x:c>
      <x:c r="AC655" s="87" t="n">
        <x:f>O655+Y655</x:f>
        <x:v>34323775200</x:v>
      </x:c>
      <x:c r="AD655" s="87" t="n">
        <x:f>AB655-AC655</x:f>
        <x:v>-9295572240.000004</x:v>
      </x:c>
      <x:c r="AE655" s="87" t="n">
        <x:f>AD655/D655</x:f>
        <x:v>-3098524080.0000014</x:v>
      </x:c>
      <x:c r="AF655" s="87" t="n">
        <x:f>AD655/P655</x:f>
        <x:v>-1032841360.0000005</x:v>
      </x:c>
      <x:c r="AG655" s="87" t="n">
        <x:f>IF(T655=0,0,AC655/T655/(1-'01 Base Costs'!$B$11))</x:f>
        <x:v>1032529997.8340915</x:v>
      </x:c>
      <x:c r="AH655" s="88" t="str">
        <x:f>IF(AD655&gt;0,"PROFIT","LOSS")</x:f>
        <x:v>LOSS</x:v>
      </x:c>
      <x:c r="AI655" s="89" t="str">
        <x:v>Capsuleer Day XXIIII event from screenshot. MCT purchased with PLEX in NES. Extractor 3-for-2 sale.</x:v>
      </x:c>
    </x:row>
    <x:row r="656">
      <x:c r="A656" s="86" t="n">
        <x:v>654</x:v>
      </x:c>
      <x:c r="B656" s="88" t="str">
        <x:v>Sale/Event</x:v>
      </x:c>
      <x:c r="C656" s="88" t="str">
        <x:v>Capsuleer Day 3M Omega + 2 skins</x:v>
      </x:c>
      <x:c r="D656" s="88" t="n">
        <x:v>3</x:v>
      </x:c>
      <x:c r="E656" s="88" t="n">
        <x:v>3</x:v>
      </x:c>
      <x:c r="F656" s="88" t="str">
        <x:v>NES base MCT</x:v>
      </x:c>
      <x:c r="G656" s="88" t="str">
        <x:v>NES 2-for-1 extractor sale</x:v>
      </x:c>
      <x:c r="H656" s="87" t="n">
        <x:f>'01 Base Costs'!$B$27</x:f>
        <x:v>960</x:v>
      </x:c>
      <x:c r="I656" s="87" t="n">
        <x:f>'01 Base Costs'!$B$16</x:f>
        <x:v>485</x:v>
      </x:c>
      <x:c r="J656" s="87" t="n">
        <x:f>0</x:f>
        <x:v>0</x:v>
      </x:c>
      <x:c r="K656" s="87" t="n">
        <x:f>D656*(E656-1)*I656</x:f>
        <x:v>2910</x:v>
      </x:c>
      <x:c r="L656" s="87" t="n">
        <x:f>D656*(E656-1)*J656</x:f>
        <x:v>0</x:v>
      </x:c>
      <x:c r="M656" s="87" t="n">
        <x:f>0</x:f>
        <x:v>0</x:v>
      </x:c>
      <x:c r="N656" s="87" t="n">
        <x:f>H656+K656+M656</x:f>
        <x:v>3870</x:v>
      </x:c>
      <x:c r="O656" s="87" t="n">
        <x:f>N656*'01 Base Costs'!$B$7+L656</x:f>
        <x:v>18614700000</x:v>
      </x:c>
      <x:c r="P656" s="87" t="n">
        <x:f>D656*E656</x:f>
        <x:v>9</x:v>
      </x:c>
      <x:c r="Q656" s="87" t="n">
        <x:f>P656*'01 Base Costs'!$B$12</x:f>
        <x:v>17496000</x:v>
      </x:c>
      <x:c r="R656" s="87" t="n">
        <x:f>0</x:f>
        <x:v>0</x:v>
      </x:c>
      <x:c r="S656" s="87" t="n">
        <x:f>Q656+R656</x:f>
        <x:v>17496000</x:v>
      </x:c>
      <x:c r="T656" s="141" t="n">
        <x:f>S656/'01 Base Costs'!$B$14</x:f>
        <x:v>34.992</x:v>
      </x:c>
      <x:c r="U656" s="87" t="n">
        <x:f>INT(T656)</x:f>
        <x:v>34</x:v>
      </x:c>
      <x:c r="V656" s="87" t="n">
        <x:f>S656-U656*'01 Base Costs'!$B$14</x:f>
        <x:v>496000</x:v>
      </x:c>
      <x:c r="W656" s="120" t="n">
        <x:f>'01 Base Costs'!$B$17/2</x:f>
        <x:v>70</x:v>
      </x:c>
      <x:c r="X656" s="120" t="n">
        <x:f>0</x:f>
        <x:v>0</x:v>
      </x:c>
      <x:c r="Y656" s="87" t="n">
        <x:f>T656*(W656*'01 Base Costs'!$B$7+X656)</x:f>
        <x:v>11781806400</x:v>
      </x:c>
      <x:c r="Z656" s="87" t="n">
        <x:f>T656*'01 Base Costs'!$B$8</x:f>
        <x:v>26345476799.999996</x:v>
      </x:c>
      <x:c r="AA656" s="87" t="n">
        <x:f>Z656*'01 Base Costs'!$B$11</x:f>
        <x:v>1317273840</x:v>
      </x:c>
      <x:c r="AB656" s="87" t="n">
        <x:f>Z656-AA656</x:f>
        <x:v>25028202959.999996</x:v>
      </x:c>
      <x:c r="AC656" s="87" t="n">
        <x:f>O656+Y656</x:f>
        <x:v>30396506400</x:v>
      </x:c>
      <x:c r="AD656" s="87" t="n">
        <x:f>AB656-AC656</x:f>
        <x:v>-5368303440.000004</x:v>
      </x:c>
      <x:c r="AE656" s="87" t="n">
        <x:f>AD656/D656</x:f>
        <x:v>-1789434480.0000012</x:v>
      </x:c>
      <x:c r="AF656" s="87" t="n">
        <x:f>AD656/P656</x:f>
        <x:v>-596478160.0000005</x:v>
      </x:c>
      <x:c r="AG656" s="87" t="n">
        <x:f>IF(T656=0,0,AC656/T656/(1-'01 Base Costs'!$B$11))</x:f>
        <x:v>914389646.9568986</x:v>
      </x:c>
      <x:c r="AH656" s="88" t="str">
        <x:f>IF(AD656&gt;0,"PROFIT","LOSS")</x:f>
        <x:v>LOSS</x:v>
      </x:c>
      <x:c r="AI656" s="89" t="str">
        <x:v>Capsuleer Day XXIIII event from screenshot. MCT purchased with PLEX in NES. Extractor 2-for-1 sale.</x:v>
      </x:c>
    </x:row>
    <x:row r="657">
      <x:c r="A657" s="86" t="n">
        <x:v>655</x:v>
      </x:c>
      <x:c r="B657" s="88" t="str">
        <x:v>Sale/Event</x:v>
      </x:c>
      <x:c r="C657" s="88" t="str">
        <x:v>Capsuleer Day 3M Omega + 2 skins</x:v>
      </x:c>
      <x:c r="D657" s="88" t="n">
        <x:v>3</x:v>
      </x:c>
      <x:c r="E657" s="88" t="n">
        <x:v>3</x:v>
      </x:c>
      <x:c r="F657" s="88" t="str">
        <x:v>NES base MCT</x:v>
      </x:c>
      <x:c r="G657" s="88" t="str">
        <x:v>NES 10-pack extractor 20% sale</x:v>
      </x:c>
      <x:c r="H657" s="87" t="n">
        <x:f>'01 Base Costs'!$B$27</x:f>
        <x:v>960</x:v>
      </x:c>
      <x:c r="I657" s="87" t="n">
        <x:f>'01 Base Costs'!$B$16</x:f>
        <x:v>485</x:v>
      </x:c>
      <x:c r="J657" s="87" t="n">
        <x:f>0</x:f>
        <x:v>0</x:v>
      </x:c>
      <x:c r="K657" s="87" t="n">
        <x:f>D657*(E657-1)*I657</x:f>
        <x:v>2910</x:v>
      </x:c>
      <x:c r="L657" s="87" t="n">
        <x:f>D657*(E657-1)*J657</x:f>
        <x:v>0</x:v>
      </x:c>
      <x:c r="M657" s="87" t="n">
        <x:f>0</x:f>
        <x:v>0</x:v>
      </x:c>
      <x:c r="N657" s="87" t="n">
        <x:f>H657+K657+M657</x:f>
        <x:v>3870</x:v>
      </x:c>
      <x:c r="O657" s="87" t="n">
        <x:f>N657*'01 Base Costs'!$B$7+L657</x:f>
        <x:v>18614700000</x:v>
      </x:c>
      <x:c r="P657" s="87" t="n">
        <x:f>D657*E657</x:f>
        <x:v>9</x:v>
      </x:c>
      <x:c r="Q657" s="87" t="n">
        <x:f>P657*'01 Base Costs'!$B$12</x:f>
        <x:v>17496000</x:v>
      </x:c>
      <x:c r="R657" s="87" t="n">
        <x:f>0</x:f>
        <x:v>0</x:v>
      </x:c>
      <x:c r="S657" s="87" t="n">
        <x:f>Q657+R657</x:f>
        <x:v>17496000</x:v>
      </x:c>
      <x:c r="T657" s="141" t="n">
        <x:f>S657/'01 Base Costs'!$B$14</x:f>
        <x:v>34.992</x:v>
      </x:c>
      <x:c r="U657" s="87" t="n">
        <x:f>INT(T657)</x:f>
        <x:v>34</x:v>
      </x:c>
      <x:c r="V657" s="87" t="n">
        <x:f>S657-U657*'01 Base Costs'!$B$14</x:f>
        <x:v>496000</x:v>
      </x:c>
      <x:c r="W657" s="120" t="n">
        <x:f>'01 Base Costs'!$B$19*0.8/10</x:f>
        <x:v>95.2</x:v>
      </x:c>
      <x:c r="X657" s="120" t="n">
        <x:f>0</x:f>
        <x:v>0</x:v>
      </x:c>
      <x:c r="Y657" s="87" t="n">
        <x:f>T657*(W657*'01 Base Costs'!$B$7+X657)</x:f>
        <x:v>16023256703.999998</x:v>
      </x:c>
      <x:c r="Z657" s="87" t="n">
        <x:f>T657*'01 Base Costs'!$B$8</x:f>
        <x:v>26345476799.999996</x:v>
      </x:c>
      <x:c r="AA657" s="87" t="n">
        <x:f>Z657*'01 Base Costs'!$B$11</x:f>
        <x:v>1317273840</x:v>
      </x:c>
      <x:c r="AB657" s="87" t="n">
        <x:f>Z657-AA657</x:f>
        <x:v>25028202959.999996</x:v>
      </x:c>
      <x:c r="AC657" s="87" t="n">
        <x:f>O657+Y657</x:f>
        <x:v>34637956704</x:v>
      </x:c>
      <x:c r="AD657" s="87" t="n">
        <x:f>AB657-AC657</x:f>
        <x:v>-9609753744.000004</x:v>
      </x:c>
      <x:c r="AE657" s="87" t="n">
        <x:f>AD657/D657</x:f>
        <x:v>-3203251248.0000014</x:v>
      </x:c>
      <x:c r="AF657" s="87" t="n">
        <x:f>AD657/P657</x:f>
        <x:v>-1067750416.0000005</x:v>
      </x:c>
      <x:c r="AG657" s="87" t="n">
        <x:f>IF(T657=0,0,AC657/T657/(1-'01 Base Costs'!$B$11))</x:f>
        <x:v>1041981225.904267</x:v>
      </x:c>
      <x:c r="AH657" s="88" t="str">
        <x:f>IF(AD657&gt;0,"PROFIT","LOSS")</x:f>
        <x:v>LOSS</x:v>
      </x:c>
      <x:c r="AI657" s="89" t="str">
        <x:v>Capsuleer Day XXIIII event from screenshot. MCT purchased with PLEX in NES. 10-pack at 20% off.</x:v>
      </x:c>
    </x:row>
    <x:row r="658">
      <x:c r="A658" s="86" t="n">
        <x:v>656</x:v>
      </x:c>
      <x:c r="B658" s="88" t="str">
        <x:v>Sale/Event</x:v>
      </x:c>
      <x:c r="C658" s="88" t="str">
        <x:v>Capsuleer Day 3M Omega + 2 skins</x:v>
      </x:c>
      <x:c r="D658" s="88" t="n">
        <x:v>3</x:v>
      </x:c>
      <x:c r="E658" s="88" t="n">
        <x:v>3</x:v>
      </x:c>
      <x:c r="F658" s="88" t="str">
        <x:v>NES base MCT</x:v>
      </x:c>
      <x:c r="G658" s="88" t="str">
        <x:v>NES 50-pack extractor 20% sale</x:v>
      </x:c>
      <x:c r="H658" s="87" t="n">
        <x:f>'01 Base Costs'!$B$27</x:f>
        <x:v>960</x:v>
      </x:c>
      <x:c r="I658" s="87" t="n">
        <x:f>'01 Base Costs'!$B$16</x:f>
        <x:v>485</x:v>
      </x:c>
      <x:c r="J658" s="87" t="n">
        <x:f>0</x:f>
        <x:v>0</x:v>
      </x:c>
      <x:c r="K658" s="87" t="n">
        <x:f>D658*(E658-1)*I658</x:f>
        <x:v>2910</x:v>
      </x:c>
      <x:c r="L658" s="87" t="n">
        <x:f>D658*(E658-1)*J658</x:f>
        <x:v>0</x:v>
      </x:c>
      <x:c r="M658" s="87" t="n">
        <x:f>0</x:f>
        <x:v>0</x:v>
      </x:c>
      <x:c r="N658" s="87" t="n">
        <x:f>H658+K658+M658</x:f>
        <x:v>3870</x:v>
      </x:c>
      <x:c r="O658" s="87" t="n">
        <x:f>N658*'01 Base Costs'!$B$7+L658</x:f>
        <x:v>18614700000</x:v>
      </x:c>
      <x:c r="P658" s="87" t="n">
        <x:f>D658*E658</x:f>
        <x:v>9</x:v>
      </x:c>
      <x:c r="Q658" s="87" t="n">
        <x:f>P658*'01 Base Costs'!$B$12</x:f>
        <x:v>17496000</x:v>
      </x:c>
      <x:c r="R658" s="87" t="n">
        <x:f>0</x:f>
        <x:v>0</x:v>
      </x:c>
      <x:c r="S658" s="87" t="n">
        <x:f>Q658+R658</x:f>
        <x:v>17496000</x:v>
      </x:c>
      <x:c r="T658" s="141" t="n">
        <x:f>S658/'01 Base Costs'!$B$14</x:f>
        <x:v>34.992</x:v>
      </x:c>
      <x:c r="U658" s="87" t="n">
        <x:f>INT(T658)</x:f>
        <x:v>34</x:v>
      </x:c>
      <x:c r="V658" s="87" t="n">
        <x:f>S658-U658*'01 Base Costs'!$B$14</x:f>
        <x:v>496000</x:v>
      </x:c>
      <x:c r="W658" s="120" t="n">
        <x:f>'01 Base Costs'!$B$20*0.8/50</x:f>
        <x:v>89.6</x:v>
      </x:c>
      <x:c r="X658" s="120" t="n">
        <x:f>0</x:f>
        <x:v>0</x:v>
      </x:c>
      <x:c r="Y658" s="87" t="n">
        <x:f>T658*(W658*'01 Base Costs'!$B$7+X658)</x:f>
        <x:v>15080712191.999998</x:v>
      </x:c>
      <x:c r="Z658" s="87" t="n">
        <x:f>T658*'01 Base Costs'!$B$8</x:f>
        <x:v>26345476799.999996</x:v>
      </x:c>
      <x:c r="AA658" s="87" t="n">
        <x:f>Z658*'01 Base Costs'!$B$11</x:f>
        <x:v>1317273840</x:v>
      </x:c>
      <x:c r="AB658" s="87" t="n">
        <x:f>Z658-AA658</x:f>
        <x:v>25028202959.999996</x:v>
      </x:c>
      <x:c r="AC658" s="87" t="n">
        <x:f>O658+Y658</x:f>
        <x:v>33695412192</x:v>
      </x:c>
      <x:c r="AD658" s="87" t="n">
        <x:f>AB658-AC658</x:f>
        <x:v>-8667209232.000004</x:v>
      </x:c>
      <x:c r="AE658" s="87" t="n">
        <x:f>AD658/D658</x:f>
        <x:v>-2889069744.0000014</x:v>
      </x:c>
      <x:c r="AF658" s="87" t="n">
        <x:f>AD658/P658</x:f>
        <x:v>-963023248.0000005</x:v>
      </x:c>
      <x:c r="AG658" s="87" t="n">
        <x:f>IF(T658=0,0,AC658/T658/(1-'01 Base Costs'!$B$11))</x:f>
        <x:v>1013627541.6937407</x:v>
      </x:c>
      <x:c r="AH658" s="88" t="str">
        <x:f>IF(AD658&gt;0,"PROFIT","LOSS")</x:f>
        <x:v>LOSS</x:v>
      </x:c>
      <x:c r="AI658" s="89" t="str">
        <x:v>Capsuleer Day XXIIII event from screenshot. MCT purchased with PLEX in NES. 50-pack at 20% off.</x:v>
      </x:c>
    </x:row>
    <x:row r="659">
      <x:c r="A659" s="86" t="n">
        <x:v>657</x:v>
      </x:c>
      <x:c r="B659" s="88" t="str">
        <x:v>Sale/Event</x:v>
      </x:c>
      <x:c r="C659" s="88" t="str">
        <x:v>Capsuleer Day 3M Omega + 2 skins</x:v>
      </x:c>
      <x:c r="D659" s="88" t="n">
        <x:v>3</x:v>
      </x:c>
      <x:c r="E659" s="88" t="n">
        <x:v>3</x:v>
      </x:c>
      <x:c r="F659" s="88" t="str">
        <x:v>NES base MCT</x:v>
      </x:c>
      <x:c r="G659" s="88" t="str">
        <x:v>Market Skill Extractor</x:v>
      </x:c>
      <x:c r="H659" s="87" t="n">
        <x:f>'01 Base Costs'!$B$27</x:f>
        <x:v>960</x:v>
      </x:c>
      <x:c r="I659" s="87" t="n">
        <x:f>'01 Base Costs'!$B$16</x:f>
        <x:v>485</x:v>
      </x:c>
      <x:c r="J659" s="87" t="n">
        <x:f>0</x:f>
        <x:v>0</x:v>
      </x:c>
      <x:c r="K659" s="87" t="n">
        <x:f>D659*(E659-1)*I659</x:f>
        <x:v>2910</x:v>
      </x:c>
      <x:c r="L659" s="87" t="n">
        <x:f>D659*(E659-1)*J659</x:f>
        <x:v>0</x:v>
      </x:c>
      <x:c r="M659" s="87" t="n">
        <x:f>0</x:f>
        <x:v>0</x:v>
      </x:c>
      <x:c r="N659" s="87" t="n">
        <x:f>H659+K659+M659</x:f>
        <x:v>3870</x:v>
      </x:c>
      <x:c r="O659" s="87" t="n">
        <x:f>N659*'01 Base Costs'!$B$7+L659</x:f>
        <x:v>18614700000</x:v>
      </x:c>
      <x:c r="P659" s="87" t="n">
        <x:f>D659*E659</x:f>
        <x:v>9</x:v>
      </x:c>
      <x:c r="Q659" s="87" t="n">
        <x:f>P659*'01 Base Costs'!$B$12</x:f>
        <x:v>17496000</x:v>
      </x:c>
      <x:c r="R659" s="87" t="n">
        <x:f>0</x:f>
        <x:v>0</x:v>
      </x:c>
      <x:c r="S659" s="87" t="n">
        <x:f>Q659+R659</x:f>
        <x:v>17496000</x:v>
      </x:c>
      <x:c r="T659" s="141" t="n">
        <x:f>S659/'01 Base Costs'!$B$14</x:f>
        <x:v>34.992</x:v>
      </x:c>
      <x:c r="U659" s="87" t="n">
        <x:f>INT(T659)</x:f>
        <x:v>34</x:v>
      </x:c>
      <x:c r="V659" s="87" t="n">
        <x:f>S659-U659*'01 Base Costs'!$B$14</x:f>
        <x:v>496000</x:v>
      </x:c>
      <x:c r="W659" s="120" t="n">
        <x:f>0</x:f>
        <x:v>0</x:v>
      </x:c>
      <x:c r="X659" s="120" t="n">
        <x:f>'01 Base Costs'!$B$9</x:f>
        <x:v>463500000</x:v>
      </x:c>
      <x:c r="Y659" s="87" t="n">
        <x:f>T659*(W659*'01 Base Costs'!$B$7+X659)</x:f>
        <x:v>16218791999.999998</x:v>
      </x:c>
      <x:c r="Z659" s="87" t="n">
        <x:f>T659*'01 Base Costs'!$B$8</x:f>
        <x:v>26345476799.999996</x:v>
      </x:c>
      <x:c r="AA659" s="87" t="n">
        <x:f>Z659*'01 Base Costs'!$B$11</x:f>
        <x:v>1317273840</x:v>
      </x:c>
      <x:c r="AB659" s="87" t="n">
        <x:f>Z659-AA659</x:f>
        <x:v>25028202959.999996</x:v>
      </x:c>
      <x:c r="AC659" s="87" t="n">
        <x:f>O659+Y659</x:f>
        <x:v>34833492000</x:v>
      </x:c>
      <x:c r="AD659" s="87" t="n">
        <x:f>AB659-AC659</x:f>
        <x:v>-9805289040.000004</x:v>
      </x:c>
      <x:c r="AE659" s="87" t="n">
        <x:f>AD659/D659</x:f>
        <x:v>-3268429680.0000014</x:v>
      </x:c>
      <x:c r="AF659" s="87" t="n">
        <x:f>AD659/P659</x:f>
        <x:v>-1089476560.0000005</x:v>
      </x:c>
      <x:c r="AG659" s="87" t="n">
        <x:f>IF(T659=0,0,AC659/T659/(1-'01 Base Costs'!$B$11))</x:f>
        <x:v>1047863331.1674249</x:v>
      </x:c>
      <x:c r="AH659" s="88" t="str">
        <x:f>IF(AD659&gt;0,"PROFIT","LOSS")</x:f>
        <x:v>LOSS</x:v>
      </x:c>
      <x:c r="AI659" s="89" t="str">
        <x:v>Capsuleer Day XXIIII event from screenshot. MCT purchased with PLEX in NES. Extractor bought on market with ISK.</x:v>
      </x:c>
    </x:row>
    <x:row r="660">
      <x:c r="A660" s="86" t="n">
        <x:v>658</x:v>
      </x:c>
      <x:c r="B660" s="88" t="str">
        <x:v>Sale/Event</x:v>
      </x:c>
      <x:c r="C660" s="88" t="str">
        <x:v>Capsuleer Day 3M Omega + 2 skins</x:v>
      </x:c>
      <x:c r="D660" s="88" t="n">
        <x:v>3</x:v>
      </x:c>
      <x:c r="E660" s="88" t="n">
        <x:v>3</x:v>
      </x:c>
      <x:c r="F660" s="88" t="str">
        <x:v>NES MCT 20% sale</x:v>
      </x:c>
      <x:c r="G660" s="88" t="str">
        <x:v>NES single extractor</x:v>
      </x:c>
      <x:c r="H660" s="87" t="n">
        <x:f>'01 Base Costs'!$B$27</x:f>
        <x:v>960</x:v>
      </x:c>
      <x:c r="I660" s="87" t="n">
        <x:f>'01 Base Costs'!$B$16*0.8</x:f>
        <x:v>388</x:v>
      </x:c>
      <x:c r="J660" s="87" t="n">
        <x:f>0</x:f>
        <x:v>0</x:v>
      </x:c>
      <x:c r="K660" s="87" t="n">
        <x:f>D660*(E660-1)*I660</x:f>
        <x:v>2328</x:v>
      </x:c>
      <x:c r="L660" s="87" t="n">
        <x:f>D660*(E660-1)*J660</x:f>
        <x:v>0</x:v>
      </x:c>
      <x:c r="M660" s="87" t="n">
        <x:f>0</x:f>
        <x:v>0</x:v>
      </x:c>
      <x:c r="N660" s="87" t="n">
        <x:f>H660+K660+M660</x:f>
        <x:v>3288</x:v>
      </x:c>
      <x:c r="O660" s="87" t="n">
        <x:f>N660*'01 Base Costs'!$B$7+L660</x:f>
        <x:v>15815280000</x:v>
      </x:c>
      <x:c r="P660" s="87" t="n">
        <x:f>D660*E660</x:f>
        <x:v>9</x:v>
      </x:c>
      <x:c r="Q660" s="87" t="n">
        <x:f>P660*'01 Base Costs'!$B$12</x:f>
        <x:v>17496000</x:v>
      </x:c>
      <x:c r="R660" s="87" t="n">
        <x:f>0</x:f>
        <x:v>0</x:v>
      </x:c>
      <x:c r="S660" s="87" t="n">
        <x:f>Q660+R660</x:f>
        <x:v>17496000</x:v>
      </x:c>
      <x:c r="T660" s="141" t="n">
        <x:f>S660/'01 Base Costs'!$B$14</x:f>
        <x:v>34.992</x:v>
      </x:c>
      <x:c r="U660" s="87" t="n">
        <x:f>INT(T660)</x:f>
        <x:v>34</x:v>
      </x:c>
      <x:c r="V660" s="87" t="n">
        <x:f>S660-U660*'01 Base Costs'!$B$14</x:f>
        <x:v>496000</x:v>
      </x:c>
      <x:c r="W660" s="120" t="n">
        <x:f>'01 Base Costs'!$B$17</x:f>
        <x:v>140</x:v>
      </x:c>
      <x:c r="X660" s="120" t="n">
        <x:f>0</x:f>
        <x:v>0</x:v>
      </x:c>
      <x:c r="Y660" s="87" t="n">
        <x:f>T660*(W660*'01 Base Costs'!$B$7+X660)</x:f>
        <x:v>23563612800</x:v>
      </x:c>
      <x:c r="Z660" s="87" t="n">
        <x:f>T660*'01 Base Costs'!$B$8</x:f>
        <x:v>26345476799.999996</x:v>
      </x:c>
      <x:c r="AA660" s="87" t="n">
        <x:f>Z660*'01 Base Costs'!$B$11</x:f>
        <x:v>1317273840</x:v>
      </x:c>
      <x:c r="AB660" s="87" t="n">
        <x:f>Z660-AA660</x:f>
        <x:v>25028202959.999996</x:v>
      </x:c>
      <x:c r="AC660" s="87" t="n">
        <x:f>O660+Y660</x:f>
        <x:v>39378892800</x:v>
      </x:c>
      <x:c r="AD660" s="87" t="n">
        <x:f>AB660-AC660</x:f>
        <x:v>-14350689840.000004</x:v>
      </x:c>
      <x:c r="AE660" s="87" t="n">
        <x:f>AD660/D660</x:f>
        <x:v>-4783563280.000001</x:v>
      </x:c>
      <x:c r="AF660" s="87" t="n">
        <x:f>AD660/P660</x:f>
        <x:v>-1594521093.3333337</x:v>
      </x:c>
      <x:c r="AG660" s="87" t="n">
        <x:f>IF(T660=0,0,AC660/T660/(1-'01 Base Costs'!$B$11))</x:f>
        <x:v>1184598368.3488557</x:v>
      </x:c>
      <x:c r="AH660" s="88" t="str">
        <x:f>IF(AD660&gt;0,"PROFIT","LOSS")</x:f>
        <x:v>LOSS</x:v>
      </x:c>
      <x:c r="AI660" s="89" t="str">
        <x:v>Capsuleer Day XXIIII event from screenshot. MCT sale 20% off. Base single extractor.</x:v>
      </x:c>
    </x:row>
    <x:row r="661">
      <x:c r="A661" s="86" t="n">
        <x:v>659</x:v>
      </x:c>
      <x:c r="B661" s="88" t="str">
        <x:v>Sale/Event</x:v>
      </x:c>
      <x:c r="C661" s="88" t="str">
        <x:v>Capsuleer Day 3M Omega + 2 skins</x:v>
      </x:c>
      <x:c r="D661" s="88" t="n">
        <x:v>3</x:v>
      </x:c>
      <x:c r="E661" s="88" t="n">
        <x:v>3</x:v>
      </x:c>
      <x:c r="F661" s="88" t="str">
        <x:v>NES MCT 20% sale</x:v>
      </x:c>
      <x:c r="G661" s="88" t="str">
        <x:v>NES 5-pack extractor</x:v>
      </x:c>
      <x:c r="H661" s="87" t="n">
        <x:f>'01 Base Costs'!$B$27</x:f>
        <x:v>960</x:v>
      </x:c>
      <x:c r="I661" s="87" t="n">
        <x:f>'01 Base Costs'!$B$16*0.8</x:f>
        <x:v>388</x:v>
      </x:c>
      <x:c r="J661" s="87" t="n">
        <x:f>0</x:f>
        <x:v>0</x:v>
      </x:c>
      <x:c r="K661" s="87" t="n">
        <x:f>D661*(E661-1)*I661</x:f>
        <x:v>2328</x:v>
      </x:c>
      <x:c r="L661" s="87" t="n">
        <x:f>D661*(E661-1)*J661</x:f>
        <x:v>0</x:v>
      </x:c>
      <x:c r="M661" s="87" t="n">
        <x:f>0</x:f>
        <x:v>0</x:v>
      </x:c>
      <x:c r="N661" s="87" t="n">
        <x:f>H661+K661+M661</x:f>
        <x:v>3288</x:v>
      </x:c>
      <x:c r="O661" s="87" t="n">
        <x:f>N661*'01 Base Costs'!$B$7+L661</x:f>
        <x:v>15815280000</x:v>
      </x:c>
      <x:c r="P661" s="87" t="n">
        <x:f>D661*E661</x:f>
        <x:v>9</x:v>
      </x:c>
      <x:c r="Q661" s="87" t="n">
        <x:f>P661*'01 Base Costs'!$B$12</x:f>
        <x:v>17496000</x:v>
      </x:c>
      <x:c r="R661" s="87" t="n">
        <x:f>0</x:f>
        <x:v>0</x:v>
      </x:c>
      <x:c r="S661" s="87" t="n">
        <x:f>Q661+R661</x:f>
        <x:v>17496000</x:v>
      </x:c>
      <x:c r="T661" s="141" t="n">
        <x:f>S661/'01 Base Costs'!$B$14</x:f>
        <x:v>34.992</x:v>
      </x:c>
      <x:c r="U661" s="87" t="n">
        <x:f>INT(T661)</x:f>
        <x:v>34</x:v>
      </x:c>
      <x:c r="V661" s="87" t="n">
        <x:f>S661-U661*'01 Base Costs'!$B$14</x:f>
        <x:v>496000</x:v>
      </x:c>
      <x:c r="W661" s="120" t="n">
        <x:f>'01 Base Costs'!$B$18/5</x:f>
        <x:v>126</x:v>
      </x:c>
      <x:c r="X661" s="120" t="n">
        <x:f>0</x:f>
        <x:v>0</x:v>
      </x:c>
      <x:c r="Y661" s="87" t="n">
        <x:f>T661*(W661*'01 Base Costs'!$B$7+X661)</x:f>
        <x:v>21207251520</x:v>
      </x:c>
      <x:c r="Z661" s="87" t="n">
        <x:f>T661*'01 Base Costs'!$B$8</x:f>
        <x:v>26345476799.999996</x:v>
      </x:c>
      <x:c r="AA661" s="87" t="n">
        <x:f>Z661*'01 Base Costs'!$B$11</x:f>
        <x:v>1317273840</x:v>
      </x:c>
      <x:c r="AB661" s="87" t="n">
        <x:f>Z661-AA661</x:f>
        <x:v>25028202959.999996</x:v>
      </x:c>
      <x:c r="AC661" s="87" t="n">
        <x:f>O661+Y661</x:f>
        <x:v>37022531520</x:v>
      </x:c>
      <x:c r="AD661" s="87" t="n">
        <x:f>AB661-AC661</x:f>
        <x:v>-11994328560.000004</x:v>
      </x:c>
      <x:c r="AE661" s="87" t="n">
        <x:f>AD661/D661</x:f>
        <x:v>-3998109520.0000014</x:v>
      </x:c>
      <x:c r="AF661" s="87" t="n">
        <x:f>AD661/P661</x:f>
        <x:v>-1332703173.3333337</x:v>
      </x:c>
      <x:c r="AG661" s="87" t="n">
        <x:f>IF(T661=0,0,AC661/T661/(1-'01 Base Costs'!$B$11))</x:f>
        <x:v>1113714157.82254</x:v>
      </x:c>
      <x:c r="AH661" s="88" t="str">
        <x:f>IF(AD661&gt;0,"PROFIT","LOSS")</x:f>
        <x:v>LOSS</x:v>
      </x:c>
      <x:c r="AI661" s="89" t="str">
        <x:v>Capsuleer Day XXIIII event from screenshot. MCT sale 20% off. Base 5-pack average.</x:v>
      </x:c>
    </x:row>
    <x:row r="662">
      <x:c r="A662" s="86" t="n">
        <x:v>660</x:v>
      </x:c>
      <x:c r="B662" s="88" t="str">
        <x:v>Sale/Event</x:v>
      </x:c>
      <x:c r="C662" s="88" t="str">
        <x:v>Capsuleer Day 3M Omega + 2 skins</x:v>
      </x:c>
      <x:c r="D662" s="88" t="n">
        <x:v>3</x:v>
      </x:c>
      <x:c r="E662" s="88" t="n">
        <x:v>3</x:v>
      </x:c>
      <x:c r="F662" s="88" t="str">
        <x:v>NES MCT 20% sale</x:v>
      </x:c>
      <x:c r="G662" s="88" t="str">
        <x:v>NES 10-pack extractor</x:v>
      </x:c>
      <x:c r="H662" s="87" t="n">
        <x:f>'01 Base Costs'!$B$27</x:f>
        <x:v>960</x:v>
      </x:c>
      <x:c r="I662" s="87" t="n">
        <x:f>'01 Base Costs'!$B$16*0.8</x:f>
        <x:v>388</x:v>
      </x:c>
      <x:c r="J662" s="87" t="n">
        <x:f>0</x:f>
        <x:v>0</x:v>
      </x:c>
      <x:c r="K662" s="87" t="n">
        <x:f>D662*(E662-1)*I662</x:f>
        <x:v>2328</x:v>
      </x:c>
      <x:c r="L662" s="87" t="n">
        <x:f>D662*(E662-1)*J662</x:f>
        <x:v>0</x:v>
      </x:c>
      <x:c r="M662" s="87" t="n">
        <x:f>0</x:f>
        <x:v>0</x:v>
      </x:c>
      <x:c r="N662" s="87" t="n">
        <x:f>H662+K662+M662</x:f>
        <x:v>3288</x:v>
      </x:c>
      <x:c r="O662" s="87" t="n">
        <x:f>N662*'01 Base Costs'!$B$7+L662</x:f>
        <x:v>15815280000</x:v>
      </x:c>
      <x:c r="P662" s="87" t="n">
        <x:f>D662*E662</x:f>
        <x:v>9</x:v>
      </x:c>
      <x:c r="Q662" s="87" t="n">
        <x:f>P662*'01 Base Costs'!$B$12</x:f>
        <x:v>17496000</x:v>
      </x:c>
      <x:c r="R662" s="87" t="n">
        <x:f>0</x:f>
        <x:v>0</x:v>
      </x:c>
      <x:c r="S662" s="87" t="n">
        <x:f>Q662+R662</x:f>
        <x:v>17496000</x:v>
      </x:c>
      <x:c r="T662" s="141" t="n">
        <x:f>S662/'01 Base Costs'!$B$14</x:f>
        <x:v>34.992</x:v>
      </x:c>
      <x:c r="U662" s="87" t="n">
        <x:f>INT(T662)</x:f>
        <x:v>34</x:v>
      </x:c>
      <x:c r="V662" s="87" t="n">
        <x:f>S662-U662*'01 Base Costs'!$B$14</x:f>
        <x:v>496000</x:v>
      </x:c>
      <x:c r="W662" s="120" t="n">
        <x:f>'01 Base Costs'!$B$19/10</x:f>
        <x:v>119</x:v>
      </x:c>
      <x:c r="X662" s="120" t="n">
        <x:f>0</x:f>
        <x:v>0</x:v>
      </x:c>
      <x:c r="Y662" s="87" t="n">
        <x:f>T662*(W662*'01 Base Costs'!$B$7+X662)</x:f>
        <x:v>20029070880</x:v>
      </x:c>
      <x:c r="Z662" s="87" t="n">
        <x:f>T662*'01 Base Costs'!$B$8</x:f>
        <x:v>26345476799.999996</x:v>
      </x:c>
      <x:c r="AA662" s="87" t="n">
        <x:f>Z662*'01 Base Costs'!$B$11</x:f>
        <x:v>1317273840</x:v>
      </x:c>
      <x:c r="AB662" s="87" t="n">
        <x:f>Z662-AA662</x:f>
        <x:v>25028202959.999996</x:v>
      </x:c>
      <x:c r="AC662" s="87" t="n">
        <x:f>O662+Y662</x:f>
        <x:v>35844350880</x:v>
      </x:c>
      <x:c r="AD662" s="87" t="n">
        <x:f>AB662-AC662</x:f>
        <x:v>-10816147920.000004</x:v>
      </x:c>
      <x:c r="AE662" s="87" t="n">
        <x:f>AD662/D662</x:f>
        <x:v>-3605382640.0000014</x:v>
      </x:c>
      <x:c r="AF662" s="87" t="n">
        <x:f>AD662/P662</x:f>
        <x:v>-1201794213.3333337</x:v>
      </x:c>
      <x:c r="AG662" s="87" t="n">
        <x:f>IF(T662=0,0,AC662/T662/(1-'01 Base Costs'!$B$11))</x:f>
        <x:v>1078272052.5593822</x:v>
      </x:c>
      <x:c r="AH662" s="88" t="str">
        <x:f>IF(AD662&gt;0,"PROFIT","LOSS")</x:f>
        <x:v>LOSS</x:v>
      </x:c>
      <x:c r="AI662" s="89" t="str">
        <x:v>Capsuleer Day XXIIII event from screenshot. MCT sale 20% off. Base 10-pack average.</x:v>
      </x:c>
    </x:row>
    <x:row r="663">
      <x:c r="A663" s="86" t="n">
        <x:v>661</x:v>
      </x:c>
      <x:c r="B663" s="88" t="str">
        <x:v>Sale/Event</x:v>
      </x:c>
      <x:c r="C663" s="88" t="str">
        <x:v>Capsuleer Day 3M Omega + 2 skins</x:v>
      </x:c>
      <x:c r="D663" s="88" t="n">
        <x:v>3</x:v>
      </x:c>
      <x:c r="E663" s="88" t="n">
        <x:v>3</x:v>
      </x:c>
      <x:c r="F663" s="88" t="str">
        <x:v>NES MCT 20% sale</x:v>
      </x:c>
      <x:c r="G663" s="88" t="str">
        <x:v>NES 50-pack extractor</x:v>
      </x:c>
      <x:c r="H663" s="87" t="n">
        <x:f>'01 Base Costs'!$B$27</x:f>
        <x:v>960</x:v>
      </x:c>
      <x:c r="I663" s="87" t="n">
        <x:f>'01 Base Costs'!$B$16*0.8</x:f>
        <x:v>388</x:v>
      </x:c>
      <x:c r="J663" s="87" t="n">
        <x:f>0</x:f>
        <x:v>0</x:v>
      </x:c>
      <x:c r="K663" s="87" t="n">
        <x:f>D663*(E663-1)*I663</x:f>
        <x:v>2328</x:v>
      </x:c>
      <x:c r="L663" s="87" t="n">
        <x:f>D663*(E663-1)*J663</x:f>
        <x:v>0</x:v>
      </x:c>
      <x:c r="M663" s="87" t="n">
        <x:f>0</x:f>
        <x:v>0</x:v>
      </x:c>
      <x:c r="N663" s="87" t="n">
        <x:f>H663+K663+M663</x:f>
        <x:v>3288</x:v>
      </x:c>
      <x:c r="O663" s="87" t="n">
        <x:f>N663*'01 Base Costs'!$B$7+L663</x:f>
        <x:v>15815280000</x:v>
      </x:c>
      <x:c r="P663" s="87" t="n">
        <x:f>D663*E663</x:f>
        <x:v>9</x:v>
      </x:c>
      <x:c r="Q663" s="87" t="n">
        <x:f>P663*'01 Base Costs'!$B$12</x:f>
        <x:v>17496000</x:v>
      </x:c>
      <x:c r="R663" s="87" t="n">
        <x:f>0</x:f>
        <x:v>0</x:v>
      </x:c>
      <x:c r="S663" s="87" t="n">
        <x:f>Q663+R663</x:f>
        <x:v>17496000</x:v>
      </x:c>
      <x:c r="T663" s="141" t="n">
        <x:f>S663/'01 Base Costs'!$B$14</x:f>
        <x:v>34.992</x:v>
      </x:c>
      <x:c r="U663" s="87" t="n">
        <x:f>INT(T663)</x:f>
        <x:v>34</x:v>
      </x:c>
      <x:c r="V663" s="87" t="n">
        <x:f>S663-U663*'01 Base Costs'!$B$14</x:f>
        <x:v>496000</x:v>
      </x:c>
      <x:c r="W663" s="120" t="n">
        <x:f>'01 Base Costs'!$B$20/50</x:f>
        <x:v>112</x:v>
      </x:c>
      <x:c r="X663" s="120" t="n">
        <x:f>0</x:f>
        <x:v>0</x:v>
      </x:c>
      <x:c r="Y663" s="87" t="n">
        <x:f>T663*(W663*'01 Base Costs'!$B$7+X663)</x:f>
        <x:v>18850890240</x:v>
      </x:c>
      <x:c r="Z663" s="87" t="n">
        <x:f>T663*'01 Base Costs'!$B$8</x:f>
        <x:v>26345476799.999996</x:v>
      </x:c>
      <x:c r="AA663" s="87" t="n">
        <x:f>Z663*'01 Base Costs'!$B$11</x:f>
        <x:v>1317273840</x:v>
      </x:c>
      <x:c r="AB663" s="87" t="n">
        <x:f>Z663-AA663</x:f>
        <x:v>25028202959.999996</x:v>
      </x:c>
      <x:c r="AC663" s="87" t="n">
        <x:f>O663+Y663</x:f>
        <x:v>34666170240</x:v>
      </x:c>
      <x:c r="AD663" s="87" t="n">
        <x:f>AB663-AC663</x:f>
        <x:v>-9637967280.000004</x:v>
      </x:c>
      <x:c r="AE663" s="87" t="n">
        <x:f>AD663/D663</x:f>
        <x:v>-3212655760.0000014</x:v>
      </x:c>
      <x:c r="AF663" s="87" t="n">
        <x:f>AD663/P663</x:f>
        <x:v>-1070885253.3333337</x:v>
      </x:c>
      <x:c r="AG663" s="87" t="n">
        <x:f>IF(T663=0,0,AC663/T663/(1-'01 Base Costs'!$B$11))</x:f>
        <x:v>1042829947.2962242</x:v>
      </x:c>
      <x:c r="AH663" s="88" t="str">
        <x:f>IF(AD663&gt;0,"PROFIT","LOSS")</x:f>
        <x:v>LOSS</x:v>
      </x:c>
      <x:c r="AI663" s="89" t="str">
        <x:v>Capsuleer Day XXIIII event from screenshot. MCT sale 20% off. Base 50-pack average.</x:v>
      </x:c>
    </x:row>
    <x:row r="664">
      <x:c r="A664" s="86" t="n">
        <x:v>662</x:v>
      </x:c>
      <x:c r="B664" s="88" t="str">
        <x:v>Sale/Event</x:v>
      </x:c>
      <x:c r="C664" s="88" t="str">
        <x:v>Capsuleer Day 3M Omega + 2 skins</x:v>
      </x:c>
      <x:c r="D664" s="88" t="n">
        <x:v>3</x:v>
      </x:c>
      <x:c r="E664" s="88" t="n">
        <x:v>3</x:v>
      </x:c>
      <x:c r="F664" s="88" t="str">
        <x:v>NES MCT 20% sale</x:v>
      </x:c>
      <x:c r="G664" s="88" t="str">
        <x:v>NES 3-for-2 extractor sale</x:v>
      </x:c>
      <x:c r="H664" s="87" t="n">
        <x:f>'01 Base Costs'!$B$27</x:f>
        <x:v>960</x:v>
      </x:c>
      <x:c r="I664" s="87" t="n">
        <x:f>'01 Base Costs'!$B$16*0.8</x:f>
        <x:v>388</x:v>
      </x:c>
      <x:c r="J664" s="87" t="n">
        <x:f>0</x:f>
        <x:v>0</x:v>
      </x:c>
      <x:c r="K664" s="87" t="n">
        <x:f>D664*(E664-1)*I664</x:f>
        <x:v>2328</x:v>
      </x:c>
      <x:c r="L664" s="87" t="n">
        <x:f>D664*(E664-1)*J664</x:f>
        <x:v>0</x:v>
      </x:c>
      <x:c r="M664" s="87" t="n">
        <x:f>0</x:f>
        <x:v>0</x:v>
      </x:c>
      <x:c r="N664" s="87" t="n">
        <x:f>H664+K664+M664</x:f>
        <x:v>3288</x:v>
      </x:c>
      <x:c r="O664" s="87" t="n">
        <x:f>N664*'01 Base Costs'!$B$7+L664</x:f>
        <x:v>15815280000</x:v>
      </x:c>
      <x:c r="P664" s="87" t="n">
        <x:f>D664*E664</x:f>
        <x:v>9</x:v>
      </x:c>
      <x:c r="Q664" s="87" t="n">
        <x:f>P664*'01 Base Costs'!$B$12</x:f>
        <x:v>17496000</x:v>
      </x:c>
      <x:c r="R664" s="87" t="n">
        <x:f>0</x:f>
        <x:v>0</x:v>
      </x:c>
      <x:c r="S664" s="87" t="n">
        <x:f>Q664+R664</x:f>
        <x:v>17496000</x:v>
      </x:c>
      <x:c r="T664" s="141" t="n">
        <x:f>S664/'01 Base Costs'!$B$14</x:f>
        <x:v>34.992</x:v>
      </x:c>
      <x:c r="U664" s="87" t="n">
        <x:f>INT(T664)</x:f>
        <x:v>34</x:v>
      </x:c>
      <x:c r="V664" s="87" t="n">
        <x:f>S664-U664*'01 Base Costs'!$B$14</x:f>
        <x:v>496000</x:v>
      </x:c>
      <x:c r="W664" s="120" t="n">
        <x:f>'01 Base Costs'!$B$17*2/3</x:f>
        <x:v>93.33333333333333</x:v>
      </x:c>
      <x:c r="X664" s="120" t="n">
        <x:f>0</x:f>
        <x:v>0</x:v>
      </x:c>
      <x:c r="Y664" s="87" t="n">
        <x:f>T664*(W664*'01 Base Costs'!$B$7+X664)</x:f>
        <x:v>15709075199.999998</x:v>
      </x:c>
      <x:c r="Z664" s="87" t="n">
        <x:f>T664*'01 Base Costs'!$B$8</x:f>
        <x:v>26345476799.999996</x:v>
      </x:c>
      <x:c r="AA664" s="87" t="n">
        <x:f>Z664*'01 Base Costs'!$B$11</x:f>
        <x:v>1317273840</x:v>
      </x:c>
      <x:c r="AB664" s="87" t="n">
        <x:f>Z664-AA664</x:f>
        <x:v>25028202959.999996</x:v>
      </x:c>
      <x:c r="AC664" s="87" t="n">
        <x:f>O664+Y664</x:f>
        <x:v>31524355200</x:v>
      </x:c>
      <x:c r="AD664" s="87" t="n">
        <x:f>AB664-AC664</x:f>
        <x:v>-6496152240.000004</x:v>
      </x:c>
      <x:c r="AE664" s="87" t="n">
        <x:f>AD664/D664</x:f>
        <x:v>-2165384080.0000014</x:v>
      </x:c>
      <x:c r="AF664" s="87" t="n">
        <x:f>AD664/P664</x:f>
        <x:v>-721794693.3333337</x:v>
      </x:c>
      <x:c r="AG664" s="87" t="n">
        <x:f>IF(T664=0,0,AC664/T664/(1-'01 Base Costs'!$B$11))</x:f>
        <x:v>948317666.5944698</x:v>
      </x:c>
      <x:c r="AH664" s="88" t="str">
        <x:f>IF(AD664&gt;0,"PROFIT","LOSS")</x:f>
        <x:v>LOSS</x:v>
      </x:c>
      <x:c r="AI664" s="89" t="str">
        <x:v>Capsuleer Day XXIIII event from screenshot. MCT sale 20% off. Extractor 3-for-2 sale.</x:v>
      </x:c>
    </x:row>
    <x:row r="665">
      <x:c r="A665" s="86" t="n">
        <x:v>663</x:v>
      </x:c>
      <x:c r="B665" s="88" t="str">
        <x:v>Sale/Event</x:v>
      </x:c>
      <x:c r="C665" s="88" t="str">
        <x:v>Capsuleer Day 3M Omega + 2 skins</x:v>
      </x:c>
      <x:c r="D665" s="88" t="n">
        <x:v>3</x:v>
      </x:c>
      <x:c r="E665" s="88" t="n">
        <x:v>3</x:v>
      </x:c>
      <x:c r="F665" s="88" t="str">
        <x:v>NES MCT 20% sale</x:v>
      </x:c>
      <x:c r="G665" s="88" t="str">
        <x:v>NES 2-for-1 extractor sale</x:v>
      </x:c>
      <x:c r="H665" s="87" t="n">
        <x:f>'01 Base Costs'!$B$27</x:f>
        <x:v>960</x:v>
      </x:c>
      <x:c r="I665" s="87" t="n">
        <x:f>'01 Base Costs'!$B$16*0.8</x:f>
        <x:v>388</x:v>
      </x:c>
      <x:c r="J665" s="87" t="n">
        <x:f>0</x:f>
        <x:v>0</x:v>
      </x:c>
      <x:c r="K665" s="87" t="n">
        <x:f>D665*(E665-1)*I665</x:f>
        <x:v>2328</x:v>
      </x:c>
      <x:c r="L665" s="87" t="n">
        <x:f>D665*(E665-1)*J665</x:f>
        <x:v>0</x:v>
      </x:c>
      <x:c r="M665" s="87" t="n">
        <x:f>0</x:f>
        <x:v>0</x:v>
      </x:c>
      <x:c r="N665" s="87" t="n">
        <x:f>H665+K665+M665</x:f>
        <x:v>3288</x:v>
      </x:c>
      <x:c r="O665" s="87" t="n">
        <x:f>N665*'01 Base Costs'!$B$7+L665</x:f>
        <x:v>15815280000</x:v>
      </x:c>
      <x:c r="P665" s="87" t="n">
        <x:f>D665*E665</x:f>
        <x:v>9</x:v>
      </x:c>
      <x:c r="Q665" s="87" t="n">
        <x:f>P665*'01 Base Costs'!$B$12</x:f>
        <x:v>17496000</x:v>
      </x:c>
      <x:c r="R665" s="87" t="n">
        <x:f>0</x:f>
        <x:v>0</x:v>
      </x:c>
      <x:c r="S665" s="87" t="n">
        <x:f>Q665+R665</x:f>
        <x:v>17496000</x:v>
      </x:c>
      <x:c r="T665" s="141" t="n">
        <x:f>S665/'01 Base Costs'!$B$14</x:f>
        <x:v>34.992</x:v>
      </x:c>
      <x:c r="U665" s="87" t="n">
        <x:f>INT(T665)</x:f>
        <x:v>34</x:v>
      </x:c>
      <x:c r="V665" s="87" t="n">
        <x:f>S665-U665*'01 Base Costs'!$B$14</x:f>
        <x:v>496000</x:v>
      </x:c>
      <x:c r="W665" s="120" t="n">
        <x:f>'01 Base Costs'!$B$17/2</x:f>
        <x:v>70</x:v>
      </x:c>
      <x:c r="X665" s="120" t="n">
        <x:f>0</x:f>
        <x:v>0</x:v>
      </x:c>
      <x:c r="Y665" s="87" t="n">
        <x:f>T665*(W665*'01 Base Costs'!$B$7+X665)</x:f>
        <x:v>11781806400</x:v>
      </x:c>
      <x:c r="Z665" s="87" t="n">
        <x:f>T665*'01 Base Costs'!$B$8</x:f>
        <x:v>26345476799.999996</x:v>
      </x:c>
      <x:c r="AA665" s="87" t="n">
        <x:f>Z665*'01 Base Costs'!$B$11</x:f>
        <x:v>1317273840</x:v>
      </x:c>
      <x:c r="AB665" s="87" t="n">
        <x:f>Z665-AA665</x:f>
        <x:v>25028202959.999996</x:v>
      </x:c>
      <x:c r="AC665" s="87" t="n">
        <x:f>O665+Y665</x:f>
        <x:v>27597086400</x:v>
      </x:c>
      <x:c r="AD665" s="87" t="n">
        <x:f>AB665-AC665</x:f>
        <x:v>-2568883440.000004</x:v>
      </x:c>
      <x:c r="AE665" s="87" t="n">
        <x:f>AD665/D665</x:f>
        <x:v>-856294480.0000013</x:v>
      </x:c>
      <x:c r="AF665" s="87" t="n">
        <x:f>AD665/P665</x:f>
        <x:v>-285431493.33333373</x:v>
      </x:c>
      <x:c r="AG665" s="87" t="n">
        <x:f>IF(T665=0,0,AC665/T665/(1-'01 Base Costs'!$B$11))</x:f>
        <x:v>830177315.7172768</x:v>
      </x:c>
      <x:c r="AH665" s="88" t="str">
        <x:f>IF(AD665&gt;0,"PROFIT","LOSS")</x:f>
        <x:v>LOSS</x:v>
      </x:c>
      <x:c r="AI665" s="89" t="str">
        <x:v>Capsuleer Day XXIIII event from screenshot. MCT sale 20% off. Extractor 2-for-1 sale.</x:v>
      </x:c>
    </x:row>
    <x:row r="666">
      <x:c r="A666" s="86" t="n">
        <x:v>664</x:v>
      </x:c>
      <x:c r="B666" s="88" t="str">
        <x:v>Sale/Event</x:v>
      </x:c>
      <x:c r="C666" s="88" t="str">
        <x:v>Capsuleer Day 3M Omega + 2 skins</x:v>
      </x:c>
      <x:c r="D666" s="88" t="n">
        <x:v>3</x:v>
      </x:c>
      <x:c r="E666" s="88" t="n">
        <x:v>3</x:v>
      </x:c>
      <x:c r="F666" s="88" t="str">
        <x:v>NES MCT 20% sale</x:v>
      </x:c>
      <x:c r="G666" s="88" t="str">
        <x:v>NES 10-pack extractor 20% sale</x:v>
      </x:c>
      <x:c r="H666" s="87" t="n">
        <x:f>'01 Base Costs'!$B$27</x:f>
        <x:v>960</x:v>
      </x:c>
      <x:c r="I666" s="87" t="n">
        <x:f>'01 Base Costs'!$B$16*0.8</x:f>
        <x:v>388</x:v>
      </x:c>
      <x:c r="J666" s="87" t="n">
        <x:f>0</x:f>
        <x:v>0</x:v>
      </x:c>
      <x:c r="K666" s="87" t="n">
        <x:f>D666*(E666-1)*I666</x:f>
        <x:v>2328</x:v>
      </x:c>
      <x:c r="L666" s="87" t="n">
        <x:f>D666*(E666-1)*J666</x:f>
        <x:v>0</x:v>
      </x:c>
      <x:c r="M666" s="87" t="n">
        <x:f>0</x:f>
        <x:v>0</x:v>
      </x:c>
      <x:c r="N666" s="87" t="n">
        <x:f>H666+K666+M666</x:f>
        <x:v>3288</x:v>
      </x:c>
      <x:c r="O666" s="87" t="n">
        <x:f>N666*'01 Base Costs'!$B$7+L666</x:f>
        <x:v>15815280000</x:v>
      </x:c>
      <x:c r="P666" s="87" t="n">
        <x:f>D666*E666</x:f>
        <x:v>9</x:v>
      </x:c>
      <x:c r="Q666" s="87" t="n">
        <x:f>P666*'01 Base Costs'!$B$12</x:f>
        <x:v>17496000</x:v>
      </x:c>
      <x:c r="R666" s="87" t="n">
        <x:f>0</x:f>
        <x:v>0</x:v>
      </x:c>
      <x:c r="S666" s="87" t="n">
        <x:f>Q666+R666</x:f>
        <x:v>17496000</x:v>
      </x:c>
      <x:c r="T666" s="141" t="n">
        <x:f>S666/'01 Base Costs'!$B$14</x:f>
        <x:v>34.992</x:v>
      </x:c>
      <x:c r="U666" s="87" t="n">
        <x:f>INT(T666)</x:f>
        <x:v>34</x:v>
      </x:c>
      <x:c r="V666" s="87" t="n">
        <x:f>S666-U666*'01 Base Costs'!$B$14</x:f>
        <x:v>496000</x:v>
      </x:c>
      <x:c r="W666" s="120" t="n">
        <x:f>'01 Base Costs'!$B$19*0.8/10</x:f>
        <x:v>95.2</x:v>
      </x:c>
      <x:c r="X666" s="120" t="n">
        <x:f>0</x:f>
        <x:v>0</x:v>
      </x:c>
      <x:c r="Y666" s="87" t="n">
        <x:f>T666*(W666*'01 Base Costs'!$B$7+X666)</x:f>
        <x:v>16023256703.999998</x:v>
      </x:c>
      <x:c r="Z666" s="87" t="n">
        <x:f>T666*'01 Base Costs'!$B$8</x:f>
        <x:v>26345476799.999996</x:v>
      </x:c>
      <x:c r="AA666" s="87" t="n">
        <x:f>Z666*'01 Base Costs'!$B$11</x:f>
        <x:v>1317273840</x:v>
      </x:c>
      <x:c r="AB666" s="87" t="n">
        <x:f>Z666-AA666</x:f>
        <x:v>25028202959.999996</x:v>
      </x:c>
      <x:c r="AC666" s="87" t="n">
        <x:f>O666+Y666</x:f>
        <x:v>31838536704</x:v>
      </x:c>
      <x:c r="AD666" s="87" t="n">
        <x:f>AB666-AC666</x:f>
        <x:v>-6810333744.000004</x:v>
      </x:c>
      <x:c r="AE666" s="87" t="n">
        <x:f>AD666/D666</x:f>
        <x:v>-2270111248.0000014</x:v>
      </x:c>
      <x:c r="AF666" s="87" t="n">
        <x:f>AD666/P666</x:f>
        <x:v>-756703749.3333337</x:v>
      </x:c>
      <x:c r="AG666" s="87" t="n">
        <x:f>IF(T666=0,0,AC666/T666/(1-'01 Base Costs'!$B$11))</x:f>
        <x:v>957768894.6646452</x:v>
      </x:c>
      <x:c r="AH666" s="88" t="str">
        <x:f>IF(AD666&gt;0,"PROFIT","LOSS")</x:f>
        <x:v>LOSS</x:v>
      </x:c>
      <x:c r="AI666" s="89" t="str">
        <x:v>Capsuleer Day XXIIII event from screenshot. MCT sale 20% off. 10-pack at 20% off.</x:v>
      </x:c>
    </x:row>
    <x:row r="667">
      <x:c r="A667" s="86" t="n">
        <x:v>665</x:v>
      </x:c>
      <x:c r="B667" s="88" t="str">
        <x:v>Sale/Event</x:v>
      </x:c>
      <x:c r="C667" s="88" t="str">
        <x:v>Capsuleer Day 3M Omega + 2 skins</x:v>
      </x:c>
      <x:c r="D667" s="88" t="n">
        <x:v>3</x:v>
      </x:c>
      <x:c r="E667" s="88" t="n">
        <x:v>3</x:v>
      </x:c>
      <x:c r="F667" s="88" t="str">
        <x:v>NES MCT 20% sale</x:v>
      </x:c>
      <x:c r="G667" s="88" t="str">
        <x:v>NES 50-pack extractor 20% sale</x:v>
      </x:c>
      <x:c r="H667" s="87" t="n">
        <x:f>'01 Base Costs'!$B$27</x:f>
        <x:v>960</x:v>
      </x:c>
      <x:c r="I667" s="87" t="n">
        <x:f>'01 Base Costs'!$B$16*0.8</x:f>
        <x:v>388</x:v>
      </x:c>
      <x:c r="J667" s="87" t="n">
        <x:f>0</x:f>
        <x:v>0</x:v>
      </x:c>
      <x:c r="K667" s="87" t="n">
        <x:f>D667*(E667-1)*I667</x:f>
        <x:v>2328</x:v>
      </x:c>
      <x:c r="L667" s="87" t="n">
        <x:f>D667*(E667-1)*J667</x:f>
        <x:v>0</x:v>
      </x:c>
      <x:c r="M667" s="87" t="n">
        <x:f>0</x:f>
        <x:v>0</x:v>
      </x:c>
      <x:c r="N667" s="87" t="n">
        <x:f>H667+K667+M667</x:f>
        <x:v>3288</x:v>
      </x:c>
      <x:c r="O667" s="87" t="n">
        <x:f>N667*'01 Base Costs'!$B$7+L667</x:f>
        <x:v>15815280000</x:v>
      </x:c>
      <x:c r="P667" s="87" t="n">
        <x:f>D667*E667</x:f>
        <x:v>9</x:v>
      </x:c>
      <x:c r="Q667" s="87" t="n">
        <x:f>P667*'01 Base Costs'!$B$12</x:f>
        <x:v>17496000</x:v>
      </x:c>
      <x:c r="R667" s="87" t="n">
        <x:f>0</x:f>
        <x:v>0</x:v>
      </x:c>
      <x:c r="S667" s="87" t="n">
        <x:f>Q667+R667</x:f>
        <x:v>17496000</x:v>
      </x:c>
      <x:c r="T667" s="141" t="n">
        <x:f>S667/'01 Base Costs'!$B$14</x:f>
        <x:v>34.992</x:v>
      </x:c>
      <x:c r="U667" s="87" t="n">
        <x:f>INT(T667)</x:f>
        <x:v>34</x:v>
      </x:c>
      <x:c r="V667" s="87" t="n">
        <x:f>S667-U667*'01 Base Costs'!$B$14</x:f>
        <x:v>496000</x:v>
      </x:c>
      <x:c r="W667" s="120" t="n">
        <x:f>'01 Base Costs'!$B$20*0.8/50</x:f>
        <x:v>89.6</x:v>
      </x:c>
      <x:c r="X667" s="120" t="n">
        <x:f>0</x:f>
        <x:v>0</x:v>
      </x:c>
      <x:c r="Y667" s="87" t="n">
        <x:f>T667*(W667*'01 Base Costs'!$B$7+X667)</x:f>
        <x:v>15080712191.999998</x:v>
      </x:c>
      <x:c r="Z667" s="87" t="n">
        <x:f>T667*'01 Base Costs'!$B$8</x:f>
        <x:v>26345476799.999996</x:v>
      </x:c>
      <x:c r="AA667" s="87" t="n">
        <x:f>Z667*'01 Base Costs'!$B$11</x:f>
        <x:v>1317273840</x:v>
      </x:c>
      <x:c r="AB667" s="87" t="n">
        <x:f>Z667-AA667</x:f>
        <x:v>25028202959.999996</x:v>
      </x:c>
      <x:c r="AC667" s="87" t="n">
        <x:f>O667+Y667</x:f>
        <x:v>30895992192</x:v>
      </x:c>
      <x:c r="AD667" s="87" t="n">
        <x:f>AB667-AC667</x:f>
        <x:v>-5867789232.000004</x:v>
      </x:c>
      <x:c r="AE667" s="87" t="n">
        <x:f>AD667/D667</x:f>
        <x:v>-1955929744.0000012</x:v>
      </x:c>
      <x:c r="AF667" s="87" t="n">
        <x:f>AD667/P667</x:f>
        <x:v>-651976581.3333337</x:v>
      </x:c>
      <x:c r="AG667" s="87" t="n">
        <x:f>IF(T667=0,0,AC667/T667/(1-'01 Base Costs'!$B$11))</x:f>
        <x:v>929415210.454119</x:v>
      </x:c>
      <x:c r="AH667" s="88" t="str">
        <x:f>IF(AD667&gt;0,"PROFIT","LOSS")</x:f>
        <x:v>LOSS</x:v>
      </x:c>
      <x:c r="AI667" s="89" t="str">
        <x:v>Capsuleer Day XXIIII event from screenshot. MCT sale 20% off. 50-pack at 20% off.</x:v>
      </x:c>
    </x:row>
    <x:row r="668">
      <x:c r="A668" s="86" t="n">
        <x:v>666</x:v>
      </x:c>
      <x:c r="B668" s="88" t="str">
        <x:v>Sale/Event</x:v>
      </x:c>
      <x:c r="C668" s="88" t="str">
        <x:v>Capsuleer Day 3M Omega + 2 skins</x:v>
      </x:c>
      <x:c r="D668" s="88" t="n">
        <x:v>3</x:v>
      </x:c>
      <x:c r="E668" s="88" t="n">
        <x:v>3</x:v>
      </x:c>
      <x:c r="F668" s="88" t="str">
        <x:v>NES MCT 20% sale</x:v>
      </x:c>
      <x:c r="G668" s="88" t="str">
        <x:v>Market Skill Extractor</x:v>
      </x:c>
      <x:c r="H668" s="87" t="n">
        <x:f>'01 Base Costs'!$B$27</x:f>
        <x:v>960</x:v>
      </x:c>
      <x:c r="I668" s="87" t="n">
        <x:f>'01 Base Costs'!$B$16*0.8</x:f>
        <x:v>388</x:v>
      </x:c>
      <x:c r="J668" s="87" t="n">
        <x:f>0</x:f>
        <x:v>0</x:v>
      </x:c>
      <x:c r="K668" s="87" t="n">
        <x:f>D668*(E668-1)*I668</x:f>
        <x:v>2328</x:v>
      </x:c>
      <x:c r="L668" s="87" t="n">
        <x:f>D668*(E668-1)*J668</x:f>
        <x:v>0</x:v>
      </x:c>
      <x:c r="M668" s="87" t="n">
        <x:f>0</x:f>
        <x:v>0</x:v>
      </x:c>
      <x:c r="N668" s="87" t="n">
        <x:f>H668+K668+M668</x:f>
        <x:v>3288</x:v>
      </x:c>
      <x:c r="O668" s="87" t="n">
        <x:f>N668*'01 Base Costs'!$B$7+L668</x:f>
        <x:v>15815280000</x:v>
      </x:c>
      <x:c r="P668" s="87" t="n">
        <x:f>D668*E668</x:f>
        <x:v>9</x:v>
      </x:c>
      <x:c r="Q668" s="87" t="n">
        <x:f>P668*'01 Base Costs'!$B$12</x:f>
        <x:v>17496000</x:v>
      </x:c>
      <x:c r="R668" s="87" t="n">
        <x:f>0</x:f>
        <x:v>0</x:v>
      </x:c>
      <x:c r="S668" s="87" t="n">
        <x:f>Q668+R668</x:f>
        <x:v>17496000</x:v>
      </x:c>
      <x:c r="T668" s="141" t="n">
        <x:f>S668/'01 Base Costs'!$B$14</x:f>
        <x:v>34.992</x:v>
      </x:c>
      <x:c r="U668" s="87" t="n">
        <x:f>INT(T668)</x:f>
        <x:v>34</x:v>
      </x:c>
      <x:c r="V668" s="87" t="n">
        <x:f>S668-U668*'01 Base Costs'!$B$14</x:f>
        <x:v>496000</x:v>
      </x:c>
      <x:c r="W668" s="120" t="n">
        <x:f>0</x:f>
        <x:v>0</x:v>
      </x:c>
      <x:c r="X668" s="120" t="n">
        <x:f>'01 Base Costs'!$B$9</x:f>
        <x:v>463500000</x:v>
      </x:c>
      <x:c r="Y668" s="87" t="n">
        <x:f>T668*(W668*'01 Base Costs'!$B$7+X668)</x:f>
        <x:v>16218791999.999998</x:v>
      </x:c>
      <x:c r="Z668" s="87" t="n">
        <x:f>T668*'01 Base Costs'!$B$8</x:f>
        <x:v>26345476799.999996</x:v>
      </x:c>
      <x:c r="AA668" s="87" t="n">
        <x:f>Z668*'01 Base Costs'!$B$11</x:f>
        <x:v>1317273840</x:v>
      </x:c>
      <x:c r="AB668" s="87" t="n">
        <x:f>Z668-AA668</x:f>
        <x:v>25028202959.999996</x:v>
      </x:c>
      <x:c r="AC668" s="87" t="n">
        <x:f>O668+Y668</x:f>
        <x:v>32034072000</x:v>
      </x:c>
      <x:c r="AD668" s="87" t="n">
        <x:f>AB668-AC668</x:f>
        <x:v>-7005869040.000004</x:v>
      </x:c>
      <x:c r="AE668" s="87" t="n">
        <x:f>AD668/D668</x:f>
        <x:v>-2335289680.0000014</x:v>
      </x:c>
      <x:c r="AF668" s="87" t="n">
        <x:f>AD668/P668</x:f>
        <x:v>-778429893.3333337</x:v>
      </x:c>
      <x:c r="AG668" s="87" t="n">
        <x:f>IF(T668=0,0,AC668/T668/(1-'01 Base Costs'!$B$11))</x:f>
        <x:v>963650999.9278032</x:v>
      </x:c>
      <x:c r="AH668" s="88" t="str">
        <x:f>IF(AD668&gt;0,"PROFIT","LOSS")</x:f>
        <x:v>LOSS</x:v>
      </x:c>
      <x:c r="AI668" s="89" t="str">
        <x:v>Capsuleer Day XXIIII event from screenshot. MCT sale 20% off. Extractor bought on market with ISK.</x:v>
      </x:c>
    </x:row>
    <x:row r="669">
      <x:c r="A669" s="86" t="n">
        <x:v>667</x:v>
      </x:c>
      <x:c r="B669" s="88" t="str">
        <x:v>Sale/Event</x:v>
      </x:c>
      <x:c r="C669" s="88" t="str">
        <x:v>Capsuleer Day 3M Omega + 2 skins</x:v>
      </x:c>
      <x:c r="D669" s="88" t="n">
        <x:v>3</x:v>
      </x:c>
      <x:c r="E669" s="88" t="n">
        <x:v>3</x:v>
      </x:c>
      <x:c r="F669" s="88" t="str">
        <x:v>NES MCT 30% sale</x:v>
      </x:c>
      <x:c r="G669" s="88" t="str">
        <x:v>NES single extractor</x:v>
      </x:c>
      <x:c r="H669" s="87" t="n">
        <x:f>'01 Base Costs'!$B$27</x:f>
        <x:v>960</x:v>
      </x:c>
      <x:c r="I669" s="87" t="n">
        <x:f>'01 Base Costs'!$B$16*0.7</x:f>
        <x:v>339.5</x:v>
      </x:c>
      <x:c r="J669" s="87" t="n">
        <x:f>0</x:f>
        <x:v>0</x:v>
      </x:c>
      <x:c r="K669" s="87" t="n">
        <x:f>D669*(E669-1)*I669</x:f>
        <x:v>2037</x:v>
      </x:c>
      <x:c r="L669" s="87" t="n">
        <x:f>D669*(E669-1)*J669</x:f>
        <x:v>0</x:v>
      </x:c>
      <x:c r="M669" s="87" t="n">
        <x:f>0</x:f>
        <x:v>0</x:v>
      </x:c>
      <x:c r="N669" s="87" t="n">
        <x:f>H669+K669+M669</x:f>
        <x:v>2997</x:v>
      </x:c>
      <x:c r="O669" s="87" t="n">
        <x:f>N669*'01 Base Costs'!$B$7+L669</x:f>
        <x:v>14415570000</x:v>
      </x:c>
      <x:c r="P669" s="87" t="n">
        <x:f>D669*E669</x:f>
        <x:v>9</x:v>
      </x:c>
      <x:c r="Q669" s="87" t="n">
        <x:f>P669*'01 Base Costs'!$B$12</x:f>
        <x:v>17496000</x:v>
      </x:c>
      <x:c r="R669" s="87" t="n">
        <x:f>0</x:f>
        <x:v>0</x:v>
      </x:c>
      <x:c r="S669" s="87" t="n">
        <x:f>Q669+R669</x:f>
        <x:v>17496000</x:v>
      </x:c>
      <x:c r="T669" s="141" t="n">
        <x:f>S669/'01 Base Costs'!$B$14</x:f>
        <x:v>34.992</x:v>
      </x:c>
      <x:c r="U669" s="87" t="n">
        <x:f>INT(T669)</x:f>
        <x:v>34</x:v>
      </x:c>
      <x:c r="V669" s="87" t="n">
        <x:f>S669-U669*'01 Base Costs'!$B$14</x:f>
        <x:v>496000</x:v>
      </x:c>
      <x:c r="W669" s="120" t="n">
        <x:f>'01 Base Costs'!$B$17</x:f>
        <x:v>140</x:v>
      </x:c>
      <x:c r="X669" s="120" t="n">
        <x:f>0</x:f>
        <x:v>0</x:v>
      </x:c>
      <x:c r="Y669" s="87" t="n">
        <x:f>T669*(W669*'01 Base Costs'!$B$7+X669)</x:f>
        <x:v>23563612800</x:v>
      </x:c>
      <x:c r="Z669" s="87" t="n">
        <x:f>T669*'01 Base Costs'!$B$8</x:f>
        <x:v>26345476799.999996</x:v>
      </x:c>
      <x:c r="AA669" s="87" t="n">
        <x:f>Z669*'01 Base Costs'!$B$11</x:f>
        <x:v>1317273840</x:v>
      </x:c>
      <x:c r="AB669" s="87" t="n">
        <x:f>Z669-AA669</x:f>
        <x:v>25028202959.999996</x:v>
      </x:c>
      <x:c r="AC669" s="87" t="n">
        <x:f>O669+Y669</x:f>
        <x:v>37979182800</x:v>
      </x:c>
      <x:c r="AD669" s="87" t="n">
        <x:f>AB669-AC669</x:f>
        <x:v>-12950979840.000004</x:v>
      </x:c>
      <x:c r="AE669" s="87" t="n">
        <x:f>AD669/D669</x:f>
        <x:v>-4316993280.000001</x:v>
      </x:c>
      <x:c r="AF669" s="87" t="n">
        <x:f>AD669/P669</x:f>
        <x:v>-1438997760.0000005</x:v>
      </x:c>
      <x:c r="AG669" s="87" t="n">
        <x:f>IF(T669=0,0,AC669/T669/(1-'01 Base Costs'!$B$11))</x:f>
        <x:v>1142492202.729045</x:v>
      </x:c>
      <x:c r="AH669" s="88" t="str">
        <x:f>IF(AD669&gt;0,"PROFIT","LOSS")</x:f>
        <x:v>LOSS</x:v>
      </x:c>
      <x:c r="AI669" s="89" t="str">
        <x:v>Capsuleer Day XXIIII event from screenshot. MCT sale 30% off. Base single extractor.</x:v>
      </x:c>
    </x:row>
    <x:row r="670">
      <x:c r="A670" s="86" t="n">
        <x:v>668</x:v>
      </x:c>
      <x:c r="B670" s="88" t="str">
        <x:v>Sale/Event</x:v>
      </x:c>
      <x:c r="C670" s="88" t="str">
        <x:v>Capsuleer Day 3M Omega + 2 skins</x:v>
      </x:c>
      <x:c r="D670" s="88" t="n">
        <x:v>3</x:v>
      </x:c>
      <x:c r="E670" s="88" t="n">
        <x:v>3</x:v>
      </x:c>
      <x:c r="F670" s="88" t="str">
        <x:v>NES MCT 30% sale</x:v>
      </x:c>
      <x:c r="G670" s="88" t="str">
        <x:v>NES 5-pack extractor</x:v>
      </x:c>
      <x:c r="H670" s="87" t="n">
        <x:f>'01 Base Costs'!$B$27</x:f>
        <x:v>960</x:v>
      </x:c>
      <x:c r="I670" s="87" t="n">
        <x:f>'01 Base Costs'!$B$16*0.7</x:f>
        <x:v>339.5</x:v>
      </x:c>
      <x:c r="J670" s="87" t="n">
        <x:f>0</x:f>
        <x:v>0</x:v>
      </x:c>
      <x:c r="K670" s="87" t="n">
        <x:f>D670*(E670-1)*I670</x:f>
        <x:v>2037</x:v>
      </x:c>
      <x:c r="L670" s="87" t="n">
        <x:f>D670*(E670-1)*J670</x:f>
        <x:v>0</x:v>
      </x:c>
      <x:c r="M670" s="87" t="n">
        <x:f>0</x:f>
        <x:v>0</x:v>
      </x:c>
      <x:c r="N670" s="87" t="n">
        <x:f>H670+K670+M670</x:f>
        <x:v>2997</x:v>
      </x:c>
      <x:c r="O670" s="87" t="n">
        <x:f>N670*'01 Base Costs'!$B$7+L670</x:f>
        <x:v>14415570000</x:v>
      </x:c>
      <x:c r="P670" s="87" t="n">
        <x:f>D670*E670</x:f>
        <x:v>9</x:v>
      </x:c>
      <x:c r="Q670" s="87" t="n">
        <x:f>P670*'01 Base Costs'!$B$12</x:f>
        <x:v>17496000</x:v>
      </x:c>
      <x:c r="R670" s="87" t="n">
        <x:f>0</x:f>
        <x:v>0</x:v>
      </x:c>
      <x:c r="S670" s="87" t="n">
        <x:f>Q670+R670</x:f>
        <x:v>17496000</x:v>
      </x:c>
      <x:c r="T670" s="141" t="n">
        <x:f>S670/'01 Base Costs'!$B$14</x:f>
        <x:v>34.992</x:v>
      </x:c>
      <x:c r="U670" s="87" t="n">
        <x:f>INT(T670)</x:f>
        <x:v>34</x:v>
      </x:c>
      <x:c r="V670" s="87" t="n">
        <x:f>S670-U670*'01 Base Costs'!$B$14</x:f>
        <x:v>496000</x:v>
      </x:c>
      <x:c r="W670" s="120" t="n">
        <x:f>'01 Base Costs'!$B$18/5</x:f>
        <x:v>126</x:v>
      </x:c>
      <x:c r="X670" s="120" t="n">
        <x:f>0</x:f>
        <x:v>0</x:v>
      </x:c>
      <x:c r="Y670" s="87" t="n">
        <x:f>T670*(W670*'01 Base Costs'!$B$7+X670)</x:f>
        <x:v>21207251520</x:v>
      </x:c>
      <x:c r="Z670" s="87" t="n">
        <x:f>T670*'01 Base Costs'!$B$8</x:f>
        <x:v>26345476799.999996</x:v>
      </x:c>
      <x:c r="AA670" s="87" t="n">
        <x:f>Z670*'01 Base Costs'!$B$11</x:f>
        <x:v>1317273840</x:v>
      </x:c>
      <x:c r="AB670" s="87" t="n">
        <x:f>Z670-AA670</x:f>
        <x:v>25028202959.999996</x:v>
      </x:c>
      <x:c r="AC670" s="87" t="n">
        <x:f>O670+Y670</x:f>
        <x:v>35622821520</x:v>
      </x:c>
      <x:c r="AD670" s="87" t="n">
        <x:f>AB670-AC670</x:f>
        <x:v>-10594618560.000004</x:v>
      </x:c>
      <x:c r="AE670" s="87" t="n">
        <x:f>AD670/D670</x:f>
        <x:v>-3531539520.0000014</x:v>
      </x:c>
      <x:c r="AF670" s="87" t="n">
        <x:f>AD670/P670</x:f>
        <x:v>-1177179840.0000005</x:v>
      </x:c>
      <x:c r="AG670" s="87" t="n">
        <x:f>IF(T670=0,0,AC670/T670/(1-'01 Base Costs'!$B$11))</x:f>
        <x:v>1071607992.2027292</x:v>
      </x:c>
      <x:c r="AH670" s="88" t="str">
        <x:f>IF(AD670&gt;0,"PROFIT","LOSS")</x:f>
        <x:v>LOSS</x:v>
      </x:c>
      <x:c r="AI670" s="89" t="str">
        <x:v>Capsuleer Day XXIIII event from screenshot. MCT sale 30% off. Base 5-pack average.</x:v>
      </x:c>
    </x:row>
    <x:row r="671">
      <x:c r="A671" s="86" t="n">
        <x:v>669</x:v>
      </x:c>
      <x:c r="B671" s="88" t="str">
        <x:v>Sale/Event</x:v>
      </x:c>
      <x:c r="C671" s="88" t="str">
        <x:v>Capsuleer Day 3M Omega + 2 skins</x:v>
      </x:c>
      <x:c r="D671" s="88" t="n">
        <x:v>3</x:v>
      </x:c>
      <x:c r="E671" s="88" t="n">
        <x:v>3</x:v>
      </x:c>
      <x:c r="F671" s="88" t="str">
        <x:v>NES MCT 30% sale</x:v>
      </x:c>
      <x:c r="G671" s="88" t="str">
        <x:v>NES 10-pack extractor</x:v>
      </x:c>
      <x:c r="H671" s="87" t="n">
        <x:f>'01 Base Costs'!$B$27</x:f>
        <x:v>960</x:v>
      </x:c>
      <x:c r="I671" s="87" t="n">
        <x:f>'01 Base Costs'!$B$16*0.7</x:f>
        <x:v>339.5</x:v>
      </x:c>
      <x:c r="J671" s="87" t="n">
        <x:f>0</x:f>
        <x:v>0</x:v>
      </x:c>
      <x:c r="K671" s="87" t="n">
        <x:f>D671*(E671-1)*I671</x:f>
        <x:v>2037</x:v>
      </x:c>
      <x:c r="L671" s="87" t="n">
        <x:f>D671*(E671-1)*J671</x:f>
        <x:v>0</x:v>
      </x:c>
      <x:c r="M671" s="87" t="n">
        <x:f>0</x:f>
        <x:v>0</x:v>
      </x:c>
      <x:c r="N671" s="87" t="n">
        <x:f>H671+K671+M671</x:f>
        <x:v>2997</x:v>
      </x:c>
      <x:c r="O671" s="87" t="n">
        <x:f>N671*'01 Base Costs'!$B$7+L671</x:f>
        <x:v>14415570000</x:v>
      </x:c>
      <x:c r="P671" s="87" t="n">
        <x:f>D671*E671</x:f>
        <x:v>9</x:v>
      </x:c>
      <x:c r="Q671" s="87" t="n">
        <x:f>P671*'01 Base Costs'!$B$12</x:f>
        <x:v>17496000</x:v>
      </x:c>
      <x:c r="R671" s="87" t="n">
        <x:f>0</x:f>
        <x:v>0</x:v>
      </x:c>
      <x:c r="S671" s="87" t="n">
        <x:f>Q671+R671</x:f>
        <x:v>17496000</x:v>
      </x:c>
      <x:c r="T671" s="141" t="n">
        <x:f>S671/'01 Base Costs'!$B$14</x:f>
        <x:v>34.992</x:v>
      </x:c>
      <x:c r="U671" s="87" t="n">
        <x:f>INT(T671)</x:f>
        <x:v>34</x:v>
      </x:c>
      <x:c r="V671" s="87" t="n">
        <x:f>S671-U671*'01 Base Costs'!$B$14</x:f>
        <x:v>496000</x:v>
      </x:c>
      <x:c r="W671" s="120" t="n">
        <x:f>'01 Base Costs'!$B$19/10</x:f>
        <x:v>119</x:v>
      </x:c>
      <x:c r="X671" s="120" t="n">
        <x:f>0</x:f>
        <x:v>0</x:v>
      </x:c>
      <x:c r="Y671" s="87" t="n">
        <x:f>T671*(W671*'01 Base Costs'!$B$7+X671)</x:f>
        <x:v>20029070880</x:v>
      </x:c>
      <x:c r="Z671" s="87" t="n">
        <x:f>T671*'01 Base Costs'!$B$8</x:f>
        <x:v>26345476799.999996</x:v>
      </x:c>
      <x:c r="AA671" s="87" t="n">
        <x:f>Z671*'01 Base Costs'!$B$11</x:f>
        <x:v>1317273840</x:v>
      </x:c>
      <x:c r="AB671" s="87" t="n">
        <x:f>Z671-AA671</x:f>
        <x:v>25028202959.999996</x:v>
      </x:c>
      <x:c r="AC671" s="87" t="n">
        <x:f>O671+Y671</x:f>
        <x:v>34444640880</x:v>
      </x:c>
      <x:c r="AD671" s="87" t="n">
        <x:f>AB671-AC671</x:f>
        <x:v>-9416437920.000004</x:v>
      </x:c>
      <x:c r="AE671" s="87" t="n">
        <x:f>AD671/D671</x:f>
        <x:v>-3138812640.0000014</x:v>
      </x:c>
      <x:c r="AF671" s="87" t="n">
        <x:f>AD671/P671</x:f>
        <x:v>-1046270880.0000005</x:v>
      </x:c>
      <x:c r="AG671" s="87" t="n">
        <x:f>IF(T671=0,0,AC671/T671/(1-'01 Base Costs'!$B$11))</x:f>
        <x:v>1036165886.9395714</x:v>
      </x:c>
      <x:c r="AH671" s="88" t="str">
        <x:f>IF(AD671&gt;0,"PROFIT","LOSS")</x:f>
        <x:v>LOSS</x:v>
      </x:c>
      <x:c r="AI671" s="89" t="str">
        <x:v>Capsuleer Day XXIIII event from screenshot. MCT sale 30% off. Base 10-pack average.</x:v>
      </x:c>
    </x:row>
    <x:row r="672">
      <x:c r="A672" s="86" t="n">
        <x:v>670</x:v>
      </x:c>
      <x:c r="B672" s="88" t="str">
        <x:v>Sale/Event</x:v>
      </x:c>
      <x:c r="C672" s="88" t="str">
        <x:v>Capsuleer Day 3M Omega + 2 skins</x:v>
      </x:c>
      <x:c r="D672" s="88" t="n">
        <x:v>3</x:v>
      </x:c>
      <x:c r="E672" s="88" t="n">
        <x:v>3</x:v>
      </x:c>
      <x:c r="F672" s="88" t="str">
        <x:v>NES MCT 30% sale</x:v>
      </x:c>
      <x:c r="G672" s="88" t="str">
        <x:v>NES 50-pack extractor</x:v>
      </x:c>
      <x:c r="H672" s="87" t="n">
        <x:f>'01 Base Costs'!$B$27</x:f>
        <x:v>960</x:v>
      </x:c>
      <x:c r="I672" s="87" t="n">
        <x:f>'01 Base Costs'!$B$16*0.7</x:f>
        <x:v>339.5</x:v>
      </x:c>
      <x:c r="J672" s="87" t="n">
        <x:f>0</x:f>
        <x:v>0</x:v>
      </x:c>
      <x:c r="K672" s="87" t="n">
        <x:f>D672*(E672-1)*I672</x:f>
        <x:v>2037</x:v>
      </x:c>
      <x:c r="L672" s="87" t="n">
        <x:f>D672*(E672-1)*J672</x:f>
        <x:v>0</x:v>
      </x:c>
      <x:c r="M672" s="87" t="n">
        <x:f>0</x:f>
        <x:v>0</x:v>
      </x:c>
      <x:c r="N672" s="87" t="n">
        <x:f>H672+K672+M672</x:f>
        <x:v>2997</x:v>
      </x:c>
      <x:c r="O672" s="87" t="n">
        <x:f>N672*'01 Base Costs'!$B$7+L672</x:f>
        <x:v>14415570000</x:v>
      </x:c>
      <x:c r="P672" s="87" t="n">
        <x:f>D672*E672</x:f>
        <x:v>9</x:v>
      </x:c>
      <x:c r="Q672" s="87" t="n">
        <x:f>P672*'01 Base Costs'!$B$12</x:f>
        <x:v>17496000</x:v>
      </x:c>
      <x:c r="R672" s="87" t="n">
        <x:f>0</x:f>
        <x:v>0</x:v>
      </x:c>
      <x:c r="S672" s="87" t="n">
        <x:f>Q672+R672</x:f>
        <x:v>17496000</x:v>
      </x:c>
      <x:c r="T672" s="141" t="n">
        <x:f>S672/'01 Base Costs'!$B$14</x:f>
        <x:v>34.992</x:v>
      </x:c>
      <x:c r="U672" s="87" t="n">
        <x:f>INT(T672)</x:f>
        <x:v>34</x:v>
      </x:c>
      <x:c r="V672" s="87" t="n">
        <x:f>S672-U672*'01 Base Costs'!$B$14</x:f>
        <x:v>496000</x:v>
      </x:c>
      <x:c r="W672" s="120" t="n">
        <x:f>'01 Base Costs'!$B$20/50</x:f>
        <x:v>112</x:v>
      </x:c>
      <x:c r="X672" s="120" t="n">
        <x:f>0</x:f>
        <x:v>0</x:v>
      </x:c>
      <x:c r="Y672" s="87" t="n">
        <x:f>T672*(W672*'01 Base Costs'!$B$7+X672)</x:f>
        <x:v>18850890240</x:v>
      </x:c>
      <x:c r="Z672" s="87" t="n">
        <x:f>T672*'01 Base Costs'!$B$8</x:f>
        <x:v>26345476799.999996</x:v>
      </x:c>
      <x:c r="AA672" s="87" t="n">
        <x:f>Z672*'01 Base Costs'!$B$11</x:f>
        <x:v>1317273840</x:v>
      </x:c>
      <x:c r="AB672" s="87" t="n">
        <x:f>Z672-AA672</x:f>
        <x:v>25028202959.999996</x:v>
      </x:c>
      <x:c r="AC672" s="87" t="n">
        <x:f>O672+Y672</x:f>
        <x:v>33266460240</x:v>
      </x:c>
      <x:c r="AD672" s="87" t="n">
        <x:f>AB672-AC672</x:f>
        <x:v>-8238257280.000004</x:v>
      </x:c>
      <x:c r="AE672" s="87" t="n">
        <x:f>AD672/D672</x:f>
        <x:v>-2746085760.0000014</x:v>
      </x:c>
      <x:c r="AF672" s="87" t="n">
        <x:f>AD672/P672</x:f>
        <x:v>-915361920.0000005</x:v>
      </x:c>
      <x:c r="AG672" s="87" t="n">
        <x:f>IF(T672=0,0,AC672/T672/(1-'01 Base Costs'!$B$11))</x:f>
        <x:v>1000723781.6764134</x:v>
      </x:c>
      <x:c r="AH672" s="88" t="str">
        <x:f>IF(AD672&gt;0,"PROFIT","LOSS")</x:f>
        <x:v>LOSS</x:v>
      </x:c>
      <x:c r="AI672" s="89" t="str">
        <x:v>Capsuleer Day XXIIII event from screenshot. MCT sale 30% off. Base 50-pack average.</x:v>
      </x:c>
    </x:row>
    <x:row r="673">
      <x:c r="A673" s="86" t="n">
        <x:v>671</x:v>
      </x:c>
      <x:c r="B673" s="88" t="str">
        <x:v>Sale/Event</x:v>
      </x:c>
      <x:c r="C673" s="88" t="str">
        <x:v>Capsuleer Day 3M Omega + 2 skins</x:v>
      </x:c>
      <x:c r="D673" s="88" t="n">
        <x:v>3</x:v>
      </x:c>
      <x:c r="E673" s="88" t="n">
        <x:v>3</x:v>
      </x:c>
      <x:c r="F673" s="88" t="str">
        <x:v>NES MCT 30% sale</x:v>
      </x:c>
      <x:c r="G673" s="88" t="str">
        <x:v>NES 3-for-2 extractor sale</x:v>
      </x:c>
      <x:c r="H673" s="87" t="n">
        <x:f>'01 Base Costs'!$B$27</x:f>
        <x:v>960</x:v>
      </x:c>
      <x:c r="I673" s="87" t="n">
        <x:f>'01 Base Costs'!$B$16*0.7</x:f>
        <x:v>339.5</x:v>
      </x:c>
      <x:c r="J673" s="87" t="n">
        <x:f>0</x:f>
        <x:v>0</x:v>
      </x:c>
      <x:c r="K673" s="87" t="n">
        <x:f>D673*(E673-1)*I673</x:f>
        <x:v>2037</x:v>
      </x:c>
      <x:c r="L673" s="87" t="n">
        <x:f>D673*(E673-1)*J673</x:f>
        <x:v>0</x:v>
      </x:c>
      <x:c r="M673" s="87" t="n">
        <x:f>0</x:f>
        <x:v>0</x:v>
      </x:c>
      <x:c r="N673" s="87" t="n">
        <x:f>H673+K673+M673</x:f>
        <x:v>2997</x:v>
      </x:c>
      <x:c r="O673" s="87" t="n">
        <x:f>N673*'01 Base Costs'!$B$7+L673</x:f>
        <x:v>14415570000</x:v>
      </x:c>
      <x:c r="P673" s="87" t="n">
        <x:f>D673*E673</x:f>
        <x:v>9</x:v>
      </x:c>
      <x:c r="Q673" s="87" t="n">
        <x:f>P673*'01 Base Costs'!$B$12</x:f>
        <x:v>17496000</x:v>
      </x:c>
      <x:c r="R673" s="87" t="n">
        <x:f>0</x:f>
        <x:v>0</x:v>
      </x:c>
      <x:c r="S673" s="87" t="n">
        <x:f>Q673+R673</x:f>
        <x:v>17496000</x:v>
      </x:c>
      <x:c r="T673" s="141" t="n">
        <x:f>S673/'01 Base Costs'!$B$14</x:f>
        <x:v>34.992</x:v>
      </x:c>
      <x:c r="U673" s="87" t="n">
        <x:f>INT(T673)</x:f>
        <x:v>34</x:v>
      </x:c>
      <x:c r="V673" s="87" t="n">
        <x:f>S673-U673*'01 Base Costs'!$B$14</x:f>
        <x:v>496000</x:v>
      </x:c>
      <x:c r="W673" s="120" t="n">
        <x:f>'01 Base Costs'!$B$17*2/3</x:f>
        <x:v>93.33333333333333</x:v>
      </x:c>
      <x:c r="X673" s="120" t="n">
        <x:f>0</x:f>
        <x:v>0</x:v>
      </x:c>
      <x:c r="Y673" s="87" t="n">
        <x:f>T673*(W673*'01 Base Costs'!$B$7+X673)</x:f>
        <x:v>15709075199.999998</x:v>
      </x:c>
      <x:c r="Z673" s="87" t="n">
        <x:f>T673*'01 Base Costs'!$B$8</x:f>
        <x:v>26345476799.999996</x:v>
      </x:c>
      <x:c r="AA673" s="87" t="n">
        <x:f>Z673*'01 Base Costs'!$B$11</x:f>
        <x:v>1317273840</x:v>
      </x:c>
      <x:c r="AB673" s="87" t="n">
        <x:f>Z673-AA673</x:f>
        <x:v>25028202959.999996</x:v>
      </x:c>
      <x:c r="AC673" s="87" t="n">
        <x:f>O673+Y673</x:f>
        <x:v>30124645200</x:v>
      </x:c>
      <x:c r="AD673" s="87" t="n">
        <x:f>AB673-AC673</x:f>
        <x:v>-5096442240.000004</x:v>
      </x:c>
      <x:c r="AE673" s="87" t="n">
        <x:f>AD673/D673</x:f>
        <x:v>-1698814080.0000012</x:v>
      </x:c>
      <x:c r="AF673" s="87" t="n">
        <x:f>AD673/P673</x:f>
        <x:v>-566271360.0000005</x:v>
      </x:c>
      <x:c r="AG673" s="87" t="n">
        <x:f>IF(T673=0,0,AC673/T673/(1-'01 Base Costs'!$B$11))</x:f>
        <x:v>906211500.974659</x:v>
      </x:c>
      <x:c r="AH673" s="88" t="str">
        <x:f>IF(AD673&gt;0,"PROFIT","LOSS")</x:f>
        <x:v>LOSS</x:v>
      </x:c>
      <x:c r="AI673" s="89" t="str">
        <x:v>Capsuleer Day XXIIII event from screenshot. MCT sale 30% off. Extractor 3-for-2 sale.</x:v>
      </x:c>
    </x:row>
    <x:row r="674">
      <x:c r="A674" s="86" t="n">
        <x:v>672</x:v>
      </x:c>
      <x:c r="B674" s="88" t="str">
        <x:v>Sale/Event</x:v>
      </x:c>
      <x:c r="C674" s="88" t="str">
        <x:v>Capsuleer Day 3M Omega + 2 skins</x:v>
      </x:c>
      <x:c r="D674" s="88" t="n">
        <x:v>3</x:v>
      </x:c>
      <x:c r="E674" s="88" t="n">
        <x:v>3</x:v>
      </x:c>
      <x:c r="F674" s="88" t="str">
        <x:v>NES MCT 30% sale</x:v>
      </x:c>
      <x:c r="G674" s="88" t="str">
        <x:v>NES 2-for-1 extractor sale</x:v>
      </x:c>
      <x:c r="H674" s="87" t="n">
        <x:f>'01 Base Costs'!$B$27</x:f>
        <x:v>960</x:v>
      </x:c>
      <x:c r="I674" s="87" t="n">
        <x:f>'01 Base Costs'!$B$16*0.7</x:f>
        <x:v>339.5</x:v>
      </x:c>
      <x:c r="J674" s="87" t="n">
        <x:f>0</x:f>
        <x:v>0</x:v>
      </x:c>
      <x:c r="K674" s="87" t="n">
        <x:f>D674*(E674-1)*I674</x:f>
        <x:v>2037</x:v>
      </x:c>
      <x:c r="L674" s="87" t="n">
        <x:f>D674*(E674-1)*J674</x:f>
        <x:v>0</x:v>
      </x:c>
      <x:c r="M674" s="87" t="n">
        <x:f>0</x:f>
        <x:v>0</x:v>
      </x:c>
      <x:c r="N674" s="87" t="n">
        <x:f>H674+K674+M674</x:f>
        <x:v>2997</x:v>
      </x:c>
      <x:c r="O674" s="87" t="n">
        <x:f>N674*'01 Base Costs'!$B$7+L674</x:f>
        <x:v>14415570000</x:v>
      </x:c>
      <x:c r="P674" s="87" t="n">
        <x:f>D674*E674</x:f>
        <x:v>9</x:v>
      </x:c>
      <x:c r="Q674" s="87" t="n">
        <x:f>P674*'01 Base Costs'!$B$12</x:f>
        <x:v>17496000</x:v>
      </x:c>
      <x:c r="R674" s="87" t="n">
        <x:f>0</x:f>
        <x:v>0</x:v>
      </x:c>
      <x:c r="S674" s="87" t="n">
        <x:f>Q674+R674</x:f>
        <x:v>17496000</x:v>
      </x:c>
      <x:c r="T674" s="141" t="n">
        <x:f>S674/'01 Base Costs'!$B$14</x:f>
        <x:v>34.992</x:v>
      </x:c>
      <x:c r="U674" s="87" t="n">
        <x:f>INT(T674)</x:f>
        <x:v>34</x:v>
      </x:c>
      <x:c r="V674" s="87" t="n">
        <x:f>S674-U674*'01 Base Costs'!$B$14</x:f>
        <x:v>496000</x:v>
      </x:c>
      <x:c r="W674" s="120" t="n">
        <x:f>'01 Base Costs'!$B$17/2</x:f>
        <x:v>70</x:v>
      </x:c>
      <x:c r="X674" s="120" t="n">
        <x:f>0</x:f>
        <x:v>0</x:v>
      </x:c>
      <x:c r="Y674" s="87" t="n">
        <x:f>T674*(W674*'01 Base Costs'!$B$7+X674)</x:f>
        <x:v>11781806400</x:v>
      </x:c>
      <x:c r="Z674" s="87" t="n">
        <x:f>T674*'01 Base Costs'!$B$8</x:f>
        <x:v>26345476799.999996</x:v>
      </x:c>
      <x:c r="AA674" s="87" t="n">
        <x:f>Z674*'01 Base Costs'!$B$11</x:f>
        <x:v>1317273840</x:v>
      </x:c>
      <x:c r="AB674" s="87" t="n">
        <x:f>Z674-AA674</x:f>
        <x:v>25028202959.999996</x:v>
      </x:c>
      <x:c r="AC674" s="87" t="n">
        <x:f>O674+Y674</x:f>
        <x:v>26197376400</x:v>
      </x:c>
      <x:c r="AD674" s="87" t="n">
        <x:f>AB674-AC674</x:f>
        <x:v>-1169173440.0000038</x:v>
      </x:c>
      <x:c r="AE674" s="87" t="n">
        <x:f>AD674/D674</x:f>
        <x:v>-389724480.00000125</x:v>
      </x:c>
      <x:c r="AF674" s="87" t="n">
        <x:f>AD674/P674</x:f>
        <x:v>-129908160.00000042</x:v>
      </x:c>
      <x:c r="AG674" s="87" t="n">
        <x:f>IF(T674=0,0,AC674/T674/(1-'01 Base Costs'!$B$11))</x:f>
        <x:v>788071150.0974659</x:v>
      </x:c>
      <x:c r="AH674" s="88" t="str">
        <x:f>IF(AD674&gt;0,"PROFIT","LOSS")</x:f>
        <x:v>LOSS</x:v>
      </x:c>
      <x:c r="AI674" s="89" t="str">
        <x:v>Capsuleer Day XXIIII event from screenshot. MCT sale 30% off. Extractor 2-for-1 sale.</x:v>
      </x:c>
    </x:row>
    <x:row r="675">
      <x:c r="A675" s="86" t="n">
        <x:v>673</x:v>
      </x:c>
      <x:c r="B675" s="88" t="str">
        <x:v>Sale/Event</x:v>
      </x:c>
      <x:c r="C675" s="88" t="str">
        <x:v>Capsuleer Day 3M Omega + 2 skins</x:v>
      </x:c>
      <x:c r="D675" s="88" t="n">
        <x:v>3</x:v>
      </x:c>
      <x:c r="E675" s="88" t="n">
        <x:v>3</x:v>
      </x:c>
      <x:c r="F675" s="88" t="str">
        <x:v>NES MCT 30% sale</x:v>
      </x:c>
      <x:c r="G675" s="88" t="str">
        <x:v>NES 10-pack extractor 20% sale</x:v>
      </x:c>
      <x:c r="H675" s="87" t="n">
        <x:f>'01 Base Costs'!$B$27</x:f>
        <x:v>960</x:v>
      </x:c>
      <x:c r="I675" s="87" t="n">
        <x:f>'01 Base Costs'!$B$16*0.7</x:f>
        <x:v>339.5</x:v>
      </x:c>
      <x:c r="J675" s="87" t="n">
        <x:f>0</x:f>
        <x:v>0</x:v>
      </x:c>
      <x:c r="K675" s="87" t="n">
        <x:f>D675*(E675-1)*I675</x:f>
        <x:v>2037</x:v>
      </x:c>
      <x:c r="L675" s="87" t="n">
        <x:f>D675*(E675-1)*J675</x:f>
        <x:v>0</x:v>
      </x:c>
      <x:c r="M675" s="87" t="n">
        <x:f>0</x:f>
        <x:v>0</x:v>
      </x:c>
      <x:c r="N675" s="87" t="n">
        <x:f>H675+K675+M675</x:f>
        <x:v>2997</x:v>
      </x:c>
      <x:c r="O675" s="87" t="n">
        <x:f>N675*'01 Base Costs'!$B$7+L675</x:f>
        <x:v>14415570000</x:v>
      </x:c>
      <x:c r="P675" s="87" t="n">
        <x:f>D675*E675</x:f>
        <x:v>9</x:v>
      </x:c>
      <x:c r="Q675" s="87" t="n">
        <x:f>P675*'01 Base Costs'!$B$12</x:f>
        <x:v>17496000</x:v>
      </x:c>
      <x:c r="R675" s="87" t="n">
        <x:f>0</x:f>
        <x:v>0</x:v>
      </x:c>
      <x:c r="S675" s="87" t="n">
        <x:f>Q675+R675</x:f>
        <x:v>17496000</x:v>
      </x:c>
      <x:c r="T675" s="141" t="n">
        <x:f>S675/'01 Base Costs'!$B$14</x:f>
        <x:v>34.992</x:v>
      </x:c>
      <x:c r="U675" s="87" t="n">
        <x:f>INT(T675)</x:f>
        <x:v>34</x:v>
      </x:c>
      <x:c r="V675" s="87" t="n">
        <x:f>S675-U675*'01 Base Costs'!$B$14</x:f>
        <x:v>496000</x:v>
      </x:c>
      <x:c r="W675" s="120" t="n">
        <x:f>'01 Base Costs'!$B$19*0.8/10</x:f>
        <x:v>95.2</x:v>
      </x:c>
      <x:c r="X675" s="120" t="n">
        <x:f>0</x:f>
        <x:v>0</x:v>
      </x:c>
      <x:c r="Y675" s="87" t="n">
        <x:f>T675*(W675*'01 Base Costs'!$B$7+X675)</x:f>
        <x:v>16023256703.999998</x:v>
      </x:c>
      <x:c r="Z675" s="87" t="n">
        <x:f>T675*'01 Base Costs'!$B$8</x:f>
        <x:v>26345476799.999996</x:v>
      </x:c>
      <x:c r="AA675" s="87" t="n">
        <x:f>Z675*'01 Base Costs'!$B$11</x:f>
        <x:v>1317273840</x:v>
      </x:c>
      <x:c r="AB675" s="87" t="n">
        <x:f>Z675-AA675</x:f>
        <x:v>25028202959.999996</x:v>
      </x:c>
      <x:c r="AC675" s="87" t="n">
        <x:f>O675+Y675</x:f>
        <x:v>30438826704</x:v>
      </x:c>
      <x:c r="AD675" s="87" t="n">
        <x:f>AB675-AC675</x:f>
        <x:v>-5410623744.000004</x:v>
      </x:c>
      <x:c r="AE675" s="87" t="n">
        <x:f>AD675/D675</x:f>
        <x:v>-1803541248.0000012</x:v>
      </x:c>
      <x:c r="AF675" s="87" t="n">
        <x:f>AD675/P675</x:f>
        <x:v>-601180416.0000005</x:v>
      </x:c>
      <x:c r="AG675" s="87" t="n">
        <x:f>IF(T675=0,0,AC675/T675/(1-'01 Base Costs'!$B$11))</x:f>
        <x:v>915662729.0448345</x:v>
      </x:c>
      <x:c r="AH675" s="88" t="str">
        <x:f>IF(AD675&gt;0,"PROFIT","LOSS")</x:f>
        <x:v>LOSS</x:v>
      </x:c>
      <x:c r="AI675" s="89" t="str">
        <x:v>Capsuleer Day XXIIII event from screenshot. MCT sale 30% off. 10-pack at 20% off.</x:v>
      </x:c>
    </x:row>
    <x:row r="676">
      <x:c r="A676" s="86" t="n">
        <x:v>674</x:v>
      </x:c>
      <x:c r="B676" s="88" t="str">
        <x:v>Sale/Event</x:v>
      </x:c>
      <x:c r="C676" s="88" t="str">
        <x:v>Capsuleer Day 3M Omega + 2 skins</x:v>
      </x:c>
      <x:c r="D676" s="88" t="n">
        <x:v>3</x:v>
      </x:c>
      <x:c r="E676" s="88" t="n">
        <x:v>3</x:v>
      </x:c>
      <x:c r="F676" s="88" t="str">
        <x:v>NES MCT 30% sale</x:v>
      </x:c>
      <x:c r="G676" s="88" t="str">
        <x:v>NES 50-pack extractor 20% sale</x:v>
      </x:c>
      <x:c r="H676" s="87" t="n">
        <x:f>'01 Base Costs'!$B$27</x:f>
        <x:v>960</x:v>
      </x:c>
      <x:c r="I676" s="87" t="n">
        <x:f>'01 Base Costs'!$B$16*0.7</x:f>
        <x:v>339.5</x:v>
      </x:c>
      <x:c r="J676" s="87" t="n">
        <x:f>0</x:f>
        <x:v>0</x:v>
      </x:c>
      <x:c r="K676" s="87" t="n">
        <x:f>D676*(E676-1)*I676</x:f>
        <x:v>2037</x:v>
      </x:c>
      <x:c r="L676" s="87" t="n">
        <x:f>D676*(E676-1)*J676</x:f>
        <x:v>0</x:v>
      </x:c>
      <x:c r="M676" s="87" t="n">
        <x:f>0</x:f>
        <x:v>0</x:v>
      </x:c>
      <x:c r="N676" s="87" t="n">
        <x:f>H676+K676+M676</x:f>
        <x:v>2997</x:v>
      </x:c>
      <x:c r="O676" s="87" t="n">
        <x:f>N676*'01 Base Costs'!$B$7+L676</x:f>
        <x:v>14415570000</x:v>
      </x:c>
      <x:c r="P676" s="87" t="n">
        <x:f>D676*E676</x:f>
        <x:v>9</x:v>
      </x:c>
      <x:c r="Q676" s="87" t="n">
        <x:f>P676*'01 Base Costs'!$B$12</x:f>
        <x:v>17496000</x:v>
      </x:c>
      <x:c r="R676" s="87" t="n">
        <x:f>0</x:f>
        <x:v>0</x:v>
      </x:c>
      <x:c r="S676" s="87" t="n">
        <x:f>Q676+R676</x:f>
        <x:v>17496000</x:v>
      </x:c>
      <x:c r="T676" s="141" t="n">
        <x:f>S676/'01 Base Costs'!$B$14</x:f>
        <x:v>34.992</x:v>
      </x:c>
      <x:c r="U676" s="87" t="n">
        <x:f>INT(T676)</x:f>
        <x:v>34</x:v>
      </x:c>
      <x:c r="V676" s="87" t="n">
        <x:f>S676-U676*'01 Base Costs'!$B$14</x:f>
        <x:v>496000</x:v>
      </x:c>
      <x:c r="W676" s="120" t="n">
        <x:f>'01 Base Costs'!$B$20*0.8/50</x:f>
        <x:v>89.6</x:v>
      </x:c>
      <x:c r="X676" s="120" t="n">
        <x:f>0</x:f>
        <x:v>0</x:v>
      </x:c>
      <x:c r="Y676" s="87" t="n">
        <x:f>T676*(W676*'01 Base Costs'!$B$7+X676)</x:f>
        <x:v>15080712191.999998</x:v>
      </x:c>
      <x:c r="Z676" s="87" t="n">
        <x:f>T676*'01 Base Costs'!$B$8</x:f>
        <x:v>26345476799.999996</x:v>
      </x:c>
      <x:c r="AA676" s="87" t="n">
        <x:f>Z676*'01 Base Costs'!$B$11</x:f>
        <x:v>1317273840</x:v>
      </x:c>
      <x:c r="AB676" s="87" t="n">
        <x:f>Z676-AA676</x:f>
        <x:v>25028202959.999996</x:v>
      </x:c>
      <x:c r="AC676" s="87" t="n">
        <x:f>O676+Y676</x:f>
        <x:v>29496282192</x:v>
      </x:c>
      <x:c r="AD676" s="87" t="n">
        <x:f>AB676-AC676</x:f>
        <x:v>-4468079232.000004</x:v>
      </x:c>
      <x:c r="AE676" s="87" t="n">
        <x:f>AD676/D676</x:f>
        <x:v>-1489359744.0000012</x:v>
      </x:c>
      <x:c r="AF676" s="87" t="n">
        <x:f>AD676/P676</x:f>
        <x:v>-496453248.0000004</x:v>
      </x:c>
      <x:c r="AG676" s="87" t="n">
        <x:f>IF(T676=0,0,AC676/T676/(1-'01 Base Costs'!$B$11))</x:f>
        <x:v>887309044.8343081</x:v>
      </x:c>
      <x:c r="AH676" s="88" t="str">
        <x:f>IF(AD676&gt;0,"PROFIT","LOSS")</x:f>
        <x:v>LOSS</x:v>
      </x:c>
      <x:c r="AI676" s="89" t="str">
        <x:v>Capsuleer Day XXIIII event from screenshot. MCT sale 30% off. 50-pack at 20% off.</x:v>
      </x:c>
    </x:row>
    <x:row r="677">
      <x:c r="A677" s="86" t="n">
        <x:v>675</x:v>
      </x:c>
      <x:c r="B677" s="88" t="str">
        <x:v>Sale/Event</x:v>
      </x:c>
      <x:c r="C677" s="88" t="str">
        <x:v>Capsuleer Day 3M Omega + 2 skins</x:v>
      </x:c>
      <x:c r="D677" s="88" t="n">
        <x:v>3</x:v>
      </x:c>
      <x:c r="E677" s="88" t="n">
        <x:v>3</x:v>
      </x:c>
      <x:c r="F677" s="88" t="str">
        <x:v>NES MCT 30% sale</x:v>
      </x:c>
      <x:c r="G677" s="88" t="str">
        <x:v>Market Skill Extractor</x:v>
      </x:c>
      <x:c r="H677" s="87" t="n">
        <x:f>'01 Base Costs'!$B$27</x:f>
        <x:v>960</x:v>
      </x:c>
      <x:c r="I677" s="87" t="n">
        <x:f>'01 Base Costs'!$B$16*0.7</x:f>
        <x:v>339.5</x:v>
      </x:c>
      <x:c r="J677" s="87" t="n">
        <x:f>0</x:f>
        <x:v>0</x:v>
      </x:c>
      <x:c r="K677" s="87" t="n">
        <x:f>D677*(E677-1)*I677</x:f>
        <x:v>2037</x:v>
      </x:c>
      <x:c r="L677" s="87" t="n">
        <x:f>D677*(E677-1)*J677</x:f>
        <x:v>0</x:v>
      </x:c>
      <x:c r="M677" s="87" t="n">
        <x:f>0</x:f>
        <x:v>0</x:v>
      </x:c>
      <x:c r="N677" s="87" t="n">
        <x:f>H677+K677+M677</x:f>
        <x:v>2997</x:v>
      </x:c>
      <x:c r="O677" s="87" t="n">
        <x:f>N677*'01 Base Costs'!$B$7+L677</x:f>
        <x:v>14415570000</x:v>
      </x:c>
      <x:c r="P677" s="87" t="n">
        <x:f>D677*E677</x:f>
        <x:v>9</x:v>
      </x:c>
      <x:c r="Q677" s="87" t="n">
        <x:f>P677*'01 Base Costs'!$B$12</x:f>
        <x:v>17496000</x:v>
      </x:c>
      <x:c r="R677" s="87" t="n">
        <x:f>0</x:f>
        <x:v>0</x:v>
      </x:c>
      <x:c r="S677" s="87" t="n">
        <x:f>Q677+R677</x:f>
        <x:v>17496000</x:v>
      </x:c>
      <x:c r="T677" s="141" t="n">
        <x:f>S677/'01 Base Costs'!$B$14</x:f>
        <x:v>34.992</x:v>
      </x:c>
      <x:c r="U677" s="87" t="n">
        <x:f>INT(T677)</x:f>
        <x:v>34</x:v>
      </x:c>
      <x:c r="V677" s="87" t="n">
        <x:f>S677-U677*'01 Base Costs'!$B$14</x:f>
        <x:v>496000</x:v>
      </x:c>
      <x:c r="W677" s="120" t="n">
        <x:f>0</x:f>
        <x:v>0</x:v>
      </x:c>
      <x:c r="X677" s="120" t="n">
        <x:f>'01 Base Costs'!$B$9</x:f>
        <x:v>463500000</x:v>
      </x:c>
      <x:c r="Y677" s="87" t="n">
        <x:f>T677*(W677*'01 Base Costs'!$B$7+X677)</x:f>
        <x:v>16218791999.999998</x:v>
      </x:c>
      <x:c r="Z677" s="87" t="n">
        <x:f>T677*'01 Base Costs'!$B$8</x:f>
        <x:v>26345476799.999996</x:v>
      </x:c>
      <x:c r="AA677" s="87" t="n">
        <x:f>Z677*'01 Base Costs'!$B$11</x:f>
        <x:v>1317273840</x:v>
      </x:c>
      <x:c r="AB677" s="87" t="n">
        <x:f>Z677-AA677</x:f>
        <x:v>25028202959.999996</x:v>
      </x:c>
      <x:c r="AC677" s="87" t="n">
        <x:f>O677+Y677</x:f>
        <x:v>30634362000</x:v>
      </x:c>
      <x:c r="AD677" s="87" t="n">
        <x:f>AB677-AC677</x:f>
        <x:v>-5606159040.000004</x:v>
      </x:c>
      <x:c r="AE677" s="87" t="n">
        <x:f>AD677/D677</x:f>
        <x:v>-1868719680.0000012</x:v>
      </x:c>
      <x:c r="AF677" s="87" t="n">
        <x:f>AD677/P677</x:f>
        <x:v>-622906560.0000005</x:v>
      </x:c>
      <x:c r="AG677" s="87" t="n">
        <x:f>IF(T677=0,0,AC677/T677/(1-'01 Base Costs'!$B$11))</x:f>
        <x:v>921544834.3079923</x:v>
      </x:c>
      <x:c r="AH677" s="88" t="str">
        <x:f>IF(AD677&gt;0,"PROFIT","LOSS")</x:f>
        <x:v>LOSS</x:v>
      </x:c>
      <x:c r="AI677" s="89" t="str">
        <x:v>Capsuleer Day XXIIII event from screenshot. MCT sale 30% off. Extractor bought on market with ISK.</x:v>
      </x:c>
    </x:row>
    <x:row r="678">
      <x:c r="A678" s="86" t="n">
        <x:v>676</x:v>
      </x:c>
      <x:c r="B678" s="88" t="str">
        <x:v>Sale/Event</x:v>
      </x:c>
      <x:c r="C678" s="88" t="str">
        <x:v>Capsuleer Day 3M Omega + 2 skins</x:v>
      </x:c>
      <x:c r="D678" s="88" t="n">
        <x:v>3</x:v>
      </x:c>
      <x:c r="E678" s="88" t="n">
        <x:v>3</x:v>
      </x:c>
      <x:c r="F678" s="88" t="str">
        <x:v>NES MCT 40% sale</x:v>
      </x:c>
      <x:c r="G678" s="88" t="str">
        <x:v>NES single extractor</x:v>
      </x:c>
      <x:c r="H678" s="87" t="n">
        <x:f>'01 Base Costs'!$B$27</x:f>
        <x:v>960</x:v>
      </x:c>
      <x:c r="I678" s="87" t="n">
        <x:f>'01 Base Costs'!$B$16*0.6</x:f>
        <x:v>291</x:v>
      </x:c>
      <x:c r="J678" s="87" t="n">
        <x:f>0</x:f>
        <x:v>0</x:v>
      </x:c>
      <x:c r="K678" s="87" t="n">
        <x:f>D678*(E678-1)*I678</x:f>
        <x:v>1746</x:v>
      </x:c>
      <x:c r="L678" s="87" t="n">
        <x:f>D678*(E678-1)*J678</x:f>
        <x:v>0</x:v>
      </x:c>
      <x:c r="M678" s="87" t="n">
        <x:f>0</x:f>
        <x:v>0</x:v>
      </x:c>
      <x:c r="N678" s="87" t="n">
        <x:f>H678+K678+M678</x:f>
        <x:v>2706</x:v>
      </x:c>
      <x:c r="O678" s="87" t="n">
        <x:f>N678*'01 Base Costs'!$B$7+L678</x:f>
        <x:v>13015860000</x:v>
      </x:c>
      <x:c r="P678" s="87" t="n">
        <x:f>D678*E678</x:f>
        <x:v>9</x:v>
      </x:c>
      <x:c r="Q678" s="87" t="n">
        <x:f>P678*'01 Base Costs'!$B$12</x:f>
        <x:v>17496000</x:v>
      </x:c>
      <x:c r="R678" s="87" t="n">
        <x:f>0</x:f>
        <x:v>0</x:v>
      </x:c>
      <x:c r="S678" s="87" t="n">
        <x:f>Q678+R678</x:f>
        <x:v>17496000</x:v>
      </x:c>
      <x:c r="T678" s="141" t="n">
        <x:f>S678/'01 Base Costs'!$B$14</x:f>
        <x:v>34.992</x:v>
      </x:c>
      <x:c r="U678" s="87" t="n">
        <x:f>INT(T678)</x:f>
        <x:v>34</x:v>
      </x:c>
      <x:c r="V678" s="87" t="n">
        <x:f>S678-U678*'01 Base Costs'!$B$14</x:f>
        <x:v>496000</x:v>
      </x:c>
      <x:c r="W678" s="120" t="n">
        <x:f>'01 Base Costs'!$B$17</x:f>
        <x:v>140</x:v>
      </x:c>
      <x:c r="X678" s="120" t="n">
        <x:f>0</x:f>
        <x:v>0</x:v>
      </x:c>
      <x:c r="Y678" s="87" t="n">
        <x:f>T678*(W678*'01 Base Costs'!$B$7+X678)</x:f>
        <x:v>23563612800</x:v>
      </x:c>
      <x:c r="Z678" s="87" t="n">
        <x:f>T678*'01 Base Costs'!$B$8</x:f>
        <x:v>26345476799.999996</x:v>
      </x:c>
      <x:c r="AA678" s="87" t="n">
        <x:f>Z678*'01 Base Costs'!$B$11</x:f>
        <x:v>1317273840</x:v>
      </x:c>
      <x:c r="AB678" s="87" t="n">
        <x:f>Z678-AA678</x:f>
        <x:v>25028202959.999996</x:v>
      </x:c>
      <x:c r="AC678" s="87" t="n">
        <x:f>O678+Y678</x:f>
        <x:v>36579472800</x:v>
      </x:c>
      <x:c r="AD678" s="87" t="n">
        <x:f>AB678-AC678</x:f>
        <x:v>-11551269840.000004</x:v>
      </x:c>
      <x:c r="AE678" s="87" t="n">
        <x:f>AD678/D678</x:f>
        <x:v>-3850423280.0000014</x:v>
      </x:c>
      <x:c r="AF678" s="87" t="n">
        <x:f>AD678/P678</x:f>
        <x:v>-1283474426.666667</x:v>
      </x:c>
      <x:c r="AG678" s="87" t="n">
        <x:f>IF(T678=0,0,AC678/T678/(1-'01 Base Costs'!$B$11))</x:f>
        <x:v>1100386037.109234</x:v>
      </x:c>
      <x:c r="AH678" s="88" t="str">
        <x:f>IF(AD678&gt;0,"PROFIT","LOSS")</x:f>
        <x:v>LOSS</x:v>
      </x:c>
      <x:c r="AI678" s="89" t="str">
        <x:v>Capsuleer Day XXIIII event from screenshot. MCT sale 40% off. Base single extractor.</x:v>
      </x:c>
    </x:row>
    <x:row r="679">
      <x:c r="A679" s="86" t="n">
        <x:v>677</x:v>
      </x:c>
      <x:c r="B679" s="88" t="str">
        <x:v>Sale/Event</x:v>
      </x:c>
      <x:c r="C679" s="88" t="str">
        <x:v>Capsuleer Day 3M Omega + 2 skins</x:v>
      </x:c>
      <x:c r="D679" s="88" t="n">
        <x:v>3</x:v>
      </x:c>
      <x:c r="E679" s="88" t="n">
        <x:v>3</x:v>
      </x:c>
      <x:c r="F679" s="88" t="str">
        <x:v>NES MCT 40% sale</x:v>
      </x:c>
      <x:c r="G679" s="88" t="str">
        <x:v>NES 5-pack extractor</x:v>
      </x:c>
      <x:c r="H679" s="87" t="n">
        <x:f>'01 Base Costs'!$B$27</x:f>
        <x:v>960</x:v>
      </x:c>
      <x:c r="I679" s="87" t="n">
        <x:f>'01 Base Costs'!$B$16*0.6</x:f>
        <x:v>291</x:v>
      </x:c>
      <x:c r="J679" s="87" t="n">
        <x:f>0</x:f>
        <x:v>0</x:v>
      </x:c>
      <x:c r="K679" s="87" t="n">
        <x:f>D679*(E679-1)*I679</x:f>
        <x:v>1746</x:v>
      </x:c>
      <x:c r="L679" s="87" t="n">
        <x:f>D679*(E679-1)*J679</x:f>
        <x:v>0</x:v>
      </x:c>
      <x:c r="M679" s="87" t="n">
        <x:f>0</x:f>
        <x:v>0</x:v>
      </x:c>
      <x:c r="N679" s="87" t="n">
        <x:f>H679+K679+M679</x:f>
        <x:v>2706</x:v>
      </x:c>
      <x:c r="O679" s="87" t="n">
        <x:f>N679*'01 Base Costs'!$B$7+L679</x:f>
        <x:v>13015860000</x:v>
      </x:c>
      <x:c r="P679" s="87" t="n">
        <x:f>D679*E679</x:f>
        <x:v>9</x:v>
      </x:c>
      <x:c r="Q679" s="87" t="n">
        <x:f>P679*'01 Base Costs'!$B$12</x:f>
        <x:v>17496000</x:v>
      </x:c>
      <x:c r="R679" s="87" t="n">
        <x:f>0</x:f>
        <x:v>0</x:v>
      </x:c>
      <x:c r="S679" s="87" t="n">
        <x:f>Q679+R679</x:f>
        <x:v>17496000</x:v>
      </x:c>
      <x:c r="T679" s="141" t="n">
        <x:f>S679/'01 Base Costs'!$B$14</x:f>
        <x:v>34.992</x:v>
      </x:c>
      <x:c r="U679" s="87" t="n">
        <x:f>INT(T679)</x:f>
        <x:v>34</x:v>
      </x:c>
      <x:c r="V679" s="87" t="n">
        <x:f>S679-U679*'01 Base Costs'!$B$14</x:f>
        <x:v>496000</x:v>
      </x:c>
      <x:c r="W679" s="120" t="n">
        <x:f>'01 Base Costs'!$B$18/5</x:f>
        <x:v>126</x:v>
      </x:c>
      <x:c r="X679" s="120" t="n">
        <x:f>0</x:f>
        <x:v>0</x:v>
      </x:c>
      <x:c r="Y679" s="87" t="n">
        <x:f>T679*(W679*'01 Base Costs'!$B$7+X679)</x:f>
        <x:v>21207251520</x:v>
      </x:c>
      <x:c r="Z679" s="87" t="n">
        <x:f>T679*'01 Base Costs'!$B$8</x:f>
        <x:v>26345476799.999996</x:v>
      </x:c>
      <x:c r="AA679" s="87" t="n">
        <x:f>Z679*'01 Base Costs'!$B$11</x:f>
        <x:v>1317273840</x:v>
      </x:c>
      <x:c r="AB679" s="87" t="n">
        <x:f>Z679-AA679</x:f>
        <x:v>25028202959.999996</x:v>
      </x:c>
      <x:c r="AC679" s="87" t="n">
        <x:f>O679+Y679</x:f>
        <x:v>34223111520</x:v>
      </x:c>
      <x:c r="AD679" s="87" t="n">
        <x:f>AB679-AC679</x:f>
        <x:v>-9194908560.000004</x:v>
      </x:c>
      <x:c r="AE679" s="87" t="n">
        <x:f>AD679/D679</x:f>
        <x:v>-3064969520.0000014</x:v>
      </x:c>
      <x:c r="AF679" s="87" t="n">
        <x:f>AD679/P679</x:f>
        <x:v>-1021656506.6666671</x:v>
      </x:c>
      <x:c r="AG679" s="87" t="n">
        <x:f>IF(T679=0,0,AC679/T679/(1-'01 Base Costs'!$B$11))</x:f>
        <x:v>1029501826.5829183</x:v>
      </x:c>
      <x:c r="AH679" s="88" t="str">
        <x:f>IF(AD679&gt;0,"PROFIT","LOSS")</x:f>
        <x:v>LOSS</x:v>
      </x:c>
      <x:c r="AI679" s="89" t="str">
        <x:v>Capsuleer Day XXIIII event from screenshot. MCT sale 40% off. Base 5-pack average.</x:v>
      </x:c>
    </x:row>
    <x:row r="680">
      <x:c r="A680" s="86" t="n">
        <x:v>678</x:v>
      </x:c>
      <x:c r="B680" s="88" t="str">
        <x:v>Sale/Event</x:v>
      </x:c>
      <x:c r="C680" s="88" t="str">
        <x:v>Capsuleer Day 3M Omega + 2 skins</x:v>
      </x:c>
      <x:c r="D680" s="88" t="n">
        <x:v>3</x:v>
      </x:c>
      <x:c r="E680" s="88" t="n">
        <x:v>3</x:v>
      </x:c>
      <x:c r="F680" s="88" t="str">
        <x:v>NES MCT 40% sale</x:v>
      </x:c>
      <x:c r="G680" s="88" t="str">
        <x:v>NES 10-pack extractor</x:v>
      </x:c>
      <x:c r="H680" s="87" t="n">
        <x:f>'01 Base Costs'!$B$27</x:f>
        <x:v>960</x:v>
      </x:c>
      <x:c r="I680" s="87" t="n">
        <x:f>'01 Base Costs'!$B$16*0.6</x:f>
        <x:v>291</x:v>
      </x:c>
      <x:c r="J680" s="87" t="n">
        <x:f>0</x:f>
        <x:v>0</x:v>
      </x:c>
      <x:c r="K680" s="87" t="n">
        <x:f>D680*(E680-1)*I680</x:f>
        <x:v>1746</x:v>
      </x:c>
      <x:c r="L680" s="87" t="n">
        <x:f>D680*(E680-1)*J680</x:f>
        <x:v>0</x:v>
      </x:c>
      <x:c r="M680" s="87" t="n">
        <x:f>0</x:f>
        <x:v>0</x:v>
      </x:c>
      <x:c r="N680" s="87" t="n">
        <x:f>H680+K680+M680</x:f>
        <x:v>2706</x:v>
      </x:c>
      <x:c r="O680" s="87" t="n">
        <x:f>N680*'01 Base Costs'!$B$7+L680</x:f>
        <x:v>13015860000</x:v>
      </x:c>
      <x:c r="P680" s="87" t="n">
        <x:f>D680*E680</x:f>
        <x:v>9</x:v>
      </x:c>
      <x:c r="Q680" s="87" t="n">
        <x:f>P680*'01 Base Costs'!$B$12</x:f>
        <x:v>17496000</x:v>
      </x:c>
      <x:c r="R680" s="87" t="n">
        <x:f>0</x:f>
        <x:v>0</x:v>
      </x:c>
      <x:c r="S680" s="87" t="n">
        <x:f>Q680+R680</x:f>
        <x:v>17496000</x:v>
      </x:c>
      <x:c r="T680" s="141" t="n">
        <x:f>S680/'01 Base Costs'!$B$14</x:f>
        <x:v>34.992</x:v>
      </x:c>
      <x:c r="U680" s="87" t="n">
        <x:f>INT(T680)</x:f>
        <x:v>34</x:v>
      </x:c>
      <x:c r="V680" s="87" t="n">
        <x:f>S680-U680*'01 Base Costs'!$B$14</x:f>
        <x:v>496000</x:v>
      </x:c>
      <x:c r="W680" s="120" t="n">
        <x:f>'01 Base Costs'!$B$19/10</x:f>
        <x:v>119</x:v>
      </x:c>
      <x:c r="X680" s="120" t="n">
        <x:f>0</x:f>
        <x:v>0</x:v>
      </x:c>
      <x:c r="Y680" s="87" t="n">
        <x:f>T680*(W680*'01 Base Costs'!$B$7+X680)</x:f>
        <x:v>20029070880</x:v>
      </x:c>
      <x:c r="Z680" s="87" t="n">
        <x:f>T680*'01 Base Costs'!$B$8</x:f>
        <x:v>26345476799.999996</x:v>
      </x:c>
      <x:c r="AA680" s="87" t="n">
        <x:f>Z680*'01 Base Costs'!$B$11</x:f>
        <x:v>1317273840</x:v>
      </x:c>
      <x:c r="AB680" s="87" t="n">
        <x:f>Z680-AA680</x:f>
        <x:v>25028202959.999996</x:v>
      </x:c>
      <x:c r="AC680" s="87" t="n">
        <x:f>O680+Y680</x:f>
        <x:v>33044930880</x:v>
      </x:c>
      <x:c r="AD680" s="87" t="n">
        <x:f>AB680-AC680</x:f>
        <x:v>-8016727920.000004</x:v>
      </x:c>
      <x:c r="AE680" s="87" t="n">
        <x:f>AD680/D680</x:f>
        <x:v>-2672242640.0000014</x:v>
      </x:c>
      <x:c r="AF680" s="87" t="n">
        <x:f>AD680/P680</x:f>
        <x:v>-890747546.6666671</x:v>
      </x:c>
      <x:c r="AG680" s="87" t="n">
        <x:f>IF(T680=0,0,AC680/T680/(1-'01 Base Costs'!$B$11))</x:f>
        <x:v>994059721.3197604</x:v>
      </x:c>
      <x:c r="AH680" s="88" t="str">
        <x:f>IF(AD680&gt;0,"PROFIT","LOSS")</x:f>
        <x:v>LOSS</x:v>
      </x:c>
      <x:c r="AI680" s="89" t="str">
        <x:v>Capsuleer Day XXIIII event from screenshot. MCT sale 40% off. Base 10-pack average.</x:v>
      </x:c>
    </x:row>
    <x:row r="681">
      <x:c r="A681" s="86" t="n">
        <x:v>679</x:v>
      </x:c>
      <x:c r="B681" s="88" t="str">
        <x:v>Sale/Event</x:v>
      </x:c>
      <x:c r="C681" s="88" t="str">
        <x:v>Capsuleer Day 3M Omega + 2 skins</x:v>
      </x:c>
      <x:c r="D681" s="88" t="n">
        <x:v>3</x:v>
      </x:c>
      <x:c r="E681" s="88" t="n">
        <x:v>3</x:v>
      </x:c>
      <x:c r="F681" s="88" t="str">
        <x:v>NES MCT 40% sale</x:v>
      </x:c>
      <x:c r="G681" s="88" t="str">
        <x:v>NES 50-pack extractor</x:v>
      </x:c>
      <x:c r="H681" s="87" t="n">
        <x:f>'01 Base Costs'!$B$27</x:f>
        <x:v>960</x:v>
      </x:c>
      <x:c r="I681" s="87" t="n">
        <x:f>'01 Base Costs'!$B$16*0.6</x:f>
        <x:v>291</x:v>
      </x:c>
      <x:c r="J681" s="87" t="n">
        <x:f>0</x:f>
        <x:v>0</x:v>
      </x:c>
      <x:c r="K681" s="87" t="n">
        <x:f>D681*(E681-1)*I681</x:f>
        <x:v>1746</x:v>
      </x:c>
      <x:c r="L681" s="87" t="n">
        <x:f>D681*(E681-1)*J681</x:f>
        <x:v>0</x:v>
      </x:c>
      <x:c r="M681" s="87" t="n">
        <x:f>0</x:f>
        <x:v>0</x:v>
      </x:c>
      <x:c r="N681" s="87" t="n">
        <x:f>H681+K681+M681</x:f>
        <x:v>2706</x:v>
      </x:c>
      <x:c r="O681" s="87" t="n">
        <x:f>N681*'01 Base Costs'!$B$7+L681</x:f>
        <x:v>13015860000</x:v>
      </x:c>
      <x:c r="P681" s="87" t="n">
        <x:f>D681*E681</x:f>
        <x:v>9</x:v>
      </x:c>
      <x:c r="Q681" s="87" t="n">
        <x:f>P681*'01 Base Costs'!$B$12</x:f>
        <x:v>17496000</x:v>
      </x:c>
      <x:c r="R681" s="87" t="n">
        <x:f>0</x:f>
        <x:v>0</x:v>
      </x:c>
      <x:c r="S681" s="87" t="n">
        <x:f>Q681+R681</x:f>
        <x:v>17496000</x:v>
      </x:c>
      <x:c r="T681" s="141" t="n">
        <x:f>S681/'01 Base Costs'!$B$14</x:f>
        <x:v>34.992</x:v>
      </x:c>
      <x:c r="U681" s="87" t="n">
        <x:f>INT(T681)</x:f>
        <x:v>34</x:v>
      </x:c>
      <x:c r="V681" s="87" t="n">
        <x:f>S681-U681*'01 Base Costs'!$B$14</x:f>
        <x:v>496000</x:v>
      </x:c>
      <x:c r="W681" s="120" t="n">
        <x:f>'01 Base Costs'!$B$20/50</x:f>
        <x:v>112</x:v>
      </x:c>
      <x:c r="X681" s="120" t="n">
        <x:f>0</x:f>
        <x:v>0</x:v>
      </x:c>
      <x:c r="Y681" s="87" t="n">
        <x:f>T681*(W681*'01 Base Costs'!$B$7+X681)</x:f>
        <x:v>18850890240</x:v>
      </x:c>
      <x:c r="Z681" s="87" t="n">
        <x:f>T681*'01 Base Costs'!$B$8</x:f>
        <x:v>26345476799.999996</x:v>
      </x:c>
      <x:c r="AA681" s="87" t="n">
        <x:f>Z681*'01 Base Costs'!$B$11</x:f>
        <x:v>1317273840</x:v>
      </x:c>
      <x:c r="AB681" s="87" t="n">
        <x:f>Z681-AA681</x:f>
        <x:v>25028202959.999996</x:v>
      </x:c>
      <x:c r="AC681" s="87" t="n">
        <x:f>O681+Y681</x:f>
        <x:v>31866750240</x:v>
      </x:c>
      <x:c r="AD681" s="87" t="n">
        <x:f>AB681-AC681</x:f>
        <x:v>-6838547280.000004</x:v>
      </x:c>
      <x:c r="AE681" s="87" t="n">
        <x:f>AD681/D681</x:f>
        <x:v>-2279515760.0000014</x:v>
      </x:c>
      <x:c r="AF681" s="87" t="n">
        <x:f>AD681/P681</x:f>
        <x:v>-759838586.6666671</x:v>
      </x:c>
      <x:c r="AG681" s="87" t="n">
        <x:f>IF(T681=0,0,AC681/T681/(1-'01 Base Costs'!$B$11))</x:f>
        <x:v>958617616.0566026</x:v>
      </x:c>
      <x:c r="AH681" s="88" t="str">
        <x:f>IF(AD681&gt;0,"PROFIT","LOSS")</x:f>
        <x:v>LOSS</x:v>
      </x:c>
      <x:c r="AI681" s="89" t="str">
        <x:v>Capsuleer Day XXIIII event from screenshot. MCT sale 40% off. Base 50-pack average.</x:v>
      </x:c>
    </x:row>
    <x:row r="682">
      <x:c r="A682" s="86" t="n">
        <x:v>680</x:v>
      </x:c>
      <x:c r="B682" s="88" t="str">
        <x:v>Sale/Event</x:v>
      </x:c>
      <x:c r="C682" s="88" t="str">
        <x:v>Capsuleer Day 3M Omega + 2 skins</x:v>
      </x:c>
      <x:c r="D682" s="88" t="n">
        <x:v>3</x:v>
      </x:c>
      <x:c r="E682" s="88" t="n">
        <x:v>3</x:v>
      </x:c>
      <x:c r="F682" s="88" t="str">
        <x:v>NES MCT 40% sale</x:v>
      </x:c>
      <x:c r="G682" s="88" t="str">
        <x:v>NES 3-for-2 extractor sale</x:v>
      </x:c>
      <x:c r="H682" s="87" t="n">
        <x:f>'01 Base Costs'!$B$27</x:f>
        <x:v>960</x:v>
      </x:c>
      <x:c r="I682" s="87" t="n">
        <x:f>'01 Base Costs'!$B$16*0.6</x:f>
        <x:v>291</x:v>
      </x:c>
      <x:c r="J682" s="87" t="n">
        <x:f>0</x:f>
        <x:v>0</x:v>
      </x:c>
      <x:c r="K682" s="87" t="n">
        <x:f>D682*(E682-1)*I682</x:f>
        <x:v>1746</x:v>
      </x:c>
      <x:c r="L682" s="87" t="n">
        <x:f>D682*(E682-1)*J682</x:f>
        <x:v>0</x:v>
      </x:c>
      <x:c r="M682" s="87" t="n">
        <x:f>0</x:f>
        <x:v>0</x:v>
      </x:c>
      <x:c r="N682" s="87" t="n">
        <x:f>H682+K682+M682</x:f>
        <x:v>2706</x:v>
      </x:c>
      <x:c r="O682" s="87" t="n">
        <x:f>N682*'01 Base Costs'!$B$7+L682</x:f>
        <x:v>13015860000</x:v>
      </x:c>
      <x:c r="P682" s="87" t="n">
        <x:f>D682*E682</x:f>
        <x:v>9</x:v>
      </x:c>
      <x:c r="Q682" s="87" t="n">
        <x:f>P682*'01 Base Costs'!$B$12</x:f>
        <x:v>17496000</x:v>
      </x:c>
      <x:c r="R682" s="87" t="n">
        <x:f>0</x:f>
        <x:v>0</x:v>
      </x:c>
      <x:c r="S682" s="87" t="n">
        <x:f>Q682+R682</x:f>
        <x:v>17496000</x:v>
      </x:c>
      <x:c r="T682" s="141" t="n">
        <x:f>S682/'01 Base Costs'!$B$14</x:f>
        <x:v>34.992</x:v>
      </x:c>
      <x:c r="U682" s="87" t="n">
        <x:f>INT(T682)</x:f>
        <x:v>34</x:v>
      </x:c>
      <x:c r="V682" s="87" t="n">
        <x:f>S682-U682*'01 Base Costs'!$B$14</x:f>
        <x:v>496000</x:v>
      </x:c>
      <x:c r="W682" s="120" t="n">
        <x:f>'01 Base Costs'!$B$17*2/3</x:f>
        <x:v>93.33333333333333</x:v>
      </x:c>
      <x:c r="X682" s="120" t="n">
        <x:f>0</x:f>
        <x:v>0</x:v>
      </x:c>
      <x:c r="Y682" s="87" t="n">
        <x:f>T682*(W682*'01 Base Costs'!$B$7+X682)</x:f>
        <x:v>15709075199.999998</x:v>
      </x:c>
      <x:c r="Z682" s="87" t="n">
        <x:f>T682*'01 Base Costs'!$B$8</x:f>
        <x:v>26345476799.999996</x:v>
      </x:c>
      <x:c r="AA682" s="87" t="n">
        <x:f>Z682*'01 Base Costs'!$B$11</x:f>
        <x:v>1317273840</x:v>
      </x:c>
      <x:c r="AB682" s="87" t="n">
        <x:f>Z682-AA682</x:f>
        <x:v>25028202959.999996</x:v>
      </x:c>
      <x:c r="AC682" s="87" t="n">
        <x:f>O682+Y682</x:f>
        <x:v>28724935200</x:v>
      </x:c>
      <x:c r="AD682" s="87" t="n">
        <x:f>AB682-AC682</x:f>
        <x:v>-3696732240.000004</x:v>
      </x:c>
      <x:c r="AE682" s="87" t="n">
        <x:f>AD682/D682</x:f>
        <x:v>-1232244080.0000012</x:v>
      </x:c>
      <x:c r="AF682" s="87" t="n">
        <x:f>AD682/P682</x:f>
        <x:v>-410748026.6666671</x:v>
      </x:c>
      <x:c r="AG682" s="87" t="n">
        <x:f>IF(T682=0,0,AC682/T682/(1-'01 Base Costs'!$B$11))</x:f>
        <x:v>864105335.354848</x:v>
      </x:c>
      <x:c r="AH682" s="88" t="str">
        <x:f>IF(AD682&gt;0,"PROFIT","LOSS")</x:f>
        <x:v>LOSS</x:v>
      </x:c>
      <x:c r="AI682" s="89" t="str">
        <x:v>Capsuleer Day XXIIII event from screenshot. MCT sale 40% off. Extractor 3-for-2 sale.</x:v>
      </x:c>
    </x:row>
    <x:row r="683">
      <x:c r="A683" s="86" t="n">
        <x:v>681</x:v>
      </x:c>
      <x:c r="B683" s="88" t="str">
        <x:v>Sale/Event</x:v>
      </x:c>
      <x:c r="C683" s="88" t="str">
        <x:v>Capsuleer Day 3M Omega + 2 skins</x:v>
      </x:c>
      <x:c r="D683" s="88" t="n">
        <x:v>3</x:v>
      </x:c>
      <x:c r="E683" s="88" t="n">
        <x:v>3</x:v>
      </x:c>
      <x:c r="F683" s="88" t="str">
        <x:v>NES MCT 40% sale</x:v>
      </x:c>
      <x:c r="G683" s="88" t="str">
        <x:v>NES 2-for-1 extractor sale</x:v>
      </x:c>
      <x:c r="H683" s="87" t="n">
        <x:f>'01 Base Costs'!$B$27</x:f>
        <x:v>960</x:v>
      </x:c>
      <x:c r="I683" s="87" t="n">
        <x:f>'01 Base Costs'!$B$16*0.6</x:f>
        <x:v>291</x:v>
      </x:c>
      <x:c r="J683" s="87" t="n">
        <x:f>0</x:f>
        <x:v>0</x:v>
      </x:c>
      <x:c r="K683" s="87" t="n">
        <x:f>D683*(E683-1)*I683</x:f>
        <x:v>1746</x:v>
      </x:c>
      <x:c r="L683" s="87" t="n">
        <x:f>D683*(E683-1)*J683</x:f>
        <x:v>0</x:v>
      </x:c>
      <x:c r="M683" s="87" t="n">
        <x:f>0</x:f>
        <x:v>0</x:v>
      </x:c>
      <x:c r="N683" s="87" t="n">
        <x:f>H683+K683+M683</x:f>
        <x:v>2706</x:v>
      </x:c>
      <x:c r="O683" s="87" t="n">
        <x:f>N683*'01 Base Costs'!$B$7+L683</x:f>
        <x:v>13015860000</x:v>
      </x:c>
      <x:c r="P683" s="87" t="n">
        <x:f>D683*E683</x:f>
        <x:v>9</x:v>
      </x:c>
      <x:c r="Q683" s="87" t="n">
        <x:f>P683*'01 Base Costs'!$B$12</x:f>
        <x:v>17496000</x:v>
      </x:c>
      <x:c r="R683" s="87" t="n">
        <x:f>0</x:f>
        <x:v>0</x:v>
      </x:c>
      <x:c r="S683" s="87" t="n">
        <x:f>Q683+R683</x:f>
        <x:v>17496000</x:v>
      </x:c>
      <x:c r="T683" s="141" t="n">
        <x:f>S683/'01 Base Costs'!$B$14</x:f>
        <x:v>34.992</x:v>
      </x:c>
      <x:c r="U683" s="87" t="n">
        <x:f>INT(T683)</x:f>
        <x:v>34</x:v>
      </x:c>
      <x:c r="V683" s="87" t="n">
        <x:f>S683-U683*'01 Base Costs'!$B$14</x:f>
        <x:v>496000</x:v>
      </x:c>
      <x:c r="W683" s="120" t="n">
        <x:f>'01 Base Costs'!$B$17/2</x:f>
        <x:v>70</x:v>
      </x:c>
      <x:c r="X683" s="120" t="n">
        <x:f>0</x:f>
        <x:v>0</x:v>
      </x:c>
      <x:c r="Y683" s="87" t="n">
        <x:f>T683*(W683*'01 Base Costs'!$B$7+X683)</x:f>
        <x:v>11781806400</x:v>
      </x:c>
      <x:c r="Z683" s="87" t="n">
        <x:f>T683*'01 Base Costs'!$B$8</x:f>
        <x:v>26345476799.999996</x:v>
      </x:c>
      <x:c r="AA683" s="87" t="n">
        <x:f>Z683*'01 Base Costs'!$B$11</x:f>
        <x:v>1317273840</x:v>
      </x:c>
      <x:c r="AB683" s="87" t="n">
        <x:f>Z683-AA683</x:f>
        <x:v>25028202959.999996</x:v>
      </x:c>
      <x:c r="AC683" s="87" t="n">
        <x:f>O683+Y683</x:f>
        <x:v>24797666400</x:v>
      </x:c>
      <x:c r="AD683" s="87" t="n">
        <x:f>AB683-AC683</x:f>
        <x:v>230536559.9999962</x:v>
      </x:c>
      <x:c r="AE683" s="87" t="n">
        <x:f>AD683/D683</x:f>
        <x:v>76845519.99999873</x:v>
      </x:c>
      <x:c r="AF683" s="87" t="n">
        <x:f>AD683/P683</x:f>
        <x:v>25615173.33333291</x:v>
      </x:c>
      <x:c r="AG683" s="87" t="n">
        <x:f>IF(T683=0,0,AC683/T683/(1-'01 Base Costs'!$B$11))</x:f>
        <x:v>745964984.4776552</x:v>
      </x:c>
      <x:c r="AH683" s="88" t="str">
        <x:f>IF(AD683&gt;0,"PROFIT","LOSS")</x:f>
        <x:v>PROFIT</x:v>
      </x:c>
      <x:c r="AI683" s="89" t="str">
        <x:v>Capsuleer Day XXIIII event from screenshot. MCT sale 40% off. Extractor 2-for-1 sale.</x:v>
      </x:c>
    </x:row>
    <x:row r="684">
      <x:c r="A684" s="86" t="n">
        <x:v>682</x:v>
      </x:c>
      <x:c r="B684" s="88" t="str">
        <x:v>Sale/Event</x:v>
      </x:c>
      <x:c r="C684" s="88" t="str">
        <x:v>Capsuleer Day 3M Omega + 2 skins</x:v>
      </x:c>
      <x:c r="D684" s="88" t="n">
        <x:v>3</x:v>
      </x:c>
      <x:c r="E684" s="88" t="n">
        <x:v>3</x:v>
      </x:c>
      <x:c r="F684" s="88" t="str">
        <x:v>NES MCT 40% sale</x:v>
      </x:c>
      <x:c r="G684" s="88" t="str">
        <x:v>NES 10-pack extractor 20% sale</x:v>
      </x:c>
      <x:c r="H684" s="87" t="n">
        <x:f>'01 Base Costs'!$B$27</x:f>
        <x:v>960</x:v>
      </x:c>
      <x:c r="I684" s="87" t="n">
        <x:f>'01 Base Costs'!$B$16*0.6</x:f>
        <x:v>291</x:v>
      </x:c>
      <x:c r="J684" s="87" t="n">
        <x:f>0</x:f>
        <x:v>0</x:v>
      </x:c>
      <x:c r="K684" s="87" t="n">
        <x:f>D684*(E684-1)*I684</x:f>
        <x:v>1746</x:v>
      </x:c>
      <x:c r="L684" s="87" t="n">
        <x:f>D684*(E684-1)*J684</x:f>
        <x:v>0</x:v>
      </x:c>
      <x:c r="M684" s="87" t="n">
        <x:f>0</x:f>
        <x:v>0</x:v>
      </x:c>
      <x:c r="N684" s="87" t="n">
        <x:f>H684+K684+M684</x:f>
        <x:v>2706</x:v>
      </x:c>
      <x:c r="O684" s="87" t="n">
        <x:f>N684*'01 Base Costs'!$B$7+L684</x:f>
        <x:v>13015860000</x:v>
      </x:c>
      <x:c r="P684" s="87" t="n">
        <x:f>D684*E684</x:f>
        <x:v>9</x:v>
      </x:c>
      <x:c r="Q684" s="87" t="n">
        <x:f>P684*'01 Base Costs'!$B$12</x:f>
        <x:v>17496000</x:v>
      </x:c>
      <x:c r="R684" s="87" t="n">
        <x:f>0</x:f>
        <x:v>0</x:v>
      </x:c>
      <x:c r="S684" s="87" t="n">
        <x:f>Q684+R684</x:f>
        <x:v>17496000</x:v>
      </x:c>
      <x:c r="T684" s="141" t="n">
        <x:f>S684/'01 Base Costs'!$B$14</x:f>
        <x:v>34.992</x:v>
      </x:c>
      <x:c r="U684" s="87" t="n">
        <x:f>INT(T684)</x:f>
        <x:v>34</x:v>
      </x:c>
      <x:c r="V684" s="87" t="n">
        <x:f>S684-U684*'01 Base Costs'!$B$14</x:f>
        <x:v>496000</x:v>
      </x:c>
      <x:c r="W684" s="120" t="n">
        <x:f>'01 Base Costs'!$B$19*0.8/10</x:f>
        <x:v>95.2</x:v>
      </x:c>
      <x:c r="X684" s="120" t="n">
        <x:f>0</x:f>
        <x:v>0</x:v>
      </x:c>
      <x:c r="Y684" s="87" t="n">
        <x:f>T684*(W684*'01 Base Costs'!$B$7+X684)</x:f>
        <x:v>16023256703.999998</x:v>
      </x:c>
      <x:c r="Z684" s="87" t="n">
        <x:f>T684*'01 Base Costs'!$B$8</x:f>
        <x:v>26345476799.999996</x:v>
      </x:c>
      <x:c r="AA684" s="87" t="n">
        <x:f>Z684*'01 Base Costs'!$B$11</x:f>
        <x:v>1317273840</x:v>
      </x:c>
      <x:c r="AB684" s="87" t="n">
        <x:f>Z684-AA684</x:f>
        <x:v>25028202959.999996</x:v>
      </x:c>
      <x:c r="AC684" s="87" t="n">
        <x:f>O684+Y684</x:f>
        <x:v>29039116704</x:v>
      </x:c>
      <x:c r="AD684" s="87" t="n">
        <x:f>AB684-AC684</x:f>
        <x:v>-4010913744.000004</x:v>
      </x:c>
      <x:c r="AE684" s="87" t="n">
        <x:f>AD684/D684</x:f>
        <x:v>-1336971248.0000012</x:v>
      </x:c>
      <x:c r="AF684" s="87" t="n">
        <x:f>AD684/P684</x:f>
        <x:v>-445657082.6666671</x:v>
      </x:c>
      <x:c r="AG684" s="87" t="n">
        <x:f>IF(T684=0,0,AC684/T684/(1-'01 Base Costs'!$B$11))</x:f>
        <x:v>873556563.4250236</x:v>
      </x:c>
      <x:c r="AH684" s="88" t="str">
        <x:f>IF(AD684&gt;0,"PROFIT","LOSS")</x:f>
        <x:v>LOSS</x:v>
      </x:c>
      <x:c r="AI684" s="89" t="str">
        <x:v>Capsuleer Day XXIIII event from screenshot. MCT sale 40% off. 10-pack at 20% off.</x:v>
      </x:c>
    </x:row>
    <x:row r="685">
      <x:c r="A685" s="86" t="n">
        <x:v>683</x:v>
      </x:c>
      <x:c r="B685" s="88" t="str">
        <x:v>Sale/Event</x:v>
      </x:c>
      <x:c r="C685" s="88" t="str">
        <x:v>Capsuleer Day 3M Omega + 2 skins</x:v>
      </x:c>
      <x:c r="D685" s="88" t="n">
        <x:v>3</x:v>
      </x:c>
      <x:c r="E685" s="88" t="n">
        <x:v>3</x:v>
      </x:c>
      <x:c r="F685" s="88" t="str">
        <x:v>NES MCT 40% sale</x:v>
      </x:c>
      <x:c r="G685" s="88" t="str">
        <x:v>NES 50-pack extractor 20% sale</x:v>
      </x:c>
      <x:c r="H685" s="87" t="n">
        <x:f>'01 Base Costs'!$B$27</x:f>
        <x:v>960</x:v>
      </x:c>
      <x:c r="I685" s="87" t="n">
        <x:f>'01 Base Costs'!$B$16*0.6</x:f>
        <x:v>291</x:v>
      </x:c>
      <x:c r="J685" s="87" t="n">
        <x:f>0</x:f>
        <x:v>0</x:v>
      </x:c>
      <x:c r="K685" s="87" t="n">
        <x:f>D685*(E685-1)*I685</x:f>
        <x:v>1746</x:v>
      </x:c>
      <x:c r="L685" s="87" t="n">
        <x:f>D685*(E685-1)*J685</x:f>
        <x:v>0</x:v>
      </x:c>
      <x:c r="M685" s="87" t="n">
        <x:f>0</x:f>
        <x:v>0</x:v>
      </x:c>
      <x:c r="N685" s="87" t="n">
        <x:f>H685+K685+M685</x:f>
        <x:v>2706</x:v>
      </x:c>
      <x:c r="O685" s="87" t="n">
        <x:f>N685*'01 Base Costs'!$B$7+L685</x:f>
        <x:v>13015860000</x:v>
      </x:c>
      <x:c r="P685" s="87" t="n">
        <x:f>D685*E685</x:f>
        <x:v>9</x:v>
      </x:c>
      <x:c r="Q685" s="87" t="n">
        <x:f>P685*'01 Base Costs'!$B$12</x:f>
        <x:v>17496000</x:v>
      </x:c>
      <x:c r="R685" s="87" t="n">
        <x:f>0</x:f>
        <x:v>0</x:v>
      </x:c>
      <x:c r="S685" s="87" t="n">
        <x:f>Q685+R685</x:f>
        <x:v>17496000</x:v>
      </x:c>
      <x:c r="T685" s="141" t="n">
        <x:f>S685/'01 Base Costs'!$B$14</x:f>
        <x:v>34.992</x:v>
      </x:c>
      <x:c r="U685" s="87" t="n">
        <x:f>INT(T685)</x:f>
        <x:v>34</x:v>
      </x:c>
      <x:c r="V685" s="87" t="n">
        <x:f>S685-U685*'01 Base Costs'!$B$14</x:f>
        <x:v>496000</x:v>
      </x:c>
      <x:c r="W685" s="120" t="n">
        <x:f>'01 Base Costs'!$B$20*0.8/50</x:f>
        <x:v>89.6</x:v>
      </x:c>
      <x:c r="X685" s="120" t="n">
        <x:f>0</x:f>
        <x:v>0</x:v>
      </x:c>
      <x:c r="Y685" s="87" t="n">
        <x:f>T685*(W685*'01 Base Costs'!$B$7+X685)</x:f>
        <x:v>15080712191.999998</x:v>
      </x:c>
      <x:c r="Z685" s="87" t="n">
        <x:f>T685*'01 Base Costs'!$B$8</x:f>
        <x:v>26345476799.999996</x:v>
      </x:c>
      <x:c r="AA685" s="87" t="n">
        <x:f>Z685*'01 Base Costs'!$B$11</x:f>
        <x:v>1317273840</x:v>
      </x:c>
      <x:c r="AB685" s="87" t="n">
        <x:f>Z685-AA685</x:f>
        <x:v>25028202959.999996</x:v>
      </x:c>
      <x:c r="AC685" s="87" t="n">
        <x:f>O685+Y685</x:f>
        <x:v>28096572192</x:v>
      </x:c>
      <x:c r="AD685" s="87" t="n">
        <x:f>AB685-AC685</x:f>
        <x:v>-3068369232.000004</x:v>
      </x:c>
      <x:c r="AE685" s="87" t="n">
        <x:f>AD685/D685</x:f>
        <x:v>-1022789744.0000013</x:v>
      </x:c>
      <x:c r="AF685" s="87" t="n">
        <x:f>AD685/P685</x:f>
        <x:v>-340929914.6666671</x:v>
      </x:c>
      <x:c r="AG685" s="87" t="n">
        <x:f>IF(T685=0,0,AC685/T685/(1-'01 Base Costs'!$B$11))</x:f>
        <x:v>845202879.2144973</x:v>
      </x:c>
      <x:c r="AH685" s="88" t="str">
        <x:f>IF(AD685&gt;0,"PROFIT","LOSS")</x:f>
        <x:v>LOSS</x:v>
      </x:c>
      <x:c r="AI685" s="89" t="str">
        <x:v>Capsuleer Day XXIIII event from screenshot. MCT sale 40% off. 50-pack at 20% off.</x:v>
      </x:c>
    </x:row>
    <x:row r="686">
      <x:c r="A686" s="86" t="n">
        <x:v>684</x:v>
      </x:c>
      <x:c r="B686" s="88" t="str">
        <x:v>Sale/Event</x:v>
      </x:c>
      <x:c r="C686" s="88" t="str">
        <x:v>Capsuleer Day 3M Omega + 2 skins</x:v>
      </x:c>
      <x:c r="D686" s="88" t="n">
        <x:v>3</x:v>
      </x:c>
      <x:c r="E686" s="88" t="n">
        <x:v>3</x:v>
      </x:c>
      <x:c r="F686" s="88" t="str">
        <x:v>NES MCT 40% sale</x:v>
      </x:c>
      <x:c r="G686" s="88" t="str">
        <x:v>Market Skill Extractor</x:v>
      </x:c>
      <x:c r="H686" s="87" t="n">
        <x:f>'01 Base Costs'!$B$27</x:f>
        <x:v>960</x:v>
      </x:c>
      <x:c r="I686" s="87" t="n">
        <x:f>'01 Base Costs'!$B$16*0.6</x:f>
        <x:v>291</x:v>
      </x:c>
      <x:c r="J686" s="87" t="n">
        <x:f>0</x:f>
        <x:v>0</x:v>
      </x:c>
      <x:c r="K686" s="87" t="n">
        <x:f>D686*(E686-1)*I686</x:f>
        <x:v>1746</x:v>
      </x:c>
      <x:c r="L686" s="87" t="n">
        <x:f>D686*(E686-1)*J686</x:f>
        <x:v>0</x:v>
      </x:c>
      <x:c r="M686" s="87" t="n">
        <x:f>0</x:f>
        <x:v>0</x:v>
      </x:c>
      <x:c r="N686" s="87" t="n">
        <x:f>H686+K686+M686</x:f>
        <x:v>2706</x:v>
      </x:c>
      <x:c r="O686" s="87" t="n">
        <x:f>N686*'01 Base Costs'!$B$7+L686</x:f>
        <x:v>13015860000</x:v>
      </x:c>
      <x:c r="P686" s="87" t="n">
        <x:f>D686*E686</x:f>
        <x:v>9</x:v>
      </x:c>
      <x:c r="Q686" s="87" t="n">
        <x:f>P686*'01 Base Costs'!$B$12</x:f>
        <x:v>17496000</x:v>
      </x:c>
      <x:c r="R686" s="87" t="n">
        <x:f>0</x:f>
        <x:v>0</x:v>
      </x:c>
      <x:c r="S686" s="87" t="n">
        <x:f>Q686+R686</x:f>
        <x:v>17496000</x:v>
      </x:c>
      <x:c r="T686" s="141" t="n">
        <x:f>S686/'01 Base Costs'!$B$14</x:f>
        <x:v>34.992</x:v>
      </x:c>
      <x:c r="U686" s="87" t="n">
        <x:f>INT(T686)</x:f>
        <x:v>34</x:v>
      </x:c>
      <x:c r="V686" s="87" t="n">
        <x:f>S686-U686*'01 Base Costs'!$B$14</x:f>
        <x:v>496000</x:v>
      </x:c>
      <x:c r="W686" s="120" t="n">
        <x:f>0</x:f>
        <x:v>0</x:v>
      </x:c>
      <x:c r="X686" s="120" t="n">
        <x:f>'01 Base Costs'!$B$9</x:f>
        <x:v>463500000</x:v>
      </x:c>
      <x:c r="Y686" s="87" t="n">
        <x:f>T686*(W686*'01 Base Costs'!$B$7+X686)</x:f>
        <x:v>16218791999.999998</x:v>
      </x:c>
      <x:c r="Z686" s="87" t="n">
        <x:f>T686*'01 Base Costs'!$B$8</x:f>
        <x:v>26345476799.999996</x:v>
      </x:c>
      <x:c r="AA686" s="87" t="n">
        <x:f>Z686*'01 Base Costs'!$B$11</x:f>
        <x:v>1317273840</x:v>
      </x:c>
      <x:c r="AB686" s="87" t="n">
        <x:f>Z686-AA686</x:f>
        <x:v>25028202959.999996</x:v>
      </x:c>
      <x:c r="AC686" s="87" t="n">
        <x:f>O686+Y686</x:f>
        <x:v>29234652000</x:v>
      </x:c>
      <x:c r="AD686" s="87" t="n">
        <x:f>AB686-AC686</x:f>
        <x:v>-4206449040.000004</x:v>
      </x:c>
      <x:c r="AE686" s="87" t="n">
        <x:f>AD686/D686</x:f>
        <x:v>-1402149680.0000012</x:v>
      </x:c>
      <x:c r="AF686" s="87" t="n">
        <x:f>AD686/P686</x:f>
        <x:v>-467383226.6666671</x:v>
      </x:c>
      <x:c r="AG686" s="87" t="n">
        <x:f>IF(T686=0,0,AC686/T686/(1-'01 Base Costs'!$B$11))</x:f>
        <x:v>879438668.6881815</x:v>
      </x:c>
      <x:c r="AH686" s="88" t="str">
        <x:f>IF(AD686&gt;0,"PROFIT","LOSS")</x:f>
        <x:v>LOSS</x:v>
      </x:c>
      <x:c r="AI686" s="89" t="str">
        <x:v>Capsuleer Day XXIIII event from screenshot. MCT sale 40% off. Extractor bought on market with ISK.</x:v>
      </x:c>
    </x:row>
    <x:row r="687">
      <x:c r="A687" s="86" t="n">
        <x:v>685</x:v>
      </x:c>
      <x:c r="B687" s="88" t="str">
        <x:v>Sale/Event</x:v>
      </x:c>
      <x:c r="C687" s="88" t="str">
        <x:v>Capsuleer Day 3M Omega + 2 skins</x:v>
      </x:c>
      <x:c r="D687" s="88" t="n">
        <x:v>3</x:v>
      </x:c>
      <x:c r="E687" s="88" t="n">
        <x:v>3</x:v>
      </x:c>
      <x:c r="F687" s="88" t="str">
        <x:v>Market MCT certificate</x:v>
      </x:c>
      <x:c r="G687" s="88" t="str">
        <x:v>NES single extractor</x:v>
      </x:c>
      <x:c r="H687" s="87" t="n">
        <x:f>'01 Base Costs'!$B$27</x:f>
        <x:v>960</x:v>
      </x:c>
      <x:c r="I687" s="87" t="n">
        <x:f>0</x:f>
        <x:v>0</x:v>
      </x:c>
      <x:c r="J687" s="87" t="n">
        <x:f>'01 Base Costs'!$B$10</x:f>
        <x:v>2332850000</x:v>
      </x:c>
      <x:c r="K687" s="87" t="n">
        <x:f>D687*(E687-1)*I687</x:f>
        <x:v>0</x:v>
      </x:c>
      <x:c r="L687" s="87" t="n">
        <x:f>D687*(E687-1)*J687</x:f>
        <x:v>13997100000</x:v>
      </x:c>
      <x:c r="M687" s="87" t="n">
        <x:f>0</x:f>
        <x:v>0</x:v>
      </x:c>
      <x:c r="N687" s="87" t="n">
        <x:f>H687+K687+M687</x:f>
        <x:v>960</x:v>
      </x:c>
      <x:c r="O687" s="87" t="n">
        <x:f>N687*'01 Base Costs'!$B$7+L687</x:f>
        <x:v>18614700000</x:v>
      </x:c>
      <x:c r="P687" s="87" t="n">
        <x:f>D687*E687</x:f>
        <x:v>9</x:v>
      </x:c>
      <x:c r="Q687" s="87" t="n">
        <x:f>P687*'01 Base Costs'!$B$12</x:f>
        <x:v>17496000</x:v>
      </x:c>
      <x:c r="R687" s="87" t="n">
        <x:f>0</x:f>
        <x:v>0</x:v>
      </x:c>
      <x:c r="S687" s="87" t="n">
        <x:f>Q687+R687</x:f>
        <x:v>17496000</x:v>
      </x:c>
      <x:c r="T687" s="141" t="n">
        <x:f>S687/'01 Base Costs'!$B$14</x:f>
        <x:v>34.992</x:v>
      </x:c>
      <x:c r="U687" s="87" t="n">
        <x:f>INT(T687)</x:f>
        <x:v>34</x:v>
      </x:c>
      <x:c r="V687" s="87" t="n">
        <x:f>S687-U687*'01 Base Costs'!$B$14</x:f>
        <x:v>496000</x:v>
      </x:c>
      <x:c r="W687" s="120" t="n">
        <x:f>'01 Base Costs'!$B$17</x:f>
        <x:v>140</x:v>
      </x:c>
      <x:c r="X687" s="120" t="n">
        <x:f>0</x:f>
        <x:v>0</x:v>
      </x:c>
      <x:c r="Y687" s="87" t="n">
        <x:f>T687*(W687*'01 Base Costs'!$B$7+X687)</x:f>
        <x:v>23563612800</x:v>
      </x:c>
      <x:c r="Z687" s="87" t="n">
        <x:f>T687*'01 Base Costs'!$B$8</x:f>
        <x:v>26345476799.999996</x:v>
      </x:c>
      <x:c r="AA687" s="87" t="n">
        <x:f>Z687*'01 Base Costs'!$B$11</x:f>
        <x:v>1317273840</x:v>
      </x:c>
      <x:c r="AB687" s="87" t="n">
        <x:f>Z687-AA687</x:f>
        <x:v>25028202959.999996</x:v>
      </x:c>
      <x:c r="AC687" s="87" t="n">
        <x:f>O687+Y687</x:f>
        <x:v>42178312800</x:v>
      </x:c>
      <x:c r="AD687" s="87" t="n">
        <x:f>AB687-AC687</x:f>
        <x:v>-17150109840.000004</x:v>
      </x:c>
      <x:c r="AE687" s="87" t="n">
        <x:f>AD687/D687</x:f>
        <x:v>-5716703280.000001</x:v>
      </x:c>
      <x:c r="AF687" s="87" t="n">
        <x:f>AD687/P687</x:f>
        <x:v>-1905567760.0000005</x:v>
      </x:c>
      <x:c r="AG687" s="87" t="n">
        <x:f>IF(T687=0,0,AC687/T687/(1-'01 Base Costs'!$B$11))</x:f>
        <x:v>1268810699.5884776</x:v>
      </x:c>
      <x:c r="AH687" s="88" t="str">
        <x:f>IF(AD687&gt;0,"PROFIT","LOSS")</x:f>
        <x:v>LOSS</x:v>
      </x:c>
      <x:c r="AI687" s="89" t="str">
        <x:v>Capsuleer Day XXIIII event from screenshot. MCT certificate bought with ISK market price. Base single extractor.</x:v>
      </x:c>
    </x:row>
    <x:row r="688">
      <x:c r="A688" s="86" t="n">
        <x:v>686</x:v>
      </x:c>
      <x:c r="B688" s="88" t="str">
        <x:v>Sale/Event</x:v>
      </x:c>
      <x:c r="C688" s="88" t="str">
        <x:v>Capsuleer Day 3M Omega + 2 skins</x:v>
      </x:c>
      <x:c r="D688" s="88" t="n">
        <x:v>3</x:v>
      </x:c>
      <x:c r="E688" s="88" t="n">
        <x:v>3</x:v>
      </x:c>
      <x:c r="F688" s="88" t="str">
        <x:v>Market MCT certificate</x:v>
      </x:c>
      <x:c r="G688" s="88" t="str">
        <x:v>NES 5-pack extractor</x:v>
      </x:c>
      <x:c r="H688" s="87" t="n">
        <x:f>'01 Base Costs'!$B$27</x:f>
        <x:v>960</x:v>
      </x:c>
      <x:c r="I688" s="87" t="n">
        <x:f>0</x:f>
        <x:v>0</x:v>
      </x:c>
      <x:c r="J688" s="87" t="n">
        <x:f>'01 Base Costs'!$B$10</x:f>
        <x:v>2332850000</x:v>
      </x:c>
      <x:c r="K688" s="87" t="n">
        <x:f>D688*(E688-1)*I688</x:f>
        <x:v>0</x:v>
      </x:c>
      <x:c r="L688" s="87" t="n">
        <x:f>D688*(E688-1)*J688</x:f>
        <x:v>13997100000</x:v>
      </x:c>
      <x:c r="M688" s="87" t="n">
        <x:f>0</x:f>
        <x:v>0</x:v>
      </x:c>
      <x:c r="N688" s="87" t="n">
        <x:f>H688+K688+M688</x:f>
        <x:v>960</x:v>
      </x:c>
      <x:c r="O688" s="87" t="n">
        <x:f>N688*'01 Base Costs'!$B$7+L688</x:f>
        <x:v>18614700000</x:v>
      </x:c>
      <x:c r="P688" s="87" t="n">
        <x:f>D688*E688</x:f>
        <x:v>9</x:v>
      </x:c>
      <x:c r="Q688" s="87" t="n">
        <x:f>P688*'01 Base Costs'!$B$12</x:f>
        <x:v>17496000</x:v>
      </x:c>
      <x:c r="R688" s="87" t="n">
        <x:f>0</x:f>
        <x:v>0</x:v>
      </x:c>
      <x:c r="S688" s="87" t="n">
        <x:f>Q688+R688</x:f>
        <x:v>17496000</x:v>
      </x:c>
      <x:c r="T688" s="141" t="n">
        <x:f>S688/'01 Base Costs'!$B$14</x:f>
        <x:v>34.992</x:v>
      </x:c>
      <x:c r="U688" s="87" t="n">
        <x:f>INT(T688)</x:f>
        <x:v>34</x:v>
      </x:c>
      <x:c r="V688" s="87" t="n">
        <x:f>S688-U688*'01 Base Costs'!$B$14</x:f>
        <x:v>496000</x:v>
      </x:c>
      <x:c r="W688" s="120" t="n">
        <x:f>'01 Base Costs'!$B$18/5</x:f>
        <x:v>126</x:v>
      </x:c>
      <x:c r="X688" s="120" t="n">
        <x:f>0</x:f>
        <x:v>0</x:v>
      </x:c>
      <x:c r="Y688" s="87" t="n">
        <x:f>T688*(W688*'01 Base Costs'!$B$7+X688)</x:f>
        <x:v>21207251520</x:v>
      </x:c>
      <x:c r="Z688" s="87" t="n">
        <x:f>T688*'01 Base Costs'!$B$8</x:f>
        <x:v>26345476799.999996</x:v>
      </x:c>
      <x:c r="AA688" s="87" t="n">
        <x:f>Z688*'01 Base Costs'!$B$11</x:f>
        <x:v>1317273840</x:v>
      </x:c>
      <x:c r="AB688" s="87" t="n">
        <x:f>Z688-AA688</x:f>
        <x:v>25028202959.999996</x:v>
      </x:c>
      <x:c r="AC688" s="87" t="n">
        <x:f>O688+Y688</x:f>
        <x:v>39821951520</x:v>
      </x:c>
      <x:c r="AD688" s="87" t="n">
        <x:f>AB688-AC688</x:f>
        <x:v>-14793748560.000004</x:v>
      </x:c>
      <x:c r="AE688" s="87" t="n">
        <x:f>AD688/D688</x:f>
        <x:v>-4931249520.000001</x:v>
      </x:c>
      <x:c r="AF688" s="87" t="n">
        <x:f>AD688/P688</x:f>
        <x:v>-1643749840.0000005</x:v>
      </x:c>
      <x:c r="AG688" s="87" t="n">
        <x:f>IF(T688=0,0,AC688/T688/(1-'01 Base Costs'!$B$11))</x:f>
        <x:v>1197926489.0621617</x:v>
      </x:c>
      <x:c r="AH688" s="88" t="str">
        <x:f>IF(AD688&gt;0,"PROFIT","LOSS")</x:f>
        <x:v>LOSS</x:v>
      </x:c>
      <x:c r="AI688" s="89" t="str">
        <x:v>Capsuleer Day XXIIII event from screenshot. MCT certificate bought with ISK market price. Base 5-pack average.</x:v>
      </x:c>
    </x:row>
    <x:row r="689">
      <x:c r="A689" s="86" t="n">
        <x:v>687</x:v>
      </x:c>
      <x:c r="B689" s="88" t="str">
        <x:v>Sale/Event</x:v>
      </x:c>
      <x:c r="C689" s="88" t="str">
        <x:v>Capsuleer Day 3M Omega + 2 skins</x:v>
      </x:c>
      <x:c r="D689" s="88" t="n">
        <x:v>3</x:v>
      </x:c>
      <x:c r="E689" s="88" t="n">
        <x:v>3</x:v>
      </x:c>
      <x:c r="F689" s="88" t="str">
        <x:v>Market MCT certificate</x:v>
      </x:c>
      <x:c r="G689" s="88" t="str">
        <x:v>NES 10-pack extractor</x:v>
      </x:c>
      <x:c r="H689" s="87" t="n">
        <x:f>'01 Base Costs'!$B$27</x:f>
        <x:v>960</x:v>
      </x:c>
      <x:c r="I689" s="87" t="n">
        <x:f>0</x:f>
        <x:v>0</x:v>
      </x:c>
      <x:c r="J689" s="87" t="n">
        <x:f>'01 Base Costs'!$B$10</x:f>
        <x:v>2332850000</x:v>
      </x:c>
      <x:c r="K689" s="87" t="n">
        <x:f>D689*(E689-1)*I689</x:f>
        <x:v>0</x:v>
      </x:c>
      <x:c r="L689" s="87" t="n">
        <x:f>D689*(E689-1)*J689</x:f>
        <x:v>13997100000</x:v>
      </x:c>
      <x:c r="M689" s="87" t="n">
        <x:f>0</x:f>
        <x:v>0</x:v>
      </x:c>
      <x:c r="N689" s="87" t="n">
        <x:f>H689+K689+M689</x:f>
        <x:v>960</x:v>
      </x:c>
      <x:c r="O689" s="87" t="n">
        <x:f>N689*'01 Base Costs'!$B$7+L689</x:f>
        <x:v>18614700000</x:v>
      </x:c>
      <x:c r="P689" s="87" t="n">
        <x:f>D689*E689</x:f>
        <x:v>9</x:v>
      </x:c>
      <x:c r="Q689" s="87" t="n">
        <x:f>P689*'01 Base Costs'!$B$12</x:f>
        <x:v>17496000</x:v>
      </x:c>
      <x:c r="R689" s="87" t="n">
        <x:f>0</x:f>
        <x:v>0</x:v>
      </x:c>
      <x:c r="S689" s="87" t="n">
        <x:f>Q689+R689</x:f>
        <x:v>17496000</x:v>
      </x:c>
      <x:c r="T689" s="141" t="n">
        <x:f>S689/'01 Base Costs'!$B$14</x:f>
        <x:v>34.992</x:v>
      </x:c>
      <x:c r="U689" s="87" t="n">
        <x:f>INT(T689)</x:f>
        <x:v>34</x:v>
      </x:c>
      <x:c r="V689" s="87" t="n">
        <x:f>S689-U689*'01 Base Costs'!$B$14</x:f>
        <x:v>496000</x:v>
      </x:c>
      <x:c r="W689" s="120" t="n">
        <x:f>'01 Base Costs'!$B$19/10</x:f>
        <x:v>119</x:v>
      </x:c>
      <x:c r="X689" s="120" t="n">
        <x:f>0</x:f>
        <x:v>0</x:v>
      </x:c>
      <x:c r="Y689" s="87" t="n">
        <x:f>T689*(W689*'01 Base Costs'!$B$7+X689)</x:f>
        <x:v>20029070880</x:v>
      </x:c>
      <x:c r="Z689" s="87" t="n">
        <x:f>T689*'01 Base Costs'!$B$8</x:f>
        <x:v>26345476799.999996</x:v>
      </x:c>
      <x:c r="AA689" s="87" t="n">
        <x:f>Z689*'01 Base Costs'!$B$11</x:f>
        <x:v>1317273840</x:v>
      </x:c>
      <x:c r="AB689" s="87" t="n">
        <x:f>Z689-AA689</x:f>
        <x:v>25028202959.999996</x:v>
      </x:c>
      <x:c r="AC689" s="87" t="n">
        <x:f>O689+Y689</x:f>
        <x:v>38643770880</x:v>
      </x:c>
      <x:c r="AD689" s="87" t="n">
        <x:f>AB689-AC689</x:f>
        <x:v>-13615567920.000004</x:v>
      </x:c>
      <x:c r="AE689" s="87" t="n">
        <x:f>AD689/D689</x:f>
        <x:v>-4538522640.000001</x:v>
      </x:c>
      <x:c r="AF689" s="87" t="n">
        <x:f>AD689/P689</x:f>
        <x:v>-1512840880.0000005</x:v>
      </x:c>
      <x:c r="AG689" s="87" t="n">
        <x:f>IF(T689=0,0,AC689/T689/(1-'01 Base Costs'!$B$11))</x:f>
        <x:v>1162484383.7990038</x:v>
      </x:c>
      <x:c r="AH689" s="88" t="str">
        <x:f>IF(AD689&gt;0,"PROFIT","LOSS")</x:f>
        <x:v>LOSS</x:v>
      </x:c>
      <x:c r="AI689" s="89" t="str">
        <x:v>Capsuleer Day XXIIII event from screenshot. MCT certificate bought with ISK market price. Base 10-pack average.</x:v>
      </x:c>
    </x:row>
    <x:row r="690">
      <x:c r="A690" s="86" t="n">
        <x:v>688</x:v>
      </x:c>
      <x:c r="B690" s="88" t="str">
        <x:v>Sale/Event</x:v>
      </x:c>
      <x:c r="C690" s="88" t="str">
        <x:v>Capsuleer Day 3M Omega + 2 skins</x:v>
      </x:c>
      <x:c r="D690" s="88" t="n">
        <x:v>3</x:v>
      </x:c>
      <x:c r="E690" s="88" t="n">
        <x:v>3</x:v>
      </x:c>
      <x:c r="F690" s="88" t="str">
        <x:v>Market MCT certificate</x:v>
      </x:c>
      <x:c r="G690" s="88" t="str">
        <x:v>NES 50-pack extractor</x:v>
      </x:c>
      <x:c r="H690" s="87" t="n">
        <x:f>'01 Base Costs'!$B$27</x:f>
        <x:v>960</x:v>
      </x:c>
      <x:c r="I690" s="87" t="n">
        <x:f>0</x:f>
        <x:v>0</x:v>
      </x:c>
      <x:c r="J690" s="87" t="n">
        <x:f>'01 Base Costs'!$B$10</x:f>
        <x:v>2332850000</x:v>
      </x:c>
      <x:c r="K690" s="87" t="n">
        <x:f>D690*(E690-1)*I690</x:f>
        <x:v>0</x:v>
      </x:c>
      <x:c r="L690" s="87" t="n">
        <x:f>D690*(E690-1)*J690</x:f>
        <x:v>13997100000</x:v>
      </x:c>
      <x:c r="M690" s="87" t="n">
        <x:f>0</x:f>
        <x:v>0</x:v>
      </x:c>
      <x:c r="N690" s="87" t="n">
        <x:f>H690+K690+M690</x:f>
        <x:v>960</x:v>
      </x:c>
      <x:c r="O690" s="87" t="n">
        <x:f>N690*'01 Base Costs'!$B$7+L690</x:f>
        <x:v>18614700000</x:v>
      </x:c>
      <x:c r="P690" s="87" t="n">
        <x:f>D690*E690</x:f>
        <x:v>9</x:v>
      </x:c>
      <x:c r="Q690" s="87" t="n">
        <x:f>P690*'01 Base Costs'!$B$12</x:f>
        <x:v>17496000</x:v>
      </x:c>
      <x:c r="R690" s="87" t="n">
        <x:f>0</x:f>
        <x:v>0</x:v>
      </x:c>
      <x:c r="S690" s="87" t="n">
        <x:f>Q690+R690</x:f>
        <x:v>17496000</x:v>
      </x:c>
      <x:c r="T690" s="141" t="n">
        <x:f>S690/'01 Base Costs'!$B$14</x:f>
        <x:v>34.992</x:v>
      </x:c>
      <x:c r="U690" s="87" t="n">
        <x:f>INT(T690)</x:f>
        <x:v>34</x:v>
      </x:c>
      <x:c r="V690" s="87" t="n">
        <x:f>S690-U690*'01 Base Costs'!$B$14</x:f>
        <x:v>496000</x:v>
      </x:c>
      <x:c r="W690" s="120" t="n">
        <x:f>'01 Base Costs'!$B$20/50</x:f>
        <x:v>112</x:v>
      </x:c>
      <x:c r="X690" s="120" t="n">
        <x:f>0</x:f>
        <x:v>0</x:v>
      </x:c>
      <x:c r="Y690" s="87" t="n">
        <x:f>T690*(W690*'01 Base Costs'!$B$7+X690)</x:f>
        <x:v>18850890240</x:v>
      </x:c>
      <x:c r="Z690" s="87" t="n">
        <x:f>T690*'01 Base Costs'!$B$8</x:f>
        <x:v>26345476799.999996</x:v>
      </x:c>
      <x:c r="AA690" s="87" t="n">
        <x:f>Z690*'01 Base Costs'!$B$11</x:f>
        <x:v>1317273840</x:v>
      </x:c>
      <x:c r="AB690" s="87" t="n">
        <x:f>Z690-AA690</x:f>
        <x:v>25028202959.999996</x:v>
      </x:c>
      <x:c r="AC690" s="87" t="n">
        <x:f>O690+Y690</x:f>
        <x:v>37465590240</x:v>
      </x:c>
      <x:c r="AD690" s="87" t="n">
        <x:f>AB690-AC690</x:f>
        <x:v>-12437387280.000004</x:v>
      </x:c>
      <x:c r="AE690" s="87" t="n">
        <x:f>AD690/D690</x:f>
        <x:v>-4145795760.0000014</x:v>
      </x:c>
      <x:c r="AF690" s="87" t="n">
        <x:f>AD690/P690</x:f>
        <x:v>-1381931920.0000005</x:v>
      </x:c>
      <x:c r="AG690" s="87" t="n">
        <x:f>IF(T690=0,0,AC690/T690/(1-'01 Base Costs'!$B$11))</x:f>
        <x:v>1127042278.535846</x:v>
      </x:c>
      <x:c r="AH690" s="88" t="str">
        <x:f>IF(AD690&gt;0,"PROFIT","LOSS")</x:f>
        <x:v>LOSS</x:v>
      </x:c>
      <x:c r="AI690" s="89" t="str">
        <x:v>Capsuleer Day XXIIII event from screenshot. MCT certificate bought with ISK market price. Base 50-pack average.</x:v>
      </x:c>
    </x:row>
    <x:row r="691">
      <x:c r="A691" s="86" t="n">
        <x:v>689</x:v>
      </x:c>
      <x:c r="B691" s="88" t="str">
        <x:v>Sale/Event</x:v>
      </x:c>
      <x:c r="C691" s="88" t="str">
        <x:v>Capsuleer Day 3M Omega + 2 skins</x:v>
      </x:c>
      <x:c r="D691" s="88" t="n">
        <x:v>3</x:v>
      </x:c>
      <x:c r="E691" s="88" t="n">
        <x:v>3</x:v>
      </x:c>
      <x:c r="F691" s="88" t="str">
        <x:v>Market MCT certificate</x:v>
      </x:c>
      <x:c r="G691" s="88" t="str">
        <x:v>NES 3-for-2 extractor sale</x:v>
      </x:c>
      <x:c r="H691" s="87" t="n">
        <x:f>'01 Base Costs'!$B$27</x:f>
        <x:v>960</x:v>
      </x:c>
      <x:c r="I691" s="87" t="n">
        <x:f>0</x:f>
        <x:v>0</x:v>
      </x:c>
      <x:c r="J691" s="87" t="n">
        <x:f>'01 Base Costs'!$B$10</x:f>
        <x:v>2332850000</x:v>
      </x:c>
      <x:c r="K691" s="87" t="n">
        <x:f>D691*(E691-1)*I691</x:f>
        <x:v>0</x:v>
      </x:c>
      <x:c r="L691" s="87" t="n">
        <x:f>D691*(E691-1)*J691</x:f>
        <x:v>13997100000</x:v>
      </x:c>
      <x:c r="M691" s="87" t="n">
        <x:f>0</x:f>
        <x:v>0</x:v>
      </x:c>
      <x:c r="N691" s="87" t="n">
        <x:f>H691+K691+M691</x:f>
        <x:v>960</x:v>
      </x:c>
      <x:c r="O691" s="87" t="n">
        <x:f>N691*'01 Base Costs'!$B$7+L691</x:f>
        <x:v>18614700000</x:v>
      </x:c>
      <x:c r="P691" s="87" t="n">
        <x:f>D691*E691</x:f>
        <x:v>9</x:v>
      </x:c>
      <x:c r="Q691" s="87" t="n">
        <x:f>P691*'01 Base Costs'!$B$12</x:f>
        <x:v>17496000</x:v>
      </x:c>
      <x:c r="R691" s="87" t="n">
        <x:f>0</x:f>
        <x:v>0</x:v>
      </x:c>
      <x:c r="S691" s="87" t="n">
        <x:f>Q691+R691</x:f>
        <x:v>17496000</x:v>
      </x:c>
      <x:c r="T691" s="141" t="n">
        <x:f>S691/'01 Base Costs'!$B$14</x:f>
        <x:v>34.992</x:v>
      </x:c>
      <x:c r="U691" s="87" t="n">
        <x:f>INT(T691)</x:f>
        <x:v>34</x:v>
      </x:c>
      <x:c r="V691" s="87" t="n">
        <x:f>S691-U691*'01 Base Costs'!$B$14</x:f>
        <x:v>496000</x:v>
      </x:c>
      <x:c r="W691" s="120" t="n">
        <x:f>'01 Base Costs'!$B$17*2/3</x:f>
        <x:v>93.33333333333333</x:v>
      </x:c>
      <x:c r="X691" s="120" t="n">
        <x:f>0</x:f>
        <x:v>0</x:v>
      </x:c>
      <x:c r="Y691" s="87" t="n">
        <x:f>T691*(W691*'01 Base Costs'!$B$7+X691)</x:f>
        <x:v>15709075199.999998</x:v>
      </x:c>
      <x:c r="Z691" s="87" t="n">
        <x:f>T691*'01 Base Costs'!$B$8</x:f>
        <x:v>26345476799.999996</x:v>
      </x:c>
      <x:c r="AA691" s="87" t="n">
        <x:f>Z691*'01 Base Costs'!$B$11</x:f>
        <x:v>1317273840</x:v>
      </x:c>
      <x:c r="AB691" s="87" t="n">
        <x:f>Z691-AA691</x:f>
        <x:v>25028202959.999996</x:v>
      </x:c>
      <x:c r="AC691" s="87" t="n">
        <x:f>O691+Y691</x:f>
        <x:v>34323775200</x:v>
      </x:c>
      <x:c r="AD691" s="87" t="n">
        <x:f>AB691-AC691</x:f>
        <x:v>-9295572240.000004</x:v>
      </x:c>
      <x:c r="AE691" s="87" t="n">
        <x:f>AD691/D691</x:f>
        <x:v>-3098524080.0000014</x:v>
      </x:c>
      <x:c r="AF691" s="87" t="n">
        <x:f>AD691/P691</x:f>
        <x:v>-1032841360.0000005</x:v>
      </x:c>
      <x:c r="AG691" s="87" t="n">
        <x:f>IF(T691=0,0,AC691/T691/(1-'01 Base Costs'!$B$11))</x:f>
        <x:v>1032529997.8340915</x:v>
      </x:c>
      <x:c r="AH691" s="88" t="str">
        <x:f>IF(AD691&gt;0,"PROFIT","LOSS")</x:f>
        <x:v>LOSS</x:v>
      </x:c>
      <x:c r="AI691" s="89" t="str">
        <x:v>Capsuleer Day XXIIII event from screenshot. MCT certificate bought with ISK market price. Extractor 3-for-2 sale.</x:v>
      </x:c>
    </x:row>
    <x:row r="692">
      <x:c r="A692" s="86" t="n">
        <x:v>690</x:v>
      </x:c>
      <x:c r="B692" s="88" t="str">
        <x:v>Sale/Event</x:v>
      </x:c>
      <x:c r="C692" s="88" t="str">
        <x:v>Capsuleer Day 3M Omega + 2 skins</x:v>
      </x:c>
      <x:c r="D692" s="88" t="n">
        <x:v>3</x:v>
      </x:c>
      <x:c r="E692" s="88" t="n">
        <x:v>3</x:v>
      </x:c>
      <x:c r="F692" s="88" t="str">
        <x:v>Market MCT certificate</x:v>
      </x:c>
      <x:c r="G692" s="88" t="str">
        <x:v>NES 2-for-1 extractor sale</x:v>
      </x:c>
      <x:c r="H692" s="87" t="n">
        <x:f>'01 Base Costs'!$B$27</x:f>
        <x:v>960</x:v>
      </x:c>
      <x:c r="I692" s="87" t="n">
        <x:f>0</x:f>
        <x:v>0</x:v>
      </x:c>
      <x:c r="J692" s="87" t="n">
        <x:f>'01 Base Costs'!$B$10</x:f>
        <x:v>2332850000</x:v>
      </x:c>
      <x:c r="K692" s="87" t="n">
        <x:f>D692*(E692-1)*I692</x:f>
        <x:v>0</x:v>
      </x:c>
      <x:c r="L692" s="87" t="n">
        <x:f>D692*(E692-1)*J692</x:f>
        <x:v>13997100000</x:v>
      </x:c>
      <x:c r="M692" s="87" t="n">
        <x:f>0</x:f>
        <x:v>0</x:v>
      </x:c>
      <x:c r="N692" s="87" t="n">
        <x:f>H692+K692+M692</x:f>
        <x:v>960</x:v>
      </x:c>
      <x:c r="O692" s="87" t="n">
        <x:f>N692*'01 Base Costs'!$B$7+L692</x:f>
        <x:v>18614700000</x:v>
      </x:c>
      <x:c r="P692" s="87" t="n">
        <x:f>D692*E692</x:f>
        <x:v>9</x:v>
      </x:c>
      <x:c r="Q692" s="87" t="n">
        <x:f>P692*'01 Base Costs'!$B$12</x:f>
        <x:v>17496000</x:v>
      </x:c>
      <x:c r="R692" s="87" t="n">
        <x:f>0</x:f>
        <x:v>0</x:v>
      </x:c>
      <x:c r="S692" s="87" t="n">
        <x:f>Q692+R692</x:f>
        <x:v>17496000</x:v>
      </x:c>
      <x:c r="T692" s="141" t="n">
        <x:f>S692/'01 Base Costs'!$B$14</x:f>
        <x:v>34.992</x:v>
      </x:c>
      <x:c r="U692" s="87" t="n">
        <x:f>INT(T692)</x:f>
        <x:v>34</x:v>
      </x:c>
      <x:c r="V692" s="87" t="n">
        <x:f>S692-U692*'01 Base Costs'!$B$14</x:f>
        <x:v>496000</x:v>
      </x:c>
      <x:c r="W692" s="120" t="n">
        <x:f>'01 Base Costs'!$B$17/2</x:f>
        <x:v>70</x:v>
      </x:c>
      <x:c r="X692" s="120" t="n">
        <x:f>0</x:f>
        <x:v>0</x:v>
      </x:c>
      <x:c r="Y692" s="87" t="n">
        <x:f>T692*(W692*'01 Base Costs'!$B$7+X692)</x:f>
        <x:v>11781806400</x:v>
      </x:c>
      <x:c r="Z692" s="87" t="n">
        <x:f>T692*'01 Base Costs'!$B$8</x:f>
        <x:v>26345476799.999996</x:v>
      </x:c>
      <x:c r="AA692" s="87" t="n">
        <x:f>Z692*'01 Base Costs'!$B$11</x:f>
        <x:v>1317273840</x:v>
      </x:c>
      <x:c r="AB692" s="87" t="n">
        <x:f>Z692-AA692</x:f>
        <x:v>25028202959.999996</x:v>
      </x:c>
      <x:c r="AC692" s="87" t="n">
        <x:f>O692+Y692</x:f>
        <x:v>30396506400</x:v>
      </x:c>
      <x:c r="AD692" s="87" t="n">
        <x:f>AB692-AC692</x:f>
        <x:v>-5368303440.000004</x:v>
      </x:c>
      <x:c r="AE692" s="87" t="n">
        <x:f>AD692/D692</x:f>
        <x:v>-1789434480.0000012</x:v>
      </x:c>
      <x:c r="AF692" s="87" t="n">
        <x:f>AD692/P692</x:f>
        <x:v>-596478160.0000005</x:v>
      </x:c>
      <x:c r="AG692" s="87" t="n">
        <x:f>IF(T692=0,0,AC692/T692/(1-'01 Base Costs'!$B$11))</x:f>
        <x:v>914389646.9568986</x:v>
      </x:c>
      <x:c r="AH692" s="88" t="str">
        <x:f>IF(AD692&gt;0,"PROFIT","LOSS")</x:f>
        <x:v>LOSS</x:v>
      </x:c>
      <x:c r="AI692" s="89" t="str">
        <x:v>Capsuleer Day XXIIII event from screenshot. MCT certificate bought with ISK market price. Extractor 2-for-1 sale.</x:v>
      </x:c>
    </x:row>
    <x:row r="693">
      <x:c r="A693" s="86" t="n">
        <x:v>691</x:v>
      </x:c>
      <x:c r="B693" s="88" t="str">
        <x:v>Sale/Event</x:v>
      </x:c>
      <x:c r="C693" s="88" t="str">
        <x:v>Capsuleer Day 3M Omega + 2 skins</x:v>
      </x:c>
      <x:c r="D693" s="88" t="n">
        <x:v>3</x:v>
      </x:c>
      <x:c r="E693" s="88" t="n">
        <x:v>3</x:v>
      </x:c>
      <x:c r="F693" s="88" t="str">
        <x:v>Market MCT certificate</x:v>
      </x:c>
      <x:c r="G693" s="88" t="str">
        <x:v>NES 10-pack extractor 20% sale</x:v>
      </x:c>
      <x:c r="H693" s="87" t="n">
        <x:f>'01 Base Costs'!$B$27</x:f>
        <x:v>960</x:v>
      </x:c>
      <x:c r="I693" s="87" t="n">
        <x:f>0</x:f>
        <x:v>0</x:v>
      </x:c>
      <x:c r="J693" s="87" t="n">
        <x:f>'01 Base Costs'!$B$10</x:f>
        <x:v>2332850000</x:v>
      </x:c>
      <x:c r="K693" s="87" t="n">
        <x:f>D693*(E693-1)*I693</x:f>
        <x:v>0</x:v>
      </x:c>
      <x:c r="L693" s="87" t="n">
        <x:f>D693*(E693-1)*J693</x:f>
        <x:v>13997100000</x:v>
      </x:c>
      <x:c r="M693" s="87" t="n">
        <x:f>0</x:f>
        <x:v>0</x:v>
      </x:c>
      <x:c r="N693" s="87" t="n">
        <x:f>H693+K693+M693</x:f>
        <x:v>960</x:v>
      </x:c>
      <x:c r="O693" s="87" t="n">
        <x:f>N693*'01 Base Costs'!$B$7+L693</x:f>
        <x:v>18614700000</x:v>
      </x:c>
      <x:c r="P693" s="87" t="n">
        <x:f>D693*E693</x:f>
        <x:v>9</x:v>
      </x:c>
      <x:c r="Q693" s="87" t="n">
        <x:f>P693*'01 Base Costs'!$B$12</x:f>
        <x:v>17496000</x:v>
      </x:c>
      <x:c r="R693" s="87" t="n">
        <x:f>0</x:f>
        <x:v>0</x:v>
      </x:c>
      <x:c r="S693" s="87" t="n">
        <x:f>Q693+R693</x:f>
        <x:v>17496000</x:v>
      </x:c>
      <x:c r="T693" s="141" t="n">
        <x:f>S693/'01 Base Costs'!$B$14</x:f>
        <x:v>34.992</x:v>
      </x:c>
      <x:c r="U693" s="87" t="n">
        <x:f>INT(T693)</x:f>
        <x:v>34</x:v>
      </x:c>
      <x:c r="V693" s="87" t="n">
        <x:f>S693-U693*'01 Base Costs'!$B$14</x:f>
        <x:v>496000</x:v>
      </x:c>
      <x:c r="W693" s="120" t="n">
        <x:f>'01 Base Costs'!$B$19*0.8/10</x:f>
        <x:v>95.2</x:v>
      </x:c>
      <x:c r="X693" s="120" t="n">
        <x:f>0</x:f>
        <x:v>0</x:v>
      </x:c>
      <x:c r="Y693" s="87" t="n">
        <x:f>T693*(W693*'01 Base Costs'!$B$7+X693)</x:f>
        <x:v>16023256703.999998</x:v>
      </x:c>
      <x:c r="Z693" s="87" t="n">
        <x:f>T693*'01 Base Costs'!$B$8</x:f>
        <x:v>26345476799.999996</x:v>
      </x:c>
      <x:c r="AA693" s="87" t="n">
        <x:f>Z693*'01 Base Costs'!$B$11</x:f>
        <x:v>1317273840</x:v>
      </x:c>
      <x:c r="AB693" s="87" t="n">
        <x:f>Z693-AA693</x:f>
        <x:v>25028202959.999996</x:v>
      </x:c>
      <x:c r="AC693" s="87" t="n">
        <x:f>O693+Y693</x:f>
        <x:v>34637956704</x:v>
      </x:c>
      <x:c r="AD693" s="87" t="n">
        <x:f>AB693-AC693</x:f>
        <x:v>-9609753744.000004</x:v>
      </x:c>
      <x:c r="AE693" s="87" t="n">
        <x:f>AD693/D693</x:f>
        <x:v>-3203251248.0000014</x:v>
      </x:c>
      <x:c r="AF693" s="87" t="n">
        <x:f>AD693/P693</x:f>
        <x:v>-1067750416.0000005</x:v>
      </x:c>
      <x:c r="AG693" s="87" t="n">
        <x:f>IF(T693=0,0,AC693/T693/(1-'01 Base Costs'!$B$11))</x:f>
        <x:v>1041981225.904267</x:v>
      </x:c>
      <x:c r="AH693" s="88" t="str">
        <x:f>IF(AD693&gt;0,"PROFIT","LOSS")</x:f>
        <x:v>LOSS</x:v>
      </x:c>
      <x:c r="AI693" s="89" t="str">
        <x:v>Capsuleer Day XXIIII event from screenshot. MCT certificate bought with ISK market price. 10-pack at 20% off.</x:v>
      </x:c>
    </x:row>
    <x:row r="694">
      <x:c r="A694" s="86" t="n">
        <x:v>692</x:v>
      </x:c>
      <x:c r="B694" s="88" t="str">
        <x:v>Sale/Event</x:v>
      </x:c>
      <x:c r="C694" s="88" t="str">
        <x:v>Capsuleer Day 3M Omega + 2 skins</x:v>
      </x:c>
      <x:c r="D694" s="88" t="n">
        <x:v>3</x:v>
      </x:c>
      <x:c r="E694" s="88" t="n">
        <x:v>3</x:v>
      </x:c>
      <x:c r="F694" s="88" t="str">
        <x:v>Market MCT certificate</x:v>
      </x:c>
      <x:c r="G694" s="88" t="str">
        <x:v>NES 50-pack extractor 20% sale</x:v>
      </x:c>
      <x:c r="H694" s="87" t="n">
        <x:f>'01 Base Costs'!$B$27</x:f>
        <x:v>960</x:v>
      </x:c>
      <x:c r="I694" s="87" t="n">
        <x:f>0</x:f>
        <x:v>0</x:v>
      </x:c>
      <x:c r="J694" s="87" t="n">
        <x:f>'01 Base Costs'!$B$10</x:f>
        <x:v>2332850000</x:v>
      </x:c>
      <x:c r="K694" s="87" t="n">
        <x:f>D694*(E694-1)*I694</x:f>
        <x:v>0</x:v>
      </x:c>
      <x:c r="L694" s="87" t="n">
        <x:f>D694*(E694-1)*J694</x:f>
        <x:v>13997100000</x:v>
      </x:c>
      <x:c r="M694" s="87" t="n">
        <x:f>0</x:f>
        <x:v>0</x:v>
      </x:c>
      <x:c r="N694" s="87" t="n">
        <x:f>H694+K694+M694</x:f>
        <x:v>960</x:v>
      </x:c>
      <x:c r="O694" s="87" t="n">
        <x:f>N694*'01 Base Costs'!$B$7+L694</x:f>
        <x:v>18614700000</x:v>
      </x:c>
      <x:c r="P694" s="87" t="n">
        <x:f>D694*E694</x:f>
        <x:v>9</x:v>
      </x:c>
      <x:c r="Q694" s="87" t="n">
        <x:f>P694*'01 Base Costs'!$B$12</x:f>
        <x:v>17496000</x:v>
      </x:c>
      <x:c r="R694" s="87" t="n">
        <x:f>0</x:f>
        <x:v>0</x:v>
      </x:c>
      <x:c r="S694" s="87" t="n">
        <x:f>Q694+R694</x:f>
        <x:v>17496000</x:v>
      </x:c>
      <x:c r="T694" s="141" t="n">
        <x:f>S694/'01 Base Costs'!$B$14</x:f>
        <x:v>34.992</x:v>
      </x:c>
      <x:c r="U694" s="87" t="n">
        <x:f>INT(T694)</x:f>
        <x:v>34</x:v>
      </x:c>
      <x:c r="V694" s="87" t="n">
        <x:f>S694-U694*'01 Base Costs'!$B$14</x:f>
        <x:v>496000</x:v>
      </x:c>
      <x:c r="W694" s="120" t="n">
        <x:f>'01 Base Costs'!$B$20*0.8/50</x:f>
        <x:v>89.6</x:v>
      </x:c>
      <x:c r="X694" s="120" t="n">
        <x:f>0</x:f>
        <x:v>0</x:v>
      </x:c>
      <x:c r="Y694" s="87" t="n">
        <x:f>T694*(W694*'01 Base Costs'!$B$7+X694)</x:f>
        <x:v>15080712191.999998</x:v>
      </x:c>
      <x:c r="Z694" s="87" t="n">
        <x:f>T694*'01 Base Costs'!$B$8</x:f>
        <x:v>26345476799.999996</x:v>
      </x:c>
      <x:c r="AA694" s="87" t="n">
        <x:f>Z694*'01 Base Costs'!$B$11</x:f>
        <x:v>1317273840</x:v>
      </x:c>
      <x:c r="AB694" s="87" t="n">
        <x:f>Z694-AA694</x:f>
        <x:v>25028202959.999996</x:v>
      </x:c>
      <x:c r="AC694" s="87" t="n">
        <x:f>O694+Y694</x:f>
        <x:v>33695412192</x:v>
      </x:c>
      <x:c r="AD694" s="87" t="n">
        <x:f>AB694-AC694</x:f>
        <x:v>-8667209232.000004</x:v>
      </x:c>
      <x:c r="AE694" s="87" t="n">
        <x:f>AD694/D694</x:f>
        <x:v>-2889069744.0000014</x:v>
      </x:c>
      <x:c r="AF694" s="87" t="n">
        <x:f>AD694/P694</x:f>
        <x:v>-963023248.0000005</x:v>
      </x:c>
      <x:c r="AG694" s="87" t="n">
        <x:f>IF(T694=0,0,AC694/T694/(1-'01 Base Costs'!$B$11))</x:f>
        <x:v>1013627541.6937407</x:v>
      </x:c>
      <x:c r="AH694" s="88" t="str">
        <x:f>IF(AD694&gt;0,"PROFIT","LOSS")</x:f>
        <x:v>LOSS</x:v>
      </x:c>
      <x:c r="AI694" s="89" t="str">
        <x:v>Capsuleer Day XXIIII event from screenshot. MCT certificate bought with ISK market price. 50-pack at 20% off.</x:v>
      </x:c>
    </x:row>
    <x:row r="695">
      <x:c r="A695" s="86" t="n">
        <x:v>693</x:v>
      </x:c>
      <x:c r="B695" s="88" t="str">
        <x:v>Sale/Event</x:v>
      </x:c>
      <x:c r="C695" s="88" t="str">
        <x:v>Capsuleer Day 3M Omega + 2 skins</x:v>
      </x:c>
      <x:c r="D695" s="88" t="n">
        <x:v>3</x:v>
      </x:c>
      <x:c r="E695" s="88" t="n">
        <x:v>3</x:v>
      </x:c>
      <x:c r="F695" s="88" t="str">
        <x:v>Market MCT certificate</x:v>
      </x:c>
      <x:c r="G695" s="88" t="str">
        <x:v>Market Skill Extractor</x:v>
      </x:c>
      <x:c r="H695" s="87" t="n">
        <x:f>'01 Base Costs'!$B$27</x:f>
        <x:v>960</x:v>
      </x:c>
      <x:c r="I695" s="87" t="n">
        <x:f>0</x:f>
        <x:v>0</x:v>
      </x:c>
      <x:c r="J695" s="87" t="n">
        <x:f>'01 Base Costs'!$B$10</x:f>
        <x:v>2332850000</x:v>
      </x:c>
      <x:c r="K695" s="87" t="n">
        <x:f>D695*(E695-1)*I695</x:f>
        <x:v>0</x:v>
      </x:c>
      <x:c r="L695" s="87" t="n">
        <x:f>D695*(E695-1)*J695</x:f>
        <x:v>13997100000</x:v>
      </x:c>
      <x:c r="M695" s="87" t="n">
        <x:f>0</x:f>
        <x:v>0</x:v>
      </x:c>
      <x:c r="N695" s="87" t="n">
        <x:f>H695+K695+M695</x:f>
        <x:v>960</x:v>
      </x:c>
      <x:c r="O695" s="87" t="n">
        <x:f>N695*'01 Base Costs'!$B$7+L695</x:f>
        <x:v>18614700000</x:v>
      </x:c>
      <x:c r="P695" s="87" t="n">
        <x:f>D695*E695</x:f>
        <x:v>9</x:v>
      </x:c>
      <x:c r="Q695" s="87" t="n">
        <x:f>P695*'01 Base Costs'!$B$12</x:f>
        <x:v>17496000</x:v>
      </x:c>
      <x:c r="R695" s="87" t="n">
        <x:f>0</x:f>
        <x:v>0</x:v>
      </x:c>
      <x:c r="S695" s="87" t="n">
        <x:f>Q695+R695</x:f>
        <x:v>17496000</x:v>
      </x:c>
      <x:c r="T695" s="141" t="n">
        <x:f>S695/'01 Base Costs'!$B$14</x:f>
        <x:v>34.992</x:v>
      </x:c>
      <x:c r="U695" s="87" t="n">
        <x:f>INT(T695)</x:f>
        <x:v>34</x:v>
      </x:c>
      <x:c r="V695" s="87" t="n">
        <x:f>S695-U695*'01 Base Costs'!$B$14</x:f>
        <x:v>496000</x:v>
      </x:c>
      <x:c r="W695" s="120" t="n">
        <x:f>0</x:f>
        <x:v>0</x:v>
      </x:c>
      <x:c r="X695" s="120" t="n">
        <x:f>'01 Base Costs'!$B$9</x:f>
        <x:v>463500000</x:v>
      </x:c>
      <x:c r="Y695" s="87" t="n">
        <x:f>T695*(W695*'01 Base Costs'!$B$7+X695)</x:f>
        <x:v>16218791999.999998</x:v>
      </x:c>
      <x:c r="Z695" s="87" t="n">
        <x:f>T695*'01 Base Costs'!$B$8</x:f>
        <x:v>26345476799.999996</x:v>
      </x:c>
      <x:c r="AA695" s="87" t="n">
        <x:f>Z695*'01 Base Costs'!$B$11</x:f>
        <x:v>1317273840</x:v>
      </x:c>
      <x:c r="AB695" s="87" t="n">
        <x:f>Z695-AA695</x:f>
        <x:v>25028202959.999996</x:v>
      </x:c>
      <x:c r="AC695" s="87" t="n">
        <x:f>O695+Y695</x:f>
        <x:v>34833492000</x:v>
      </x:c>
      <x:c r="AD695" s="87" t="n">
        <x:f>AB695-AC695</x:f>
        <x:v>-9805289040.000004</x:v>
      </x:c>
      <x:c r="AE695" s="87" t="n">
        <x:f>AD695/D695</x:f>
        <x:v>-3268429680.0000014</x:v>
      </x:c>
      <x:c r="AF695" s="87" t="n">
        <x:f>AD695/P695</x:f>
        <x:v>-1089476560.0000005</x:v>
      </x:c>
      <x:c r="AG695" s="87" t="n">
        <x:f>IF(T695=0,0,AC695/T695/(1-'01 Base Costs'!$B$11))</x:f>
        <x:v>1047863331.1674249</x:v>
      </x:c>
      <x:c r="AH695" s="88" t="str">
        <x:f>IF(AD695&gt;0,"PROFIT","LOSS")</x:f>
        <x:v>LOSS</x:v>
      </x:c>
      <x:c r="AI695" s="89" t="str">
        <x:v>Capsuleer Day XXIIII event from screenshot. MCT certificate bought with ISK market price. Extractor bought on market with ISK.</x:v>
      </x:c>
    </x:row>
    <x:row r="696">
      <x:c r="A696" s="86" t="n">
        <x:v>694</x:v>
      </x:c>
      <x:c r="B696" s="88" t="str">
        <x:v>Sale/Event</x:v>
      </x:c>
      <x:c r="C696" s="88" t="str">
        <x:v>Winter 12M Omega sale</x:v>
      </x:c>
      <x:c r="D696" s="88" t="n">
        <x:v>12</x:v>
      </x:c>
      <x:c r="E696" s="88" t="n">
        <x:v>1</x:v>
      </x:c>
      <x:c r="F696" s="88" t="str">
        <x:v>No MCT</x:v>
      </x:c>
      <x:c r="G696" s="88" t="str">
        <x:v>NES single extractor</x:v>
      </x:c>
      <x:c r="H696" s="87" t="n">
        <x:f>'01 Base Costs'!$B$28</x:f>
        <x:v>2700</x:v>
      </x:c>
      <x:c r="I696" s="87" t="n">
        <x:f>0</x:f>
        <x:v>0</x:v>
      </x:c>
      <x:c r="J696" s="87" t="n">
        <x:f>0</x:f>
        <x:v>0</x:v>
      </x:c>
      <x:c r="K696" s="87" t="n">
        <x:f>D696*(E696-1)*I696</x:f>
        <x:v>0</x:v>
      </x:c>
      <x:c r="L696" s="87" t="n">
        <x:f>D696*(E696-1)*J696</x:f>
        <x:v>0</x:v>
      </x:c>
      <x:c r="M696" s="87" t="n">
        <x:f>0</x:f>
        <x:v>0</x:v>
      </x:c>
      <x:c r="N696" s="87" t="n">
        <x:f>H696+K696+M696</x:f>
        <x:v>2700</x:v>
      </x:c>
      <x:c r="O696" s="87" t="n">
        <x:f>N696*'01 Base Costs'!$B$7+L696</x:f>
        <x:v>12987000000</x:v>
      </x:c>
      <x:c r="P696" s="87" t="n">
        <x:f>D696*E696</x:f>
        <x:v>12</x:v>
      </x:c>
      <x:c r="Q696" s="87" t="n">
        <x:f>P696*'01 Base Costs'!$B$12</x:f>
        <x:v>23328000</x:v>
      </x:c>
      <x:c r="R696" s="87" t="n">
        <x:f>0</x:f>
        <x:v>0</x:v>
      </x:c>
      <x:c r="S696" s="87" t="n">
        <x:f>Q696+R696</x:f>
        <x:v>23328000</x:v>
      </x:c>
      <x:c r="T696" s="141" t="n">
        <x:f>S696/'01 Base Costs'!$B$14</x:f>
        <x:v>46.656</x:v>
      </x:c>
      <x:c r="U696" s="87" t="n">
        <x:f>INT(T696)</x:f>
        <x:v>46</x:v>
      </x:c>
      <x:c r="V696" s="87" t="n">
        <x:f>S696-U696*'01 Base Costs'!$B$14</x:f>
        <x:v>328000</x:v>
      </x:c>
      <x:c r="W696" s="120" t="n">
        <x:f>'01 Base Costs'!$B$17</x:f>
        <x:v>140</x:v>
      </x:c>
      <x:c r="X696" s="120" t="n">
        <x:f>0</x:f>
        <x:v>0</x:v>
      </x:c>
      <x:c r="Y696" s="87" t="n">
        <x:f>T696*(W696*'01 Base Costs'!$B$7+X696)</x:f>
        <x:v>31418150400</x:v>
      </x:c>
      <x:c r="Z696" s="87" t="n">
        <x:f>T696*'01 Base Costs'!$B$8</x:f>
        <x:v>35127302400</x:v>
      </x:c>
      <x:c r="AA696" s="87" t="n">
        <x:f>Z696*'01 Base Costs'!$B$11</x:f>
        <x:v>1756365120</x:v>
      </x:c>
      <x:c r="AB696" s="87" t="n">
        <x:f>Z696-AA696</x:f>
        <x:v>33370937280</x:v>
      </x:c>
      <x:c r="AC696" s="87" t="n">
        <x:f>O696+Y696</x:f>
        <x:v>44405150400</x:v>
      </x:c>
      <x:c r="AD696" s="87" t="n">
        <x:f>AB696-AC696</x:f>
        <x:v>-11034213120</x:v>
      </x:c>
      <x:c r="AE696" s="87" t="n">
        <x:f>AD696/D696</x:f>
        <x:v>-919517760</x:v>
      </x:c>
      <x:c r="AF696" s="87" t="n">
        <x:f>AD696/P696</x:f>
        <x:v>-919517760</x:v>
      </x:c>
      <x:c r="AG696" s="87" t="n">
        <x:f>IF(T696=0,0,AC696/T696/(1-'01 Base Costs'!$B$11))</x:f>
        <x:v>1001848927.8752438</x:v>
      </x:c>
      <x:c r="AH696" s="88" t="str">
        <x:f>IF(AD696&gt;0,"PROFIT","LOSS")</x:f>
        <x:v>LOSS</x:v>
      </x:c>
      <x:c r="AI696" s="89" t="str">
        <x:v>Official 12M Omega sale example. One training queue only. Base single extractor.</x:v>
      </x:c>
    </x:row>
    <x:row r="697">
      <x:c r="A697" s="86" t="n">
        <x:v>695</x:v>
      </x:c>
      <x:c r="B697" s="88" t="str">
        <x:v>Sale/Event</x:v>
      </x:c>
      <x:c r="C697" s="88" t="str">
        <x:v>Winter 12M Omega sale</x:v>
      </x:c>
      <x:c r="D697" s="88" t="n">
        <x:v>12</x:v>
      </x:c>
      <x:c r="E697" s="88" t="n">
        <x:v>1</x:v>
      </x:c>
      <x:c r="F697" s="88" t="str">
        <x:v>No MCT</x:v>
      </x:c>
      <x:c r="G697" s="88" t="str">
        <x:v>NES 5-pack extractor</x:v>
      </x:c>
      <x:c r="H697" s="87" t="n">
        <x:f>'01 Base Costs'!$B$28</x:f>
        <x:v>2700</x:v>
      </x:c>
      <x:c r="I697" s="87" t="n">
        <x:f>0</x:f>
        <x:v>0</x:v>
      </x:c>
      <x:c r="J697" s="87" t="n">
        <x:f>0</x:f>
        <x:v>0</x:v>
      </x:c>
      <x:c r="K697" s="87" t="n">
        <x:f>D697*(E697-1)*I697</x:f>
        <x:v>0</x:v>
      </x:c>
      <x:c r="L697" s="87" t="n">
        <x:f>D697*(E697-1)*J697</x:f>
        <x:v>0</x:v>
      </x:c>
      <x:c r="M697" s="87" t="n">
        <x:f>0</x:f>
        <x:v>0</x:v>
      </x:c>
      <x:c r="N697" s="87" t="n">
        <x:f>H697+K697+M697</x:f>
        <x:v>2700</x:v>
      </x:c>
      <x:c r="O697" s="87" t="n">
        <x:f>N697*'01 Base Costs'!$B$7+L697</x:f>
        <x:v>12987000000</x:v>
      </x:c>
      <x:c r="P697" s="87" t="n">
        <x:f>D697*E697</x:f>
        <x:v>12</x:v>
      </x:c>
      <x:c r="Q697" s="87" t="n">
        <x:f>P697*'01 Base Costs'!$B$12</x:f>
        <x:v>23328000</x:v>
      </x:c>
      <x:c r="R697" s="87" t="n">
        <x:f>0</x:f>
        <x:v>0</x:v>
      </x:c>
      <x:c r="S697" s="87" t="n">
        <x:f>Q697+R697</x:f>
        <x:v>23328000</x:v>
      </x:c>
      <x:c r="T697" s="141" t="n">
        <x:f>S697/'01 Base Costs'!$B$14</x:f>
        <x:v>46.656</x:v>
      </x:c>
      <x:c r="U697" s="87" t="n">
        <x:f>INT(T697)</x:f>
        <x:v>46</x:v>
      </x:c>
      <x:c r="V697" s="87" t="n">
        <x:f>S697-U697*'01 Base Costs'!$B$14</x:f>
        <x:v>328000</x:v>
      </x:c>
      <x:c r="W697" s="120" t="n">
        <x:f>'01 Base Costs'!$B$18/5</x:f>
        <x:v>126</x:v>
      </x:c>
      <x:c r="X697" s="120" t="n">
        <x:f>0</x:f>
        <x:v>0</x:v>
      </x:c>
      <x:c r="Y697" s="87" t="n">
        <x:f>T697*(W697*'01 Base Costs'!$B$7+X697)</x:f>
        <x:v>28276335360</x:v>
      </x:c>
      <x:c r="Z697" s="87" t="n">
        <x:f>T697*'01 Base Costs'!$B$8</x:f>
        <x:v>35127302400</x:v>
      </x:c>
      <x:c r="AA697" s="87" t="n">
        <x:f>Z697*'01 Base Costs'!$B$11</x:f>
        <x:v>1756365120</x:v>
      </x:c>
      <x:c r="AB697" s="87" t="n">
        <x:f>Z697-AA697</x:f>
        <x:v>33370937280</x:v>
      </x:c>
      <x:c r="AC697" s="87" t="n">
        <x:f>O697+Y697</x:f>
        <x:v>41263335360</x:v>
      </x:c>
      <x:c r="AD697" s="87" t="n">
        <x:f>AB697-AC697</x:f>
        <x:v>-7892398080</x:v>
      </x:c>
      <x:c r="AE697" s="87" t="n">
        <x:f>AD697/D697</x:f>
        <x:v>-657699840</x:v>
      </x:c>
      <x:c r="AF697" s="87" t="n">
        <x:f>AD697/P697</x:f>
        <x:v>-657699840</x:v>
      </x:c>
      <x:c r="AG697" s="87" t="n">
        <x:f>IF(T697=0,0,AC697/T697/(1-'01 Base Costs'!$B$11))</x:f>
        <x:v>930964717.348928</x:v>
      </x:c>
      <x:c r="AH697" s="88" t="str">
        <x:f>IF(AD697&gt;0,"PROFIT","LOSS")</x:f>
        <x:v>LOSS</x:v>
      </x:c>
      <x:c r="AI697" s="89" t="str">
        <x:v>Official 12M Omega sale example. One training queue only. Base 5-pack average.</x:v>
      </x:c>
    </x:row>
    <x:row r="698">
      <x:c r="A698" s="86" t="n">
        <x:v>696</x:v>
      </x:c>
      <x:c r="B698" s="88" t="str">
        <x:v>Sale/Event</x:v>
      </x:c>
      <x:c r="C698" s="88" t="str">
        <x:v>Winter 12M Omega sale</x:v>
      </x:c>
      <x:c r="D698" s="88" t="n">
        <x:v>12</x:v>
      </x:c>
      <x:c r="E698" s="88" t="n">
        <x:v>1</x:v>
      </x:c>
      <x:c r="F698" s="88" t="str">
        <x:v>No MCT</x:v>
      </x:c>
      <x:c r="G698" s="88" t="str">
        <x:v>NES 10-pack extractor</x:v>
      </x:c>
      <x:c r="H698" s="87" t="n">
        <x:f>'01 Base Costs'!$B$28</x:f>
        <x:v>2700</x:v>
      </x:c>
      <x:c r="I698" s="87" t="n">
        <x:f>0</x:f>
        <x:v>0</x:v>
      </x:c>
      <x:c r="J698" s="87" t="n">
        <x:f>0</x:f>
        <x:v>0</x:v>
      </x:c>
      <x:c r="K698" s="87" t="n">
        <x:f>D698*(E698-1)*I698</x:f>
        <x:v>0</x:v>
      </x:c>
      <x:c r="L698" s="87" t="n">
        <x:f>D698*(E698-1)*J698</x:f>
        <x:v>0</x:v>
      </x:c>
      <x:c r="M698" s="87" t="n">
        <x:f>0</x:f>
        <x:v>0</x:v>
      </x:c>
      <x:c r="N698" s="87" t="n">
        <x:f>H698+K698+M698</x:f>
        <x:v>2700</x:v>
      </x:c>
      <x:c r="O698" s="87" t="n">
        <x:f>N698*'01 Base Costs'!$B$7+L698</x:f>
        <x:v>12987000000</x:v>
      </x:c>
      <x:c r="P698" s="87" t="n">
        <x:f>D698*E698</x:f>
        <x:v>12</x:v>
      </x:c>
      <x:c r="Q698" s="87" t="n">
        <x:f>P698*'01 Base Costs'!$B$12</x:f>
        <x:v>23328000</x:v>
      </x:c>
      <x:c r="R698" s="87" t="n">
        <x:f>0</x:f>
        <x:v>0</x:v>
      </x:c>
      <x:c r="S698" s="87" t="n">
        <x:f>Q698+R698</x:f>
        <x:v>23328000</x:v>
      </x:c>
      <x:c r="T698" s="141" t="n">
        <x:f>S698/'01 Base Costs'!$B$14</x:f>
        <x:v>46.656</x:v>
      </x:c>
      <x:c r="U698" s="87" t="n">
        <x:f>INT(T698)</x:f>
        <x:v>46</x:v>
      </x:c>
      <x:c r="V698" s="87" t="n">
        <x:f>S698-U698*'01 Base Costs'!$B$14</x:f>
        <x:v>328000</x:v>
      </x:c>
      <x:c r="W698" s="120" t="n">
        <x:f>'01 Base Costs'!$B$19/10</x:f>
        <x:v>119</x:v>
      </x:c>
      <x:c r="X698" s="120" t="n">
        <x:f>0</x:f>
        <x:v>0</x:v>
      </x:c>
      <x:c r="Y698" s="87" t="n">
        <x:f>T698*(W698*'01 Base Costs'!$B$7+X698)</x:f>
        <x:v>26705427840</x:v>
      </x:c>
      <x:c r="Z698" s="87" t="n">
        <x:f>T698*'01 Base Costs'!$B$8</x:f>
        <x:v>35127302400</x:v>
      </x:c>
      <x:c r="AA698" s="87" t="n">
        <x:f>Z698*'01 Base Costs'!$B$11</x:f>
        <x:v>1756365120</x:v>
      </x:c>
      <x:c r="AB698" s="87" t="n">
        <x:f>Z698-AA698</x:f>
        <x:v>33370937280</x:v>
      </x:c>
      <x:c r="AC698" s="87" t="n">
        <x:f>O698+Y698</x:f>
        <x:v>39692427840</x:v>
      </x:c>
      <x:c r="AD698" s="87" t="n">
        <x:f>AB698-AC698</x:f>
        <x:v>-6321490560</x:v>
      </x:c>
      <x:c r="AE698" s="87" t="n">
        <x:f>AD698/D698</x:f>
        <x:v>-526790880</x:v>
      </x:c>
      <x:c r="AF698" s="87" t="n">
        <x:f>AD698/P698</x:f>
        <x:v>-526790880</x:v>
      </x:c>
      <x:c r="AG698" s="87" t="n">
        <x:f>IF(T698=0,0,AC698/T698/(1-'01 Base Costs'!$B$11))</x:f>
        <x:v>895522612.0857701</x:v>
      </x:c>
      <x:c r="AH698" s="88" t="str">
        <x:f>IF(AD698&gt;0,"PROFIT","LOSS")</x:f>
        <x:v>LOSS</x:v>
      </x:c>
      <x:c r="AI698" s="89" t="str">
        <x:v>Official 12M Omega sale example. One training queue only. Base 10-pack average.</x:v>
      </x:c>
    </x:row>
    <x:row r="699">
      <x:c r="A699" s="86" t="n">
        <x:v>697</x:v>
      </x:c>
      <x:c r="B699" s="88" t="str">
        <x:v>Sale/Event</x:v>
      </x:c>
      <x:c r="C699" s="88" t="str">
        <x:v>Winter 12M Omega sale</x:v>
      </x:c>
      <x:c r="D699" s="88" t="n">
        <x:v>12</x:v>
      </x:c>
      <x:c r="E699" s="88" t="n">
        <x:v>1</x:v>
      </x:c>
      <x:c r="F699" s="88" t="str">
        <x:v>No MCT</x:v>
      </x:c>
      <x:c r="G699" s="88" t="str">
        <x:v>NES 50-pack extractor</x:v>
      </x:c>
      <x:c r="H699" s="87" t="n">
        <x:f>'01 Base Costs'!$B$28</x:f>
        <x:v>2700</x:v>
      </x:c>
      <x:c r="I699" s="87" t="n">
        <x:f>0</x:f>
        <x:v>0</x:v>
      </x:c>
      <x:c r="J699" s="87" t="n">
        <x:f>0</x:f>
        <x:v>0</x:v>
      </x:c>
      <x:c r="K699" s="87" t="n">
        <x:f>D699*(E699-1)*I699</x:f>
        <x:v>0</x:v>
      </x:c>
      <x:c r="L699" s="87" t="n">
        <x:f>D699*(E699-1)*J699</x:f>
        <x:v>0</x:v>
      </x:c>
      <x:c r="M699" s="87" t="n">
        <x:f>0</x:f>
        <x:v>0</x:v>
      </x:c>
      <x:c r="N699" s="87" t="n">
        <x:f>H699+K699+M699</x:f>
        <x:v>2700</x:v>
      </x:c>
      <x:c r="O699" s="87" t="n">
        <x:f>N699*'01 Base Costs'!$B$7+L699</x:f>
        <x:v>12987000000</x:v>
      </x:c>
      <x:c r="P699" s="87" t="n">
        <x:f>D699*E699</x:f>
        <x:v>12</x:v>
      </x:c>
      <x:c r="Q699" s="87" t="n">
        <x:f>P699*'01 Base Costs'!$B$12</x:f>
        <x:v>23328000</x:v>
      </x:c>
      <x:c r="R699" s="87" t="n">
        <x:f>0</x:f>
        <x:v>0</x:v>
      </x:c>
      <x:c r="S699" s="87" t="n">
        <x:f>Q699+R699</x:f>
        <x:v>23328000</x:v>
      </x:c>
      <x:c r="T699" s="141" t="n">
        <x:f>S699/'01 Base Costs'!$B$14</x:f>
        <x:v>46.656</x:v>
      </x:c>
      <x:c r="U699" s="87" t="n">
        <x:f>INT(T699)</x:f>
        <x:v>46</x:v>
      </x:c>
      <x:c r="V699" s="87" t="n">
        <x:f>S699-U699*'01 Base Costs'!$B$14</x:f>
        <x:v>328000</x:v>
      </x:c>
      <x:c r="W699" s="120" t="n">
        <x:f>'01 Base Costs'!$B$20/50</x:f>
        <x:v>112</x:v>
      </x:c>
      <x:c r="X699" s="120" t="n">
        <x:f>0</x:f>
        <x:v>0</x:v>
      </x:c>
      <x:c r="Y699" s="87" t="n">
        <x:f>T699*(W699*'01 Base Costs'!$B$7+X699)</x:f>
        <x:v>25134520320</x:v>
      </x:c>
      <x:c r="Z699" s="87" t="n">
        <x:f>T699*'01 Base Costs'!$B$8</x:f>
        <x:v>35127302400</x:v>
      </x:c>
      <x:c r="AA699" s="87" t="n">
        <x:f>Z699*'01 Base Costs'!$B$11</x:f>
        <x:v>1756365120</x:v>
      </x:c>
      <x:c r="AB699" s="87" t="n">
        <x:f>Z699-AA699</x:f>
        <x:v>33370937280</x:v>
      </x:c>
      <x:c r="AC699" s="87" t="n">
        <x:f>O699+Y699</x:f>
        <x:v>38121520320</x:v>
      </x:c>
      <x:c r="AD699" s="87" t="n">
        <x:f>AB699-AC699</x:f>
        <x:v>-4750583040</x:v>
      </x:c>
      <x:c r="AE699" s="87" t="n">
        <x:f>AD699/D699</x:f>
        <x:v>-395881920</x:v>
      </x:c>
      <x:c r="AF699" s="87" t="n">
        <x:f>AD699/P699</x:f>
        <x:v>-395881920</x:v>
      </x:c>
      <x:c r="AG699" s="87" t="n">
        <x:f>IF(T699=0,0,AC699/T699/(1-'01 Base Costs'!$B$11))</x:f>
        <x:v>860080506.8226122</x:v>
      </x:c>
      <x:c r="AH699" s="88" t="str">
        <x:f>IF(AD699&gt;0,"PROFIT","LOSS")</x:f>
        <x:v>LOSS</x:v>
      </x:c>
      <x:c r="AI699" s="89" t="str">
        <x:v>Official 12M Omega sale example. One training queue only. Base 50-pack average.</x:v>
      </x:c>
    </x:row>
    <x:row r="700">
      <x:c r="A700" s="86" t="n">
        <x:v>698</x:v>
      </x:c>
      <x:c r="B700" s="88" t="str">
        <x:v>Sale/Event</x:v>
      </x:c>
      <x:c r="C700" s="88" t="str">
        <x:v>Winter 12M Omega sale</x:v>
      </x:c>
      <x:c r="D700" s="88" t="n">
        <x:v>12</x:v>
      </x:c>
      <x:c r="E700" s="88" t="n">
        <x:v>1</x:v>
      </x:c>
      <x:c r="F700" s="88" t="str">
        <x:v>No MCT</x:v>
      </x:c>
      <x:c r="G700" s="88" t="str">
        <x:v>NES 3-for-2 extractor sale</x:v>
      </x:c>
      <x:c r="H700" s="87" t="n">
        <x:f>'01 Base Costs'!$B$28</x:f>
        <x:v>2700</x:v>
      </x:c>
      <x:c r="I700" s="87" t="n">
        <x:f>0</x:f>
        <x:v>0</x:v>
      </x:c>
      <x:c r="J700" s="87" t="n">
        <x:f>0</x:f>
        <x:v>0</x:v>
      </x:c>
      <x:c r="K700" s="87" t="n">
        <x:f>D700*(E700-1)*I700</x:f>
        <x:v>0</x:v>
      </x:c>
      <x:c r="L700" s="87" t="n">
        <x:f>D700*(E700-1)*J700</x:f>
        <x:v>0</x:v>
      </x:c>
      <x:c r="M700" s="87" t="n">
        <x:f>0</x:f>
        <x:v>0</x:v>
      </x:c>
      <x:c r="N700" s="87" t="n">
        <x:f>H700+K700+M700</x:f>
        <x:v>2700</x:v>
      </x:c>
      <x:c r="O700" s="87" t="n">
        <x:f>N700*'01 Base Costs'!$B$7+L700</x:f>
        <x:v>12987000000</x:v>
      </x:c>
      <x:c r="P700" s="87" t="n">
        <x:f>D700*E700</x:f>
        <x:v>12</x:v>
      </x:c>
      <x:c r="Q700" s="87" t="n">
        <x:f>P700*'01 Base Costs'!$B$12</x:f>
        <x:v>23328000</x:v>
      </x:c>
      <x:c r="R700" s="87" t="n">
        <x:f>0</x:f>
        <x:v>0</x:v>
      </x:c>
      <x:c r="S700" s="87" t="n">
        <x:f>Q700+R700</x:f>
        <x:v>23328000</x:v>
      </x:c>
      <x:c r="T700" s="141" t="n">
        <x:f>S700/'01 Base Costs'!$B$14</x:f>
        <x:v>46.656</x:v>
      </x:c>
      <x:c r="U700" s="87" t="n">
        <x:f>INT(T700)</x:f>
        <x:v>46</x:v>
      </x:c>
      <x:c r="V700" s="87" t="n">
        <x:f>S700-U700*'01 Base Costs'!$B$14</x:f>
        <x:v>328000</x:v>
      </x:c>
      <x:c r="W700" s="120" t="n">
        <x:f>'01 Base Costs'!$B$17*2/3</x:f>
        <x:v>93.33333333333333</x:v>
      </x:c>
      <x:c r="X700" s="120" t="n">
        <x:f>0</x:f>
        <x:v>0</x:v>
      </x:c>
      <x:c r="Y700" s="87" t="n">
        <x:f>T700*(W700*'01 Base Costs'!$B$7+X700)</x:f>
        <x:v>20945433600</x:v>
      </x:c>
      <x:c r="Z700" s="87" t="n">
        <x:f>T700*'01 Base Costs'!$B$8</x:f>
        <x:v>35127302400</x:v>
      </x:c>
      <x:c r="AA700" s="87" t="n">
        <x:f>Z700*'01 Base Costs'!$B$11</x:f>
        <x:v>1756365120</x:v>
      </x:c>
      <x:c r="AB700" s="87" t="n">
        <x:f>Z700-AA700</x:f>
        <x:v>33370937280</x:v>
      </x:c>
      <x:c r="AC700" s="87" t="n">
        <x:f>O700+Y700</x:f>
        <x:v>33932433600</x:v>
      </x:c>
      <x:c r="AD700" s="87" t="n">
        <x:f>AB700-AC700</x:f>
        <x:v>-561496320</x:v>
      </x:c>
      <x:c r="AE700" s="87" t="n">
        <x:f>AD700/D700</x:f>
        <x:v>-46791360</x:v>
      </x:c>
      <x:c r="AF700" s="87" t="n">
        <x:f>AD700/P700</x:f>
        <x:v>-46791360</x:v>
      </x:c>
      <x:c r="AG700" s="87" t="n">
        <x:f>IF(T700=0,0,AC700/T700/(1-'01 Base Costs'!$B$11))</x:f>
        <x:v>765568226.1208577</x:v>
      </x:c>
      <x:c r="AH700" s="88" t="str">
        <x:f>IF(AD700&gt;0,"PROFIT","LOSS")</x:f>
        <x:v>LOSS</x:v>
      </x:c>
      <x:c r="AI700" s="89" t="str">
        <x:v>Official 12M Omega sale example. One training queue only. Extractor 3-for-2 sale.</x:v>
      </x:c>
    </x:row>
    <x:row r="701">
      <x:c r="A701" s="86" t="n">
        <x:v>699</x:v>
      </x:c>
      <x:c r="B701" s="88" t="str">
        <x:v>Sale/Event</x:v>
      </x:c>
      <x:c r="C701" s="88" t="str">
        <x:v>Winter 12M Omega sale</x:v>
      </x:c>
      <x:c r="D701" s="88" t="n">
        <x:v>12</x:v>
      </x:c>
      <x:c r="E701" s="88" t="n">
        <x:v>1</x:v>
      </x:c>
      <x:c r="F701" s="88" t="str">
        <x:v>No MCT</x:v>
      </x:c>
      <x:c r="G701" s="88" t="str">
        <x:v>NES 2-for-1 extractor sale</x:v>
      </x:c>
      <x:c r="H701" s="87" t="n">
        <x:f>'01 Base Costs'!$B$28</x:f>
        <x:v>2700</x:v>
      </x:c>
      <x:c r="I701" s="87" t="n">
        <x:f>0</x:f>
        <x:v>0</x:v>
      </x:c>
      <x:c r="J701" s="87" t="n">
        <x:f>0</x:f>
        <x:v>0</x:v>
      </x:c>
      <x:c r="K701" s="87" t="n">
        <x:f>D701*(E701-1)*I701</x:f>
        <x:v>0</x:v>
      </x:c>
      <x:c r="L701" s="87" t="n">
        <x:f>D701*(E701-1)*J701</x:f>
        <x:v>0</x:v>
      </x:c>
      <x:c r="M701" s="87" t="n">
        <x:f>0</x:f>
        <x:v>0</x:v>
      </x:c>
      <x:c r="N701" s="87" t="n">
        <x:f>H701+K701+M701</x:f>
        <x:v>2700</x:v>
      </x:c>
      <x:c r="O701" s="87" t="n">
        <x:f>N701*'01 Base Costs'!$B$7+L701</x:f>
        <x:v>12987000000</x:v>
      </x:c>
      <x:c r="P701" s="87" t="n">
        <x:f>D701*E701</x:f>
        <x:v>12</x:v>
      </x:c>
      <x:c r="Q701" s="87" t="n">
        <x:f>P701*'01 Base Costs'!$B$12</x:f>
        <x:v>23328000</x:v>
      </x:c>
      <x:c r="R701" s="87" t="n">
        <x:f>0</x:f>
        <x:v>0</x:v>
      </x:c>
      <x:c r="S701" s="87" t="n">
        <x:f>Q701+R701</x:f>
        <x:v>23328000</x:v>
      </x:c>
      <x:c r="T701" s="141" t="n">
        <x:f>S701/'01 Base Costs'!$B$14</x:f>
        <x:v>46.656</x:v>
      </x:c>
      <x:c r="U701" s="87" t="n">
        <x:f>INT(T701)</x:f>
        <x:v>46</x:v>
      </x:c>
      <x:c r="V701" s="87" t="n">
        <x:f>S701-U701*'01 Base Costs'!$B$14</x:f>
        <x:v>328000</x:v>
      </x:c>
      <x:c r="W701" s="120" t="n">
        <x:f>'01 Base Costs'!$B$17/2</x:f>
        <x:v>70</x:v>
      </x:c>
      <x:c r="X701" s="120" t="n">
        <x:f>0</x:f>
        <x:v>0</x:v>
      </x:c>
      <x:c r="Y701" s="87" t="n">
        <x:f>T701*(W701*'01 Base Costs'!$B$7+X701)</x:f>
        <x:v>15709075200</x:v>
      </x:c>
      <x:c r="Z701" s="87" t="n">
        <x:f>T701*'01 Base Costs'!$B$8</x:f>
        <x:v>35127302400</x:v>
      </x:c>
      <x:c r="AA701" s="87" t="n">
        <x:f>Z701*'01 Base Costs'!$B$11</x:f>
        <x:v>1756365120</x:v>
      </x:c>
      <x:c r="AB701" s="87" t="n">
        <x:f>Z701-AA701</x:f>
        <x:v>33370937280</x:v>
      </x:c>
      <x:c r="AC701" s="87" t="n">
        <x:f>O701+Y701</x:f>
        <x:v>28696075200</x:v>
      </x:c>
      <x:c r="AD701" s="87" t="n">
        <x:f>AB701-AC701</x:f>
        <x:v>4674862080</x:v>
      </x:c>
      <x:c r="AE701" s="87" t="n">
        <x:f>AD701/D701</x:f>
        <x:v>389571840</x:v>
      </x:c>
      <x:c r="AF701" s="87" t="n">
        <x:f>AD701/P701</x:f>
        <x:v>389571840</x:v>
      </x:c>
      <x:c r="AG701" s="87" t="n">
        <x:f>IF(T701=0,0,AC701/T701/(1-'01 Base Costs'!$B$11))</x:f>
        <x:v>647427875.2436649</x:v>
      </x:c>
      <x:c r="AH701" s="88" t="str">
        <x:f>IF(AD701&gt;0,"PROFIT","LOSS")</x:f>
        <x:v>PROFIT</x:v>
      </x:c>
      <x:c r="AI701" s="89" t="str">
        <x:v>Official 12M Omega sale example. One training queue only. Extractor 2-for-1 sale.</x:v>
      </x:c>
    </x:row>
    <x:row r="702">
      <x:c r="A702" s="86" t="n">
        <x:v>700</x:v>
      </x:c>
      <x:c r="B702" s="88" t="str">
        <x:v>Sale/Event</x:v>
      </x:c>
      <x:c r="C702" s="88" t="str">
        <x:v>Winter 12M Omega sale</x:v>
      </x:c>
      <x:c r="D702" s="88" t="n">
        <x:v>12</x:v>
      </x:c>
      <x:c r="E702" s="88" t="n">
        <x:v>1</x:v>
      </x:c>
      <x:c r="F702" s="88" t="str">
        <x:v>No MCT</x:v>
      </x:c>
      <x:c r="G702" s="88" t="str">
        <x:v>NES 10-pack extractor 20% sale</x:v>
      </x:c>
      <x:c r="H702" s="87" t="n">
        <x:f>'01 Base Costs'!$B$28</x:f>
        <x:v>2700</x:v>
      </x:c>
      <x:c r="I702" s="87" t="n">
        <x:f>0</x:f>
        <x:v>0</x:v>
      </x:c>
      <x:c r="J702" s="87" t="n">
        <x:f>0</x:f>
        <x:v>0</x:v>
      </x:c>
      <x:c r="K702" s="87" t="n">
        <x:f>D702*(E702-1)*I702</x:f>
        <x:v>0</x:v>
      </x:c>
      <x:c r="L702" s="87" t="n">
        <x:f>D702*(E702-1)*J702</x:f>
        <x:v>0</x:v>
      </x:c>
      <x:c r="M702" s="87" t="n">
        <x:f>0</x:f>
        <x:v>0</x:v>
      </x:c>
      <x:c r="N702" s="87" t="n">
        <x:f>H702+K702+M702</x:f>
        <x:v>2700</x:v>
      </x:c>
      <x:c r="O702" s="87" t="n">
        <x:f>N702*'01 Base Costs'!$B$7+L702</x:f>
        <x:v>12987000000</x:v>
      </x:c>
      <x:c r="P702" s="87" t="n">
        <x:f>D702*E702</x:f>
        <x:v>12</x:v>
      </x:c>
      <x:c r="Q702" s="87" t="n">
        <x:f>P702*'01 Base Costs'!$B$12</x:f>
        <x:v>23328000</x:v>
      </x:c>
      <x:c r="R702" s="87" t="n">
        <x:f>0</x:f>
        <x:v>0</x:v>
      </x:c>
      <x:c r="S702" s="87" t="n">
        <x:f>Q702+R702</x:f>
        <x:v>23328000</x:v>
      </x:c>
      <x:c r="T702" s="141" t="n">
        <x:f>S702/'01 Base Costs'!$B$14</x:f>
        <x:v>46.656</x:v>
      </x:c>
      <x:c r="U702" s="87" t="n">
        <x:f>INT(T702)</x:f>
        <x:v>46</x:v>
      </x:c>
      <x:c r="V702" s="87" t="n">
        <x:f>S702-U702*'01 Base Costs'!$B$14</x:f>
        <x:v>328000</x:v>
      </x:c>
      <x:c r="W702" s="120" t="n">
        <x:f>'01 Base Costs'!$B$19*0.8/10</x:f>
        <x:v>95.2</x:v>
      </x:c>
      <x:c r="X702" s="120" t="n">
        <x:f>0</x:f>
        <x:v>0</x:v>
      </x:c>
      <x:c r="Y702" s="87" t="n">
        <x:f>T702*(W702*'01 Base Costs'!$B$7+X702)</x:f>
        <x:v>21364342272</x:v>
      </x:c>
      <x:c r="Z702" s="87" t="n">
        <x:f>T702*'01 Base Costs'!$B$8</x:f>
        <x:v>35127302400</x:v>
      </x:c>
      <x:c r="AA702" s="87" t="n">
        <x:f>Z702*'01 Base Costs'!$B$11</x:f>
        <x:v>1756365120</x:v>
      </x:c>
      <x:c r="AB702" s="87" t="n">
        <x:f>Z702-AA702</x:f>
        <x:v>33370937280</x:v>
      </x:c>
      <x:c r="AC702" s="87" t="n">
        <x:f>O702+Y702</x:f>
        <x:v>34351342272</x:v>
      </x:c>
      <x:c r="AD702" s="87" t="n">
        <x:f>AB702-AC702</x:f>
        <x:v>-980404992</x:v>
      </x:c>
      <x:c r="AE702" s="87" t="n">
        <x:f>AD702/D702</x:f>
        <x:v>-81700416</x:v>
      </x:c>
      <x:c r="AF702" s="87" t="n">
        <x:f>AD702/P702</x:f>
        <x:v>-81700416</x:v>
      </x:c>
      <x:c r="AG702" s="87" t="n">
        <x:f>IF(T702=0,0,AC702/T702/(1-'01 Base Costs'!$B$11))</x:f>
        <x:v>775019454.1910332</x:v>
      </x:c>
      <x:c r="AH702" s="88" t="str">
        <x:f>IF(AD702&gt;0,"PROFIT","LOSS")</x:f>
        <x:v>LOSS</x:v>
      </x:c>
      <x:c r="AI702" s="89" t="str">
        <x:v>Official 12M Omega sale example. One training queue only. 10-pack at 20% off.</x:v>
      </x:c>
    </x:row>
    <x:row r="703">
      <x:c r="A703" s="86" t="n">
        <x:v>701</x:v>
      </x:c>
      <x:c r="B703" s="88" t="str">
        <x:v>Sale/Event</x:v>
      </x:c>
      <x:c r="C703" s="88" t="str">
        <x:v>Winter 12M Omega sale</x:v>
      </x:c>
      <x:c r="D703" s="88" t="n">
        <x:v>12</x:v>
      </x:c>
      <x:c r="E703" s="88" t="n">
        <x:v>1</x:v>
      </x:c>
      <x:c r="F703" s="88" t="str">
        <x:v>No MCT</x:v>
      </x:c>
      <x:c r="G703" s="88" t="str">
        <x:v>NES 50-pack extractor 20% sale</x:v>
      </x:c>
      <x:c r="H703" s="87" t="n">
        <x:f>'01 Base Costs'!$B$28</x:f>
        <x:v>2700</x:v>
      </x:c>
      <x:c r="I703" s="87" t="n">
        <x:f>0</x:f>
        <x:v>0</x:v>
      </x:c>
      <x:c r="J703" s="87" t="n">
        <x:f>0</x:f>
        <x:v>0</x:v>
      </x:c>
      <x:c r="K703" s="87" t="n">
        <x:f>D703*(E703-1)*I703</x:f>
        <x:v>0</x:v>
      </x:c>
      <x:c r="L703" s="87" t="n">
        <x:f>D703*(E703-1)*J703</x:f>
        <x:v>0</x:v>
      </x:c>
      <x:c r="M703" s="87" t="n">
        <x:f>0</x:f>
        <x:v>0</x:v>
      </x:c>
      <x:c r="N703" s="87" t="n">
        <x:f>H703+K703+M703</x:f>
        <x:v>2700</x:v>
      </x:c>
      <x:c r="O703" s="87" t="n">
        <x:f>N703*'01 Base Costs'!$B$7+L703</x:f>
        <x:v>12987000000</x:v>
      </x:c>
      <x:c r="P703" s="87" t="n">
        <x:f>D703*E703</x:f>
        <x:v>12</x:v>
      </x:c>
      <x:c r="Q703" s="87" t="n">
        <x:f>P703*'01 Base Costs'!$B$12</x:f>
        <x:v>23328000</x:v>
      </x:c>
      <x:c r="R703" s="87" t="n">
        <x:f>0</x:f>
        <x:v>0</x:v>
      </x:c>
      <x:c r="S703" s="87" t="n">
        <x:f>Q703+R703</x:f>
        <x:v>23328000</x:v>
      </x:c>
      <x:c r="T703" s="141" t="n">
        <x:f>S703/'01 Base Costs'!$B$14</x:f>
        <x:v>46.656</x:v>
      </x:c>
      <x:c r="U703" s="87" t="n">
        <x:f>INT(T703)</x:f>
        <x:v>46</x:v>
      </x:c>
      <x:c r="V703" s="87" t="n">
        <x:f>S703-U703*'01 Base Costs'!$B$14</x:f>
        <x:v>328000</x:v>
      </x:c>
      <x:c r="W703" s="120" t="n">
        <x:f>'01 Base Costs'!$B$20*0.8/50</x:f>
        <x:v>89.6</x:v>
      </x:c>
      <x:c r="X703" s="120" t="n">
        <x:f>0</x:f>
        <x:v>0</x:v>
      </x:c>
      <x:c r="Y703" s="87" t="n">
        <x:f>T703*(W703*'01 Base Costs'!$B$7+X703)</x:f>
        <x:v>20107616256</x:v>
      </x:c>
      <x:c r="Z703" s="87" t="n">
        <x:f>T703*'01 Base Costs'!$B$8</x:f>
        <x:v>35127302400</x:v>
      </x:c>
      <x:c r="AA703" s="87" t="n">
        <x:f>Z703*'01 Base Costs'!$B$11</x:f>
        <x:v>1756365120</x:v>
      </x:c>
      <x:c r="AB703" s="87" t="n">
        <x:f>Z703-AA703</x:f>
        <x:v>33370937280</x:v>
      </x:c>
      <x:c r="AC703" s="87" t="n">
        <x:f>O703+Y703</x:f>
        <x:v>33094616256</x:v>
      </x:c>
      <x:c r="AD703" s="87" t="n">
        <x:f>AB703-AC703</x:f>
        <x:v>276321024</x:v>
      </x:c>
      <x:c r="AE703" s="87" t="n">
        <x:f>AD703/D703</x:f>
        <x:v>23026752</x:v>
      </x:c>
      <x:c r="AF703" s="87" t="n">
        <x:f>AD703/P703</x:f>
        <x:v>23026752</x:v>
      </x:c>
      <x:c r="AG703" s="87" t="n">
        <x:f>IF(T703=0,0,AC703/T703/(1-'01 Base Costs'!$B$11))</x:f>
        <x:v>746665769.9805069</x:v>
      </x:c>
      <x:c r="AH703" s="88" t="str">
        <x:f>IF(AD703&gt;0,"PROFIT","LOSS")</x:f>
        <x:v>PROFIT</x:v>
      </x:c>
      <x:c r="AI703" s="89" t="str">
        <x:v>Official 12M Omega sale example. One training queue only. 50-pack at 20% off.</x:v>
      </x:c>
    </x:row>
    <x:row r="704">
      <x:c r="A704" s="86" t="n">
        <x:v>702</x:v>
      </x:c>
      <x:c r="B704" s="88" t="str">
        <x:v>Sale/Event</x:v>
      </x:c>
      <x:c r="C704" s="88" t="str">
        <x:v>Winter 12M Omega sale</x:v>
      </x:c>
      <x:c r="D704" s="88" t="n">
        <x:v>12</x:v>
      </x:c>
      <x:c r="E704" s="88" t="n">
        <x:v>1</x:v>
      </x:c>
      <x:c r="F704" s="88" t="str">
        <x:v>No MCT</x:v>
      </x:c>
      <x:c r="G704" s="88" t="str">
        <x:v>Market Skill Extractor</x:v>
      </x:c>
      <x:c r="H704" s="87" t="n">
        <x:f>'01 Base Costs'!$B$28</x:f>
        <x:v>2700</x:v>
      </x:c>
      <x:c r="I704" s="87" t="n">
        <x:f>0</x:f>
        <x:v>0</x:v>
      </x:c>
      <x:c r="J704" s="87" t="n">
        <x:f>0</x:f>
        <x:v>0</x:v>
      </x:c>
      <x:c r="K704" s="87" t="n">
        <x:f>D704*(E704-1)*I704</x:f>
        <x:v>0</x:v>
      </x:c>
      <x:c r="L704" s="87" t="n">
        <x:f>D704*(E704-1)*J704</x:f>
        <x:v>0</x:v>
      </x:c>
      <x:c r="M704" s="87" t="n">
        <x:f>0</x:f>
        <x:v>0</x:v>
      </x:c>
      <x:c r="N704" s="87" t="n">
        <x:f>H704+K704+M704</x:f>
        <x:v>2700</x:v>
      </x:c>
      <x:c r="O704" s="87" t="n">
        <x:f>N704*'01 Base Costs'!$B$7+L704</x:f>
        <x:v>12987000000</x:v>
      </x:c>
      <x:c r="P704" s="87" t="n">
        <x:f>D704*E704</x:f>
        <x:v>12</x:v>
      </x:c>
      <x:c r="Q704" s="87" t="n">
        <x:f>P704*'01 Base Costs'!$B$12</x:f>
        <x:v>23328000</x:v>
      </x:c>
      <x:c r="R704" s="87" t="n">
        <x:f>0</x:f>
        <x:v>0</x:v>
      </x:c>
      <x:c r="S704" s="87" t="n">
        <x:f>Q704+R704</x:f>
        <x:v>23328000</x:v>
      </x:c>
      <x:c r="T704" s="141" t="n">
        <x:f>S704/'01 Base Costs'!$B$14</x:f>
        <x:v>46.656</x:v>
      </x:c>
      <x:c r="U704" s="87" t="n">
        <x:f>INT(T704)</x:f>
        <x:v>46</x:v>
      </x:c>
      <x:c r="V704" s="87" t="n">
        <x:f>S704-U704*'01 Base Costs'!$B$14</x:f>
        <x:v>328000</x:v>
      </x:c>
      <x:c r="W704" s="120" t="n">
        <x:f>0</x:f>
        <x:v>0</x:v>
      </x:c>
      <x:c r="X704" s="120" t="n">
        <x:f>'01 Base Costs'!$B$9</x:f>
        <x:v>463500000</x:v>
      </x:c>
      <x:c r="Y704" s="87" t="n">
        <x:f>T704*(W704*'01 Base Costs'!$B$7+X704)</x:f>
        <x:v>21625056000</x:v>
      </x:c>
      <x:c r="Z704" s="87" t="n">
        <x:f>T704*'01 Base Costs'!$B$8</x:f>
        <x:v>35127302400</x:v>
      </x:c>
      <x:c r="AA704" s="87" t="n">
        <x:f>Z704*'01 Base Costs'!$B$11</x:f>
        <x:v>1756365120</x:v>
      </x:c>
      <x:c r="AB704" s="87" t="n">
        <x:f>Z704-AA704</x:f>
        <x:v>33370937280</x:v>
      </x:c>
      <x:c r="AC704" s="87" t="n">
        <x:f>O704+Y704</x:f>
        <x:v>34612056000</x:v>
      </x:c>
      <x:c r="AD704" s="87" t="n">
        <x:f>AB704-AC704</x:f>
        <x:v>-1241118720</x:v>
      </x:c>
      <x:c r="AE704" s="87" t="n">
        <x:f>AD704/D704</x:f>
        <x:v>-103426560</x:v>
      </x:c>
      <x:c r="AF704" s="87" t="n">
        <x:f>AD704/P704</x:f>
        <x:v>-103426560</x:v>
      </x:c>
      <x:c r="AG704" s="87" t="n">
        <x:f>IF(T704=0,0,AC704/T704/(1-'01 Base Costs'!$B$11))</x:f>
        <x:v>780901559.4541911</x:v>
      </x:c>
      <x:c r="AH704" s="88" t="str">
        <x:f>IF(AD704&gt;0,"PROFIT","LOSS")</x:f>
        <x:v>LOSS</x:v>
      </x:c>
      <x:c r="AI704" s="89" t="str">
        <x:v>Official 12M Omega sale example. One training queue only. Extractor bought on market with ISK.</x:v>
      </x:c>
    </x:row>
    <x:row r="705">
      <x:c r="A705" s="86" t="n">
        <x:v>703</x:v>
      </x:c>
      <x:c r="B705" s="88" t="str">
        <x:v>Sale/Event</x:v>
      </x:c>
      <x:c r="C705" s="88" t="str">
        <x:v>Winter 12M Omega sale</x:v>
      </x:c>
      <x:c r="D705" s="88" t="n">
        <x:v>12</x:v>
      </x:c>
      <x:c r="E705" s="88" t="n">
        <x:v>2</x:v>
      </x:c>
      <x:c r="F705" s="88" t="str">
        <x:v>NES base MCT</x:v>
      </x:c>
      <x:c r="G705" s="88" t="str">
        <x:v>NES single extractor</x:v>
      </x:c>
      <x:c r="H705" s="87" t="n">
        <x:f>'01 Base Costs'!$B$28</x:f>
        <x:v>2700</x:v>
      </x:c>
      <x:c r="I705" s="87" t="n">
        <x:f>'01 Base Costs'!$B$16</x:f>
        <x:v>485</x:v>
      </x:c>
      <x:c r="J705" s="87" t="n">
        <x:f>0</x:f>
        <x:v>0</x:v>
      </x:c>
      <x:c r="K705" s="87" t="n">
        <x:f>D705*(E705-1)*I705</x:f>
        <x:v>5820</x:v>
      </x:c>
      <x:c r="L705" s="87" t="n">
        <x:f>D705*(E705-1)*J705</x:f>
        <x:v>0</x:v>
      </x:c>
      <x:c r="M705" s="87" t="n">
        <x:f>0</x:f>
        <x:v>0</x:v>
      </x:c>
      <x:c r="N705" s="87" t="n">
        <x:f>H705+K705+M705</x:f>
        <x:v>8520</x:v>
      </x:c>
      <x:c r="O705" s="87" t="n">
        <x:f>N705*'01 Base Costs'!$B$7+L705</x:f>
        <x:v>40981200000</x:v>
      </x:c>
      <x:c r="P705" s="87" t="n">
        <x:f>D705*E705</x:f>
        <x:v>24</x:v>
      </x:c>
      <x:c r="Q705" s="87" t="n">
        <x:f>P705*'01 Base Costs'!$B$12</x:f>
        <x:v>46656000</x:v>
      </x:c>
      <x:c r="R705" s="87" t="n">
        <x:f>0</x:f>
        <x:v>0</x:v>
      </x:c>
      <x:c r="S705" s="87" t="n">
        <x:f>Q705+R705</x:f>
        <x:v>46656000</x:v>
      </x:c>
      <x:c r="T705" s="141" t="n">
        <x:f>S705/'01 Base Costs'!$B$14</x:f>
        <x:v>93.312</x:v>
      </x:c>
      <x:c r="U705" s="87" t="n">
        <x:f>INT(T705)</x:f>
        <x:v>93</x:v>
      </x:c>
      <x:c r="V705" s="87" t="n">
        <x:f>S705-U705*'01 Base Costs'!$B$14</x:f>
        <x:v>156000</x:v>
      </x:c>
      <x:c r="W705" s="120" t="n">
        <x:f>'01 Base Costs'!$B$17</x:f>
        <x:v>140</x:v>
      </x:c>
      <x:c r="X705" s="120" t="n">
        <x:f>0</x:f>
        <x:v>0</x:v>
      </x:c>
      <x:c r="Y705" s="87" t="n">
        <x:f>T705*(W705*'01 Base Costs'!$B$7+X705)</x:f>
        <x:v>62836300800</x:v>
      </x:c>
      <x:c r="Z705" s="87" t="n">
        <x:f>T705*'01 Base Costs'!$B$8</x:f>
        <x:v>70254604800</x:v>
      </x:c>
      <x:c r="AA705" s="87" t="n">
        <x:f>Z705*'01 Base Costs'!$B$11</x:f>
        <x:v>3512730240</x:v>
      </x:c>
      <x:c r="AB705" s="87" t="n">
        <x:f>Z705-AA705</x:f>
        <x:v>66741874560</x:v>
      </x:c>
      <x:c r="AC705" s="87" t="n">
        <x:f>O705+Y705</x:f>
        <x:v>103817500800</x:v>
      </x:c>
      <x:c r="AD705" s="87" t="n">
        <x:f>AB705-AC705</x:f>
        <x:v>-37075626240</x:v>
      </x:c>
      <x:c r="AE705" s="87" t="n">
        <x:f>AD705/D705</x:f>
        <x:v>-3089635520</x:v>
      </x:c>
      <x:c r="AF705" s="87" t="n">
        <x:f>AD705/P705</x:f>
        <x:v>-1544817760</x:v>
      </x:c>
      <x:c r="AG705" s="87" t="n">
        <x:f>IF(T705=0,0,AC705/T705/(1-'01 Base Costs'!$B$11))</x:f>
        <x:v>1171141758.7177823</x:v>
      </x:c>
      <x:c r="AH705" s="88" t="str">
        <x:f>IF(AD705&gt;0,"PROFIT","LOSS")</x:f>
        <x:v>LOSS</x:v>
      </x:c>
      <x:c r="AI705" s="89" t="str">
        <x:v>Official 12M Omega sale example. MCT purchased with PLEX in NES. Base single extractor.</x:v>
      </x:c>
    </x:row>
    <x:row r="706">
      <x:c r="A706" s="86" t="n">
        <x:v>704</x:v>
      </x:c>
      <x:c r="B706" s="88" t="str">
        <x:v>Sale/Event</x:v>
      </x:c>
      <x:c r="C706" s="88" t="str">
        <x:v>Winter 12M Omega sale</x:v>
      </x:c>
      <x:c r="D706" s="88" t="n">
        <x:v>12</x:v>
      </x:c>
      <x:c r="E706" s="88" t="n">
        <x:v>2</x:v>
      </x:c>
      <x:c r="F706" s="88" t="str">
        <x:v>NES base MCT</x:v>
      </x:c>
      <x:c r="G706" s="88" t="str">
        <x:v>NES 5-pack extractor</x:v>
      </x:c>
      <x:c r="H706" s="87" t="n">
        <x:f>'01 Base Costs'!$B$28</x:f>
        <x:v>2700</x:v>
      </x:c>
      <x:c r="I706" s="87" t="n">
        <x:f>'01 Base Costs'!$B$16</x:f>
        <x:v>485</x:v>
      </x:c>
      <x:c r="J706" s="87" t="n">
        <x:f>0</x:f>
        <x:v>0</x:v>
      </x:c>
      <x:c r="K706" s="87" t="n">
        <x:f>D706*(E706-1)*I706</x:f>
        <x:v>5820</x:v>
      </x:c>
      <x:c r="L706" s="87" t="n">
        <x:f>D706*(E706-1)*J706</x:f>
        <x:v>0</x:v>
      </x:c>
      <x:c r="M706" s="87" t="n">
        <x:f>0</x:f>
        <x:v>0</x:v>
      </x:c>
      <x:c r="N706" s="87" t="n">
        <x:f>H706+K706+M706</x:f>
        <x:v>8520</x:v>
      </x:c>
      <x:c r="O706" s="87" t="n">
        <x:f>N706*'01 Base Costs'!$B$7+L706</x:f>
        <x:v>40981200000</x:v>
      </x:c>
      <x:c r="P706" s="87" t="n">
        <x:f>D706*E706</x:f>
        <x:v>24</x:v>
      </x:c>
      <x:c r="Q706" s="87" t="n">
        <x:f>P706*'01 Base Costs'!$B$12</x:f>
        <x:v>46656000</x:v>
      </x:c>
      <x:c r="R706" s="87" t="n">
        <x:f>0</x:f>
        <x:v>0</x:v>
      </x:c>
      <x:c r="S706" s="87" t="n">
        <x:f>Q706+R706</x:f>
        <x:v>46656000</x:v>
      </x:c>
      <x:c r="T706" s="141" t="n">
        <x:f>S706/'01 Base Costs'!$B$14</x:f>
        <x:v>93.312</x:v>
      </x:c>
      <x:c r="U706" s="87" t="n">
        <x:f>INT(T706)</x:f>
        <x:v>93</x:v>
      </x:c>
      <x:c r="V706" s="87" t="n">
        <x:f>S706-U706*'01 Base Costs'!$B$14</x:f>
        <x:v>156000</x:v>
      </x:c>
      <x:c r="W706" s="120" t="n">
        <x:f>'01 Base Costs'!$B$18/5</x:f>
        <x:v>126</x:v>
      </x:c>
      <x:c r="X706" s="120" t="n">
        <x:f>0</x:f>
        <x:v>0</x:v>
      </x:c>
      <x:c r="Y706" s="87" t="n">
        <x:f>T706*(W706*'01 Base Costs'!$B$7+X706)</x:f>
        <x:v>56552670720</x:v>
      </x:c>
      <x:c r="Z706" s="87" t="n">
        <x:f>T706*'01 Base Costs'!$B$8</x:f>
        <x:v>70254604800</x:v>
      </x:c>
      <x:c r="AA706" s="87" t="n">
        <x:f>Z706*'01 Base Costs'!$B$11</x:f>
        <x:v>3512730240</x:v>
      </x:c>
      <x:c r="AB706" s="87" t="n">
        <x:f>Z706-AA706</x:f>
        <x:v>66741874560</x:v>
      </x:c>
      <x:c r="AC706" s="87" t="n">
        <x:f>O706+Y706</x:f>
        <x:v>97533870720</x:v>
      </x:c>
      <x:c r="AD706" s="87" t="n">
        <x:f>AB706-AC706</x:f>
        <x:v>-30791996160</x:v>
      </x:c>
      <x:c r="AE706" s="87" t="n">
        <x:f>AD706/D706</x:f>
        <x:v>-2565999680</x:v>
      </x:c>
      <x:c r="AF706" s="87" t="n">
        <x:f>AD706/P706</x:f>
        <x:v>-1282999840</x:v>
      </x:c>
      <x:c r="AG706" s="87" t="n">
        <x:f>IF(T706=0,0,AC706/T706/(1-'01 Base Costs'!$B$11))</x:f>
        <x:v>1100257548.1914663</x:v>
      </x:c>
      <x:c r="AH706" s="88" t="str">
        <x:f>IF(AD706&gt;0,"PROFIT","LOSS")</x:f>
        <x:v>LOSS</x:v>
      </x:c>
      <x:c r="AI706" s="89" t="str">
        <x:v>Official 12M Omega sale example. MCT purchased with PLEX in NES. Base 5-pack average.</x:v>
      </x:c>
    </x:row>
    <x:row r="707">
      <x:c r="A707" s="86" t="n">
        <x:v>705</x:v>
      </x:c>
      <x:c r="B707" s="88" t="str">
        <x:v>Sale/Event</x:v>
      </x:c>
      <x:c r="C707" s="88" t="str">
        <x:v>Winter 12M Omega sale</x:v>
      </x:c>
      <x:c r="D707" s="88" t="n">
        <x:v>12</x:v>
      </x:c>
      <x:c r="E707" s="88" t="n">
        <x:v>2</x:v>
      </x:c>
      <x:c r="F707" s="88" t="str">
        <x:v>NES base MCT</x:v>
      </x:c>
      <x:c r="G707" s="88" t="str">
        <x:v>NES 10-pack extractor</x:v>
      </x:c>
      <x:c r="H707" s="87" t="n">
        <x:f>'01 Base Costs'!$B$28</x:f>
        <x:v>2700</x:v>
      </x:c>
      <x:c r="I707" s="87" t="n">
        <x:f>'01 Base Costs'!$B$16</x:f>
        <x:v>485</x:v>
      </x:c>
      <x:c r="J707" s="87" t="n">
        <x:f>0</x:f>
        <x:v>0</x:v>
      </x:c>
      <x:c r="K707" s="87" t="n">
        <x:f>D707*(E707-1)*I707</x:f>
        <x:v>5820</x:v>
      </x:c>
      <x:c r="L707" s="87" t="n">
        <x:f>D707*(E707-1)*J707</x:f>
        <x:v>0</x:v>
      </x:c>
      <x:c r="M707" s="87" t="n">
        <x:f>0</x:f>
        <x:v>0</x:v>
      </x:c>
      <x:c r="N707" s="87" t="n">
        <x:f>H707+K707+M707</x:f>
        <x:v>8520</x:v>
      </x:c>
      <x:c r="O707" s="87" t="n">
        <x:f>N707*'01 Base Costs'!$B$7+L707</x:f>
        <x:v>40981200000</x:v>
      </x:c>
      <x:c r="P707" s="87" t="n">
        <x:f>D707*E707</x:f>
        <x:v>24</x:v>
      </x:c>
      <x:c r="Q707" s="87" t="n">
        <x:f>P707*'01 Base Costs'!$B$12</x:f>
        <x:v>46656000</x:v>
      </x:c>
      <x:c r="R707" s="87" t="n">
        <x:f>0</x:f>
        <x:v>0</x:v>
      </x:c>
      <x:c r="S707" s="87" t="n">
        <x:f>Q707+R707</x:f>
        <x:v>46656000</x:v>
      </x:c>
      <x:c r="T707" s="141" t="n">
        <x:f>S707/'01 Base Costs'!$B$14</x:f>
        <x:v>93.312</x:v>
      </x:c>
      <x:c r="U707" s="87" t="n">
        <x:f>INT(T707)</x:f>
        <x:v>93</x:v>
      </x:c>
      <x:c r="V707" s="87" t="n">
        <x:f>S707-U707*'01 Base Costs'!$B$14</x:f>
        <x:v>156000</x:v>
      </x:c>
      <x:c r="W707" s="120" t="n">
        <x:f>'01 Base Costs'!$B$19/10</x:f>
        <x:v>119</x:v>
      </x:c>
      <x:c r="X707" s="120" t="n">
        <x:f>0</x:f>
        <x:v>0</x:v>
      </x:c>
      <x:c r="Y707" s="87" t="n">
        <x:f>T707*(W707*'01 Base Costs'!$B$7+X707)</x:f>
        <x:v>53410855680</x:v>
      </x:c>
      <x:c r="Z707" s="87" t="n">
        <x:f>T707*'01 Base Costs'!$B$8</x:f>
        <x:v>70254604800</x:v>
      </x:c>
      <x:c r="AA707" s="87" t="n">
        <x:f>Z707*'01 Base Costs'!$B$11</x:f>
        <x:v>3512730240</x:v>
      </x:c>
      <x:c r="AB707" s="87" t="n">
        <x:f>Z707-AA707</x:f>
        <x:v>66741874560</x:v>
      </x:c>
      <x:c r="AC707" s="87" t="n">
        <x:f>O707+Y707</x:f>
        <x:v>94392055680</x:v>
      </x:c>
      <x:c r="AD707" s="87" t="n">
        <x:f>AB707-AC707</x:f>
        <x:v>-27650181120</x:v>
      </x:c>
      <x:c r="AE707" s="87" t="n">
        <x:f>AD707/D707</x:f>
        <x:v>-2304181760</x:v>
      </x:c>
      <x:c r="AF707" s="87" t="n">
        <x:f>AD707/P707</x:f>
        <x:v>-1152090880</x:v>
      </x:c>
      <x:c r="AG707" s="87" t="n">
        <x:f>IF(T707=0,0,AC707/T707/(1-'01 Base Costs'!$B$11))</x:f>
        <x:v>1064815442.9283085</x:v>
      </x:c>
      <x:c r="AH707" s="88" t="str">
        <x:f>IF(AD707&gt;0,"PROFIT","LOSS")</x:f>
        <x:v>LOSS</x:v>
      </x:c>
      <x:c r="AI707" s="89" t="str">
        <x:v>Official 12M Omega sale example. MCT purchased with PLEX in NES. Base 10-pack average.</x:v>
      </x:c>
    </x:row>
    <x:row r="708">
      <x:c r="A708" s="86" t="n">
        <x:v>706</x:v>
      </x:c>
      <x:c r="B708" s="88" t="str">
        <x:v>Sale/Event</x:v>
      </x:c>
      <x:c r="C708" s="88" t="str">
        <x:v>Winter 12M Omega sale</x:v>
      </x:c>
      <x:c r="D708" s="88" t="n">
        <x:v>12</x:v>
      </x:c>
      <x:c r="E708" s="88" t="n">
        <x:v>2</x:v>
      </x:c>
      <x:c r="F708" s="88" t="str">
        <x:v>NES base MCT</x:v>
      </x:c>
      <x:c r="G708" s="88" t="str">
        <x:v>NES 50-pack extractor</x:v>
      </x:c>
      <x:c r="H708" s="87" t="n">
        <x:f>'01 Base Costs'!$B$28</x:f>
        <x:v>2700</x:v>
      </x:c>
      <x:c r="I708" s="87" t="n">
        <x:f>'01 Base Costs'!$B$16</x:f>
        <x:v>485</x:v>
      </x:c>
      <x:c r="J708" s="87" t="n">
        <x:f>0</x:f>
        <x:v>0</x:v>
      </x:c>
      <x:c r="K708" s="87" t="n">
        <x:f>D708*(E708-1)*I708</x:f>
        <x:v>5820</x:v>
      </x:c>
      <x:c r="L708" s="87" t="n">
        <x:f>D708*(E708-1)*J708</x:f>
        <x:v>0</x:v>
      </x:c>
      <x:c r="M708" s="87" t="n">
        <x:f>0</x:f>
        <x:v>0</x:v>
      </x:c>
      <x:c r="N708" s="87" t="n">
        <x:f>H708+K708+M708</x:f>
        <x:v>8520</x:v>
      </x:c>
      <x:c r="O708" s="87" t="n">
        <x:f>N708*'01 Base Costs'!$B$7+L708</x:f>
        <x:v>40981200000</x:v>
      </x:c>
      <x:c r="P708" s="87" t="n">
        <x:f>D708*E708</x:f>
        <x:v>24</x:v>
      </x:c>
      <x:c r="Q708" s="87" t="n">
        <x:f>P708*'01 Base Costs'!$B$12</x:f>
        <x:v>46656000</x:v>
      </x:c>
      <x:c r="R708" s="87" t="n">
        <x:f>0</x:f>
        <x:v>0</x:v>
      </x:c>
      <x:c r="S708" s="87" t="n">
        <x:f>Q708+R708</x:f>
        <x:v>46656000</x:v>
      </x:c>
      <x:c r="T708" s="141" t="n">
        <x:f>S708/'01 Base Costs'!$B$14</x:f>
        <x:v>93.312</x:v>
      </x:c>
      <x:c r="U708" s="87" t="n">
        <x:f>INT(T708)</x:f>
        <x:v>93</x:v>
      </x:c>
      <x:c r="V708" s="87" t="n">
        <x:f>S708-U708*'01 Base Costs'!$B$14</x:f>
        <x:v>156000</x:v>
      </x:c>
      <x:c r="W708" s="120" t="n">
        <x:f>'01 Base Costs'!$B$20/50</x:f>
        <x:v>112</x:v>
      </x:c>
      <x:c r="X708" s="120" t="n">
        <x:f>0</x:f>
        <x:v>0</x:v>
      </x:c>
      <x:c r="Y708" s="87" t="n">
        <x:f>T708*(W708*'01 Base Costs'!$B$7+X708)</x:f>
        <x:v>50269040640</x:v>
      </x:c>
      <x:c r="Z708" s="87" t="n">
        <x:f>T708*'01 Base Costs'!$B$8</x:f>
        <x:v>70254604800</x:v>
      </x:c>
      <x:c r="AA708" s="87" t="n">
        <x:f>Z708*'01 Base Costs'!$B$11</x:f>
        <x:v>3512730240</x:v>
      </x:c>
      <x:c r="AB708" s="87" t="n">
        <x:f>Z708-AA708</x:f>
        <x:v>66741874560</x:v>
      </x:c>
      <x:c r="AC708" s="87" t="n">
        <x:f>O708+Y708</x:f>
        <x:v>91250240640</x:v>
      </x:c>
      <x:c r="AD708" s="87" t="n">
        <x:f>AB708-AC708</x:f>
        <x:v>-24508366080</x:v>
      </x:c>
      <x:c r="AE708" s="87" t="n">
        <x:f>AD708/D708</x:f>
        <x:v>-2042363840</x:v>
      </x:c>
      <x:c r="AF708" s="87" t="n">
        <x:f>AD708/P708</x:f>
        <x:v>-1021181920</x:v>
      </x:c>
      <x:c r="AG708" s="87" t="n">
        <x:f>IF(T708=0,0,AC708/T708/(1-'01 Base Costs'!$B$11))</x:f>
        <x:v>1029373337.6651506</x:v>
      </x:c>
      <x:c r="AH708" s="88" t="str">
        <x:f>IF(AD708&gt;0,"PROFIT","LOSS")</x:f>
        <x:v>LOSS</x:v>
      </x:c>
      <x:c r="AI708" s="89" t="str">
        <x:v>Official 12M Omega sale example. MCT purchased with PLEX in NES. Base 50-pack average.</x:v>
      </x:c>
    </x:row>
    <x:row r="709">
      <x:c r="A709" s="86" t="n">
        <x:v>707</x:v>
      </x:c>
      <x:c r="B709" s="88" t="str">
        <x:v>Sale/Event</x:v>
      </x:c>
      <x:c r="C709" s="88" t="str">
        <x:v>Winter 12M Omega sale</x:v>
      </x:c>
      <x:c r="D709" s="88" t="n">
        <x:v>12</x:v>
      </x:c>
      <x:c r="E709" s="88" t="n">
        <x:v>2</x:v>
      </x:c>
      <x:c r="F709" s="88" t="str">
        <x:v>NES base MCT</x:v>
      </x:c>
      <x:c r="G709" s="88" t="str">
        <x:v>NES 3-for-2 extractor sale</x:v>
      </x:c>
      <x:c r="H709" s="87" t="n">
        <x:f>'01 Base Costs'!$B$28</x:f>
        <x:v>2700</x:v>
      </x:c>
      <x:c r="I709" s="87" t="n">
        <x:f>'01 Base Costs'!$B$16</x:f>
        <x:v>485</x:v>
      </x:c>
      <x:c r="J709" s="87" t="n">
        <x:f>0</x:f>
        <x:v>0</x:v>
      </x:c>
      <x:c r="K709" s="87" t="n">
        <x:f>D709*(E709-1)*I709</x:f>
        <x:v>5820</x:v>
      </x:c>
      <x:c r="L709" s="87" t="n">
        <x:f>D709*(E709-1)*J709</x:f>
        <x:v>0</x:v>
      </x:c>
      <x:c r="M709" s="87" t="n">
        <x:f>0</x:f>
        <x:v>0</x:v>
      </x:c>
      <x:c r="N709" s="87" t="n">
        <x:f>H709+K709+M709</x:f>
        <x:v>8520</x:v>
      </x:c>
      <x:c r="O709" s="87" t="n">
        <x:f>N709*'01 Base Costs'!$B$7+L709</x:f>
        <x:v>40981200000</x:v>
      </x:c>
      <x:c r="P709" s="87" t="n">
        <x:f>D709*E709</x:f>
        <x:v>24</x:v>
      </x:c>
      <x:c r="Q709" s="87" t="n">
        <x:f>P709*'01 Base Costs'!$B$12</x:f>
        <x:v>46656000</x:v>
      </x:c>
      <x:c r="R709" s="87" t="n">
        <x:f>0</x:f>
        <x:v>0</x:v>
      </x:c>
      <x:c r="S709" s="87" t="n">
        <x:f>Q709+R709</x:f>
        <x:v>46656000</x:v>
      </x:c>
      <x:c r="T709" s="141" t="n">
        <x:f>S709/'01 Base Costs'!$B$14</x:f>
        <x:v>93.312</x:v>
      </x:c>
      <x:c r="U709" s="87" t="n">
        <x:f>INT(T709)</x:f>
        <x:v>93</x:v>
      </x:c>
      <x:c r="V709" s="87" t="n">
        <x:f>S709-U709*'01 Base Costs'!$B$14</x:f>
        <x:v>156000</x:v>
      </x:c>
      <x:c r="W709" s="120" t="n">
        <x:f>'01 Base Costs'!$B$17*2/3</x:f>
        <x:v>93.33333333333333</x:v>
      </x:c>
      <x:c r="X709" s="120" t="n">
        <x:f>0</x:f>
        <x:v>0</x:v>
      </x:c>
      <x:c r="Y709" s="87" t="n">
        <x:f>T709*(W709*'01 Base Costs'!$B$7+X709)</x:f>
        <x:v>41890867200</x:v>
      </x:c>
      <x:c r="Z709" s="87" t="n">
        <x:f>T709*'01 Base Costs'!$B$8</x:f>
        <x:v>70254604800</x:v>
      </x:c>
      <x:c r="AA709" s="87" t="n">
        <x:f>Z709*'01 Base Costs'!$B$11</x:f>
        <x:v>3512730240</x:v>
      </x:c>
      <x:c r="AB709" s="87" t="n">
        <x:f>Z709-AA709</x:f>
        <x:v>66741874560</x:v>
      </x:c>
      <x:c r="AC709" s="87" t="n">
        <x:f>O709+Y709</x:f>
        <x:v>82872067200</x:v>
      </x:c>
      <x:c r="AD709" s="87" t="n">
        <x:f>AB709-AC709</x:f>
        <x:v>-16130192640</x:v>
      </x:c>
      <x:c r="AE709" s="87" t="n">
        <x:f>AD709/D709</x:f>
        <x:v>-1344182720</x:v>
      </x:c>
      <x:c r="AF709" s="87" t="n">
        <x:f>AD709/P709</x:f>
        <x:v>-672091360</x:v>
      </x:c>
      <x:c r="AG709" s="87" t="n">
        <x:f>IF(T709=0,0,AC709/T709/(1-'01 Base Costs'!$B$11))</x:f>
        <x:v>934861056.9633962</x:v>
      </x:c>
      <x:c r="AH709" s="88" t="str">
        <x:f>IF(AD709&gt;0,"PROFIT","LOSS")</x:f>
        <x:v>LOSS</x:v>
      </x:c>
      <x:c r="AI709" s="89" t="str">
        <x:v>Official 12M Omega sale example. MCT purchased with PLEX in NES. Extractor 3-for-2 sale.</x:v>
      </x:c>
    </x:row>
    <x:row r="710">
      <x:c r="A710" s="86" t="n">
        <x:v>708</x:v>
      </x:c>
      <x:c r="B710" s="88" t="str">
        <x:v>Sale/Event</x:v>
      </x:c>
      <x:c r="C710" s="88" t="str">
        <x:v>Winter 12M Omega sale</x:v>
      </x:c>
      <x:c r="D710" s="88" t="n">
        <x:v>12</x:v>
      </x:c>
      <x:c r="E710" s="88" t="n">
        <x:v>2</x:v>
      </x:c>
      <x:c r="F710" s="88" t="str">
        <x:v>NES base MCT</x:v>
      </x:c>
      <x:c r="G710" s="88" t="str">
        <x:v>NES 2-for-1 extractor sale</x:v>
      </x:c>
      <x:c r="H710" s="87" t="n">
        <x:f>'01 Base Costs'!$B$28</x:f>
        <x:v>2700</x:v>
      </x:c>
      <x:c r="I710" s="87" t="n">
        <x:f>'01 Base Costs'!$B$16</x:f>
        <x:v>485</x:v>
      </x:c>
      <x:c r="J710" s="87" t="n">
        <x:f>0</x:f>
        <x:v>0</x:v>
      </x:c>
      <x:c r="K710" s="87" t="n">
        <x:f>D710*(E710-1)*I710</x:f>
        <x:v>5820</x:v>
      </x:c>
      <x:c r="L710" s="87" t="n">
        <x:f>D710*(E710-1)*J710</x:f>
        <x:v>0</x:v>
      </x:c>
      <x:c r="M710" s="87" t="n">
        <x:f>0</x:f>
        <x:v>0</x:v>
      </x:c>
      <x:c r="N710" s="87" t="n">
        <x:f>H710+K710+M710</x:f>
        <x:v>8520</x:v>
      </x:c>
      <x:c r="O710" s="87" t="n">
        <x:f>N710*'01 Base Costs'!$B$7+L710</x:f>
        <x:v>40981200000</x:v>
      </x:c>
      <x:c r="P710" s="87" t="n">
        <x:f>D710*E710</x:f>
        <x:v>24</x:v>
      </x:c>
      <x:c r="Q710" s="87" t="n">
        <x:f>P710*'01 Base Costs'!$B$12</x:f>
        <x:v>46656000</x:v>
      </x:c>
      <x:c r="R710" s="87" t="n">
        <x:f>0</x:f>
        <x:v>0</x:v>
      </x:c>
      <x:c r="S710" s="87" t="n">
        <x:f>Q710+R710</x:f>
        <x:v>46656000</x:v>
      </x:c>
      <x:c r="T710" s="141" t="n">
        <x:f>S710/'01 Base Costs'!$B$14</x:f>
        <x:v>93.312</x:v>
      </x:c>
      <x:c r="U710" s="87" t="n">
        <x:f>INT(T710)</x:f>
        <x:v>93</x:v>
      </x:c>
      <x:c r="V710" s="87" t="n">
        <x:f>S710-U710*'01 Base Costs'!$B$14</x:f>
        <x:v>156000</x:v>
      </x:c>
      <x:c r="W710" s="120" t="n">
        <x:f>'01 Base Costs'!$B$17/2</x:f>
        <x:v>70</x:v>
      </x:c>
      <x:c r="X710" s="120" t="n">
        <x:f>0</x:f>
        <x:v>0</x:v>
      </x:c>
      <x:c r="Y710" s="87" t="n">
        <x:f>T710*(W710*'01 Base Costs'!$B$7+X710)</x:f>
        <x:v>31418150400</x:v>
      </x:c>
      <x:c r="Z710" s="87" t="n">
        <x:f>T710*'01 Base Costs'!$B$8</x:f>
        <x:v>70254604800</x:v>
      </x:c>
      <x:c r="AA710" s="87" t="n">
        <x:f>Z710*'01 Base Costs'!$B$11</x:f>
        <x:v>3512730240</x:v>
      </x:c>
      <x:c r="AB710" s="87" t="n">
        <x:f>Z710-AA710</x:f>
        <x:v>66741874560</x:v>
      </x:c>
      <x:c r="AC710" s="87" t="n">
        <x:f>O710+Y710</x:f>
        <x:v>72399350400</x:v>
      </x:c>
      <x:c r="AD710" s="87" t="n">
        <x:f>AB710-AC710</x:f>
        <x:v>-5657475840</x:v>
      </x:c>
      <x:c r="AE710" s="87" t="n">
        <x:f>AD710/D710</x:f>
        <x:v>-471456320</x:v>
      </x:c>
      <x:c r="AF710" s="87" t="n">
        <x:f>AD710/P710</x:f>
        <x:v>-235728160</x:v>
      </x:c>
      <x:c r="AG710" s="87" t="n">
        <x:f>IF(T710=0,0,AC710/T710/(1-'01 Base Costs'!$B$11))</x:f>
        <x:v>816720706.0862032</x:v>
      </x:c>
      <x:c r="AH710" s="88" t="str">
        <x:f>IF(AD710&gt;0,"PROFIT","LOSS")</x:f>
        <x:v>LOSS</x:v>
      </x:c>
      <x:c r="AI710" s="89" t="str">
        <x:v>Official 12M Omega sale example. MCT purchased with PLEX in NES. Extractor 2-for-1 sale.</x:v>
      </x:c>
    </x:row>
    <x:row r="711">
      <x:c r="A711" s="86" t="n">
        <x:v>709</x:v>
      </x:c>
      <x:c r="B711" s="88" t="str">
        <x:v>Sale/Event</x:v>
      </x:c>
      <x:c r="C711" s="88" t="str">
        <x:v>Winter 12M Omega sale</x:v>
      </x:c>
      <x:c r="D711" s="88" t="n">
        <x:v>12</x:v>
      </x:c>
      <x:c r="E711" s="88" t="n">
        <x:v>2</x:v>
      </x:c>
      <x:c r="F711" s="88" t="str">
        <x:v>NES base MCT</x:v>
      </x:c>
      <x:c r="G711" s="88" t="str">
        <x:v>NES 10-pack extractor 20% sale</x:v>
      </x:c>
      <x:c r="H711" s="87" t="n">
        <x:f>'01 Base Costs'!$B$28</x:f>
        <x:v>2700</x:v>
      </x:c>
      <x:c r="I711" s="87" t="n">
        <x:f>'01 Base Costs'!$B$16</x:f>
        <x:v>485</x:v>
      </x:c>
      <x:c r="J711" s="87" t="n">
        <x:f>0</x:f>
        <x:v>0</x:v>
      </x:c>
      <x:c r="K711" s="87" t="n">
        <x:f>D711*(E711-1)*I711</x:f>
        <x:v>5820</x:v>
      </x:c>
      <x:c r="L711" s="87" t="n">
        <x:f>D711*(E711-1)*J711</x:f>
        <x:v>0</x:v>
      </x:c>
      <x:c r="M711" s="87" t="n">
        <x:f>0</x:f>
        <x:v>0</x:v>
      </x:c>
      <x:c r="N711" s="87" t="n">
        <x:f>H711+K711+M711</x:f>
        <x:v>8520</x:v>
      </x:c>
      <x:c r="O711" s="87" t="n">
        <x:f>N711*'01 Base Costs'!$B$7+L711</x:f>
        <x:v>40981200000</x:v>
      </x:c>
      <x:c r="P711" s="87" t="n">
        <x:f>D711*E711</x:f>
        <x:v>24</x:v>
      </x:c>
      <x:c r="Q711" s="87" t="n">
        <x:f>P711*'01 Base Costs'!$B$12</x:f>
        <x:v>46656000</x:v>
      </x:c>
      <x:c r="R711" s="87" t="n">
        <x:f>0</x:f>
        <x:v>0</x:v>
      </x:c>
      <x:c r="S711" s="87" t="n">
        <x:f>Q711+R711</x:f>
        <x:v>46656000</x:v>
      </x:c>
      <x:c r="T711" s="141" t="n">
        <x:f>S711/'01 Base Costs'!$B$14</x:f>
        <x:v>93.312</x:v>
      </x:c>
      <x:c r="U711" s="87" t="n">
        <x:f>INT(T711)</x:f>
        <x:v>93</x:v>
      </x:c>
      <x:c r="V711" s="87" t="n">
        <x:f>S711-U711*'01 Base Costs'!$B$14</x:f>
        <x:v>156000</x:v>
      </x:c>
      <x:c r="W711" s="120" t="n">
        <x:f>'01 Base Costs'!$B$19*0.8/10</x:f>
        <x:v>95.2</x:v>
      </x:c>
      <x:c r="X711" s="120" t="n">
        <x:f>0</x:f>
        <x:v>0</x:v>
      </x:c>
      <x:c r="Y711" s="87" t="n">
        <x:f>T711*(W711*'01 Base Costs'!$B$7+X711)</x:f>
        <x:v>42728684544</x:v>
      </x:c>
      <x:c r="Z711" s="87" t="n">
        <x:f>T711*'01 Base Costs'!$B$8</x:f>
        <x:v>70254604800</x:v>
      </x:c>
      <x:c r="AA711" s="87" t="n">
        <x:f>Z711*'01 Base Costs'!$B$11</x:f>
        <x:v>3512730240</x:v>
      </x:c>
      <x:c r="AB711" s="87" t="n">
        <x:f>Z711-AA711</x:f>
        <x:v>66741874560</x:v>
      </x:c>
      <x:c r="AC711" s="87" t="n">
        <x:f>O711+Y711</x:f>
        <x:v>83709884544</x:v>
      </x:c>
      <x:c r="AD711" s="87" t="n">
        <x:f>AB711-AC711</x:f>
        <x:v>-16968009984</x:v>
      </x:c>
      <x:c r="AE711" s="87" t="n">
        <x:f>AD711/D711</x:f>
        <x:v>-1414000832</x:v>
      </x:c>
      <x:c r="AF711" s="87" t="n">
        <x:f>AD711/P711</x:f>
        <x:v>-707000416</x:v>
      </x:c>
      <x:c r="AG711" s="87" t="n">
        <x:f>IF(T711=0,0,AC711/T711/(1-'01 Base Costs'!$B$11))</x:f>
        <x:v>944312285.0335716</x:v>
      </x:c>
      <x:c r="AH711" s="88" t="str">
        <x:f>IF(AD711&gt;0,"PROFIT","LOSS")</x:f>
        <x:v>LOSS</x:v>
      </x:c>
      <x:c r="AI711" s="89" t="str">
        <x:v>Official 12M Omega sale example. MCT purchased with PLEX in NES. 10-pack at 20% off.</x:v>
      </x:c>
    </x:row>
    <x:row r="712">
      <x:c r="A712" s="86" t="n">
        <x:v>710</x:v>
      </x:c>
      <x:c r="B712" s="88" t="str">
        <x:v>Sale/Event</x:v>
      </x:c>
      <x:c r="C712" s="88" t="str">
        <x:v>Winter 12M Omega sale</x:v>
      </x:c>
      <x:c r="D712" s="88" t="n">
        <x:v>12</x:v>
      </x:c>
      <x:c r="E712" s="88" t="n">
        <x:v>2</x:v>
      </x:c>
      <x:c r="F712" s="88" t="str">
        <x:v>NES base MCT</x:v>
      </x:c>
      <x:c r="G712" s="88" t="str">
        <x:v>NES 50-pack extractor 20% sale</x:v>
      </x:c>
      <x:c r="H712" s="87" t="n">
        <x:f>'01 Base Costs'!$B$28</x:f>
        <x:v>2700</x:v>
      </x:c>
      <x:c r="I712" s="87" t="n">
        <x:f>'01 Base Costs'!$B$16</x:f>
        <x:v>485</x:v>
      </x:c>
      <x:c r="J712" s="87" t="n">
        <x:f>0</x:f>
        <x:v>0</x:v>
      </x:c>
      <x:c r="K712" s="87" t="n">
        <x:f>D712*(E712-1)*I712</x:f>
        <x:v>5820</x:v>
      </x:c>
      <x:c r="L712" s="87" t="n">
        <x:f>D712*(E712-1)*J712</x:f>
        <x:v>0</x:v>
      </x:c>
      <x:c r="M712" s="87" t="n">
        <x:f>0</x:f>
        <x:v>0</x:v>
      </x:c>
      <x:c r="N712" s="87" t="n">
        <x:f>H712+K712+M712</x:f>
        <x:v>8520</x:v>
      </x:c>
      <x:c r="O712" s="87" t="n">
        <x:f>N712*'01 Base Costs'!$B$7+L712</x:f>
        <x:v>40981200000</x:v>
      </x:c>
      <x:c r="P712" s="87" t="n">
        <x:f>D712*E712</x:f>
        <x:v>24</x:v>
      </x:c>
      <x:c r="Q712" s="87" t="n">
        <x:f>P712*'01 Base Costs'!$B$12</x:f>
        <x:v>46656000</x:v>
      </x:c>
      <x:c r="R712" s="87" t="n">
        <x:f>0</x:f>
        <x:v>0</x:v>
      </x:c>
      <x:c r="S712" s="87" t="n">
        <x:f>Q712+R712</x:f>
        <x:v>46656000</x:v>
      </x:c>
      <x:c r="T712" s="141" t="n">
        <x:f>S712/'01 Base Costs'!$B$14</x:f>
        <x:v>93.312</x:v>
      </x:c>
      <x:c r="U712" s="87" t="n">
        <x:f>INT(T712)</x:f>
        <x:v>93</x:v>
      </x:c>
      <x:c r="V712" s="87" t="n">
        <x:f>S712-U712*'01 Base Costs'!$B$14</x:f>
        <x:v>156000</x:v>
      </x:c>
      <x:c r="W712" s="120" t="n">
        <x:f>'01 Base Costs'!$B$20*0.8/50</x:f>
        <x:v>89.6</x:v>
      </x:c>
      <x:c r="X712" s="120" t="n">
        <x:f>0</x:f>
        <x:v>0</x:v>
      </x:c>
      <x:c r="Y712" s="87" t="n">
        <x:f>T712*(W712*'01 Base Costs'!$B$7+X712)</x:f>
        <x:v>40215232512</x:v>
      </x:c>
      <x:c r="Z712" s="87" t="n">
        <x:f>T712*'01 Base Costs'!$B$8</x:f>
        <x:v>70254604800</x:v>
      </x:c>
      <x:c r="AA712" s="87" t="n">
        <x:f>Z712*'01 Base Costs'!$B$11</x:f>
        <x:v>3512730240</x:v>
      </x:c>
      <x:c r="AB712" s="87" t="n">
        <x:f>Z712-AA712</x:f>
        <x:v>66741874560</x:v>
      </x:c>
      <x:c r="AC712" s="87" t="n">
        <x:f>O712+Y712</x:f>
        <x:v>81196432512</x:v>
      </x:c>
      <x:c r="AD712" s="87" t="n">
        <x:f>AB712-AC712</x:f>
        <x:v>-14454557952</x:v>
      </x:c>
      <x:c r="AE712" s="87" t="n">
        <x:f>AD712/D712</x:f>
        <x:v>-1204546496</x:v>
      </x:c>
      <x:c r="AF712" s="87" t="n">
        <x:f>AD712/P712</x:f>
        <x:v>-602273248</x:v>
      </x:c>
      <x:c r="AG712" s="87" t="n">
        <x:f>IF(T712=0,0,AC712/T712/(1-'01 Base Costs'!$B$11))</x:f>
        <x:v>915958600.8230454</x:v>
      </x:c>
      <x:c r="AH712" s="88" t="str">
        <x:f>IF(AD712&gt;0,"PROFIT","LOSS")</x:f>
        <x:v>LOSS</x:v>
      </x:c>
      <x:c r="AI712" s="89" t="str">
        <x:v>Official 12M Omega sale example. MCT purchased with PLEX in NES. 50-pack at 20% off.</x:v>
      </x:c>
    </x:row>
    <x:row r="713">
      <x:c r="A713" s="86" t="n">
        <x:v>711</x:v>
      </x:c>
      <x:c r="B713" s="88" t="str">
        <x:v>Sale/Event</x:v>
      </x:c>
      <x:c r="C713" s="88" t="str">
        <x:v>Winter 12M Omega sale</x:v>
      </x:c>
      <x:c r="D713" s="88" t="n">
        <x:v>12</x:v>
      </x:c>
      <x:c r="E713" s="88" t="n">
        <x:v>2</x:v>
      </x:c>
      <x:c r="F713" s="88" t="str">
        <x:v>NES base MCT</x:v>
      </x:c>
      <x:c r="G713" s="88" t="str">
        <x:v>Market Skill Extractor</x:v>
      </x:c>
      <x:c r="H713" s="87" t="n">
        <x:f>'01 Base Costs'!$B$28</x:f>
        <x:v>2700</x:v>
      </x:c>
      <x:c r="I713" s="87" t="n">
        <x:f>'01 Base Costs'!$B$16</x:f>
        <x:v>485</x:v>
      </x:c>
      <x:c r="J713" s="87" t="n">
        <x:f>0</x:f>
        <x:v>0</x:v>
      </x:c>
      <x:c r="K713" s="87" t="n">
        <x:f>D713*(E713-1)*I713</x:f>
        <x:v>5820</x:v>
      </x:c>
      <x:c r="L713" s="87" t="n">
        <x:f>D713*(E713-1)*J713</x:f>
        <x:v>0</x:v>
      </x:c>
      <x:c r="M713" s="87" t="n">
        <x:f>0</x:f>
        <x:v>0</x:v>
      </x:c>
      <x:c r="N713" s="87" t="n">
        <x:f>H713+K713+M713</x:f>
        <x:v>8520</x:v>
      </x:c>
      <x:c r="O713" s="87" t="n">
        <x:f>N713*'01 Base Costs'!$B$7+L713</x:f>
        <x:v>40981200000</x:v>
      </x:c>
      <x:c r="P713" s="87" t="n">
        <x:f>D713*E713</x:f>
        <x:v>24</x:v>
      </x:c>
      <x:c r="Q713" s="87" t="n">
        <x:f>P713*'01 Base Costs'!$B$12</x:f>
        <x:v>46656000</x:v>
      </x:c>
      <x:c r="R713" s="87" t="n">
        <x:f>0</x:f>
        <x:v>0</x:v>
      </x:c>
      <x:c r="S713" s="87" t="n">
        <x:f>Q713+R713</x:f>
        <x:v>46656000</x:v>
      </x:c>
      <x:c r="T713" s="141" t="n">
        <x:f>S713/'01 Base Costs'!$B$14</x:f>
        <x:v>93.312</x:v>
      </x:c>
      <x:c r="U713" s="87" t="n">
        <x:f>INT(T713)</x:f>
        <x:v>93</x:v>
      </x:c>
      <x:c r="V713" s="87" t="n">
        <x:f>S713-U713*'01 Base Costs'!$B$14</x:f>
        <x:v>156000</x:v>
      </x:c>
      <x:c r="W713" s="120" t="n">
        <x:f>0</x:f>
        <x:v>0</x:v>
      </x:c>
      <x:c r="X713" s="120" t="n">
        <x:f>'01 Base Costs'!$B$9</x:f>
        <x:v>463500000</x:v>
      </x:c>
      <x:c r="Y713" s="87" t="n">
        <x:f>T713*(W713*'01 Base Costs'!$B$7+X713)</x:f>
        <x:v>43250112000</x:v>
      </x:c>
      <x:c r="Z713" s="87" t="n">
        <x:f>T713*'01 Base Costs'!$B$8</x:f>
        <x:v>70254604800</x:v>
      </x:c>
      <x:c r="AA713" s="87" t="n">
        <x:f>Z713*'01 Base Costs'!$B$11</x:f>
        <x:v>3512730240</x:v>
      </x:c>
      <x:c r="AB713" s="87" t="n">
        <x:f>Z713-AA713</x:f>
        <x:v>66741874560</x:v>
      </x:c>
      <x:c r="AC713" s="87" t="n">
        <x:f>O713+Y713</x:f>
        <x:v>84231312000</x:v>
      </x:c>
      <x:c r="AD713" s="87" t="n">
        <x:f>AB713-AC713</x:f>
        <x:v>-17489437440</x:v>
      </x:c>
      <x:c r="AE713" s="87" t="n">
        <x:f>AD713/D713</x:f>
        <x:v>-1457453120</x:v>
      </x:c>
      <x:c r="AF713" s="87" t="n">
        <x:f>AD713/P713</x:f>
        <x:v>-728726560</x:v>
      </x:c>
      <x:c r="AG713" s="87" t="n">
        <x:f>IF(T713=0,0,AC713/T713/(1-'01 Base Costs'!$B$11))</x:f>
        <x:v>950194390.2967296</x:v>
      </x:c>
      <x:c r="AH713" s="88" t="str">
        <x:f>IF(AD713&gt;0,"PROFIT","LOSS")</x:f>
        <x:v>LOSS</x:v>
      </x:c>
      <x:c r="AI713" s="89" t="str">
        <x:v>Official 12M Omega sale example. MCT purchased with PLEX in NES. Extractor bought on market with ISK.</x:v>
      </x:c>
    </x:row>
    <x:row r="714">
      <x:c r="A714" s="86" t="n">
        <x:v>712</x:v>
      </x:c>
      <x:c r="B714" s="88" t="str">
        <x:v>Sale/Event</x:v>
      </x:c>
      <x:c r="C714" s="88" t="str">
        <x:v>Winter 12M Omega sale</x:v>
      </x:c>
      <x:c r="D714" s="88" t="n">
        <x:v>12</x:v>
      </x:c>
      <x:c r="E714" s="88" t="n">
        <x:v>2</x:v>
      </x:c>
      <x:c r="F714" s="88" t="str">
        <x:v>NES MCT 20% sale</x:v>
      </x:c>
      <x:c r="G714" s="88" t="str">
        <x:v>NES single extractor</x:v>
      </x:c>
      <x:c r="H714" s="87" t="n">
        <x:f>'01 Base Costs'!$B$28</x:f>
        <x:v>2700</x:v>
      </x:c>
      <x:c r="I714" s="87" t="n">
        <x:f>'01 Base Costs'!$B$16*0.8</x:f>
        <x:v>388</x:v>
      </x:c>
      <x:c r="J714" s="87" t="n">
        <x:f>0</x:f>
        <x:v>0</x:v>
      </x:c>
      <x:c r="K714" s="87" t="n">
        <x:f>D714*(E714-1)*I714</x:f>
        <x:v>4656</x:v>
      </x:c>
      <x:c r="L714" s="87" t="n">
        <x:f>D714*(E714-1)*J714</x:f>
        <x:v>0</x:v>
      </x:c>
      <x:c r="M714" s="87" t="n">
        <x:f>0</x:f>
        <x:v>0</x:v>
      </x:c>
      <x:c r="N714" s="87" t="n">
        <x:f>H714+K714+M714</x:f>
        <x:v>7356</x:v>
      </x:c>
      <x:c r="O714" s="87" t="n">
        <x:f>N714*'01 Base Costs'!$B$7+L714</x:f>
        <x:v>35382360000</x:v>
      </x:c>
      <x:c r="P714" s="87" t="n">
        <x:f>D714*E714</x:f>
        <x:v>24</x:v>
      </x:c>
      <x:c r="Q714" s="87" t="n">
        <x:f>P714*'01 Base Costs'!$B$12</x:f>
        <x:v>46656000</x:v>
      </x:c>
      <x:c r="R714" s="87" t="n">
        <x:f>0</x:f>
        <x:v>0</x:v>
      </x:c>
      <x:c r="S714" s="87" t="n">
        <x:f>Q714+R714</x:f>
        <x:v>46656000</x:v>
      </x:c>
      <x:c r="T714" s="141" t="n">
        <x:f>S714/'01 Base Costs'!$B$14</x:f>
        <x:v>93.312</x:v>
      </x:c>
      <x:c r="U714" s="87" t="n">
        <x:f>INT(T714)</x:f>
        <x:v>93</x:v>
      </x:c>
      <x:c r="V714" s="87" t="n">
        <x:f>S714-U714*'01 Base Costs'!$B$14</x:f>
        <x:v>156000</x:v>
      </x:c>
      <x:c r="W714" s="120" t="n">
        <x:f>'01 Base Costs'!$B$17</x:f>
        <x:v>140</x:v>
      </x:c>
      <x:c r="X714" s="120" t="n">
        <x:f>0</x:f>
        <x:v>0</x:v>
      </x:c>
      <x:c r="Y714" s="87" t="n">
        <x:f>T714*(W714*'01 Base Costs'!$B$7+X714)</x:f>
        <x:v>62836300800</x:v>
      </x:c>
      <x:c r="Z714" s="87" t="n">
        <x:f>T714*'01 Base Costs'!$B$8</x:f>
        <x:v>70254604800</x:v>
      </x:c>
      <x:c r="AA714" s="87" t="n">
        <x:f>Z714*'01 Base Costs'!$B$11</x:f>
        <x:v>3512730240</x:v>
      </x:c>
      <x:c r="AB714" s="87" t="n">
        <x:f>Z714-AA714</x:f>
        <x:v>66741874560</x:v>
      </x:c>
      <x:c r="AC714" s="87" t="n">
        <x:f>O714+Y714</x:f>
        <x:v>98218660800</x:v>
      </x:c>
      <x:c r="AD714" s="87" t="n">
        <x:f>AB714-AC714</x:f>
        <x:v>-31476786240</x:v>
      </x:c>
      <x:c r="AE714" s="87" t="n">
        <x:f>AD714/D714</x:f>
        <x:v>-2623065520</x:v>
      </x:c>
      <x:c r="AF714" s="87" t="n">
        <x:f>AD714/P714</x:f>
        <x:v>-1311532760</x:v>
      </x:c>
      <x:c r="AG714" s="87" t="n">
        <x:f>IF(T714=0,0,AC714/T714/(1-'01 Base Costs'!$B$11))</x:f>
        <x:v>1107982510.288066</x:v>
      </x:c>
      <x:c r="AH714" s="88" t="str">
        <x:f>IF(AD714&gt;0,"PROFIT","LOSS")</x:f>
        <x:v>LOSS</x:v>
      </x:c>
      <x:c r="AI714" s="89" t="str">
        <x:v>Official 12M Omega sale example. MCT sale 20% off. Base single extractor.</x:v>
      </x:c>
    </x:row>
    <x:row r="715">
      <x:c r="A715" s="86" t="n">
        <x:v>713</x:v>
      </x:c>
      <x:c r="B715" s="88" t="str">
        <x:v>Sale/Event</x:v>
      </x:c>
      <x:c r="C715" s="88" t="str">
        <x:v>Winter 12M Omega sale</x:v>
      </x:c>
      <x:c r="D715" s="88" t="n">
        <x:v>12</x:v>
      </x:c>
      <x:c r="E715" s="88" t="n">
        <x:v>2</x:v>
      </x:c>
      <x:c r="F715" s="88" t="str">
        <x:v>NES MCT 20% sale</x:v>
      </x:c>
      <x:c r="G715" s="88" t="str">
        <x:v>NES 5-pack extractor</x:v>
      </x:c>
      <x:c r="H715" s="87" t="n">
        <x:f>'01 Base Costs'!$B$28</x:f>
        <x:v>2700</x:v>
      </x:c>
      <x:c r="I715" s="87" t="n">
        <x:f>'01 Base Costs'!$B$16*0.8</x:f>
        <x:v>388</x:v>
      </x:c>
      <x:c r="J715" s="87" t="n">
        <x:f>0</x:f>
        <x:v>0</x:v>
      </x:c>
      <x:c r="K715" s="87" t="n">
        <x:f>D715*(E715-1)*I715</x:f>
        <x:v>4656</x:v>
      </x:c>
      <x:c r="L715" s="87" t="n">
        <x:f>D715*(E715-1)*J715</x:f>
        <x:v>0</x:v>
      </x:c>
      <x:c r="M715" s="87" t="n">
        <x:f>0</x:f>
        <x:v>0</x:v>
      </x:c>
      <x:c r="N715" s="87" t="n">
        <x:f>H715+K715+M715</x:f>
        <x:v>7356</x:v>
      </x:c>
      <x:c r="O715" s="87" t="n">
        <x:f>N715*'01 Base Costs'!$B$7+L715</x:f>
        <x:v>35382360000</x:v>
      </x:c>
      <x:c r="P715" s="87" t="n">
        <x:f>D715*E715</x:f>
        <x:v>24</x:v>
      </x:c>
      <x:c r="Q715" s="87" t="n">
        <x:f>P715*'01 Base Costs'!$B$12</x:f>
        <x:v>46656000</x:v>
      </x:c>
      <x:c r="R715" s="87" t="n">
        <x:f>0</x:f>
        <x:v>0</x:v>
      </x:c>
      <x:c r="S715" s="87" t="n">
        <x:f>Q715+R715</x:f>
        <x:v>46656000</x:v>
      </x:c>
      <x:c r="T715" s="141" t="n">
        <x:f>S715/'01 Base Costs'!$B$14</x:f>
        <x:v>93.312</x:v>
      </x:c>
      <x:c r="U715" s="87" t="n">
        <x:f>INT(T715)</x:f>
        <x:v>93</x:v>
      </x:c>
      <x:c r="V715" s="87" t="n">
        <x:f>S715-U715*'01 Base Costs'!$B$14</x:f>
        <x:v>156000</x:v>
      </x:c>
      <x:c r="W715" s="120" t="n">
        <x:f>'01 Base Costs'!$B$18/5</x:f>
        <x:v>126</x:v>
      </x:c>
      <x:c r="X715" s="120" t="n">
        <x:f>0</x:f>
        <x:v>0</x:v>
      </x:c>
      <x:c r="Y715" s="87" t="n">
        <x:f>T715*(W715*'01 Base Costs'!$B$7+X715)</x:f>
        <x:v>56552670720</x:v>
      </x:c>
      <x:c r="Z715" s="87" t="n">
        <x:f>T715*'01 Base Costs'!$B$8</x:f>
        <x:v>70254604800</x:v>
      </x:c>
      <x:c r="AA715" s="87" t="n">
        <x:f>Z715*'01 Base Costs'!$B$11</x:f>
        <x:v>3512730240</x:v>
      </x:c>
      <x:c r="AB715" s="87" t="n">
        <x:f>Z715-AA715</x:f>
        <x:v>66741874560</x:v>
      </x:c>
      <x:c r="AC715" s="87" t="n">
        <x:f>O715+Y715</x:f>
        <x:v>91935030720</x:v>
      </x:c>
      <x:c r="AD715" s="87" t="n">
        <x:f>AB715-AC715</x:f>
        <x:v>-25193156160</x:v>
      </x:c>
      <x:c r="AE715" s="87" t="n">
        <x:f>AD715/D715</x:f>
        <x:v>-2099429680</x:v>
      </x:c>
      <x:c r="AF715" s="87" t="n">
        <x:f>AD715/P715</x:f>
        <x:v>-1049714840</x:v>
      </x:c>
      <x:c r="AG715" s="87" t="n">
        <x:f>IF(T715=0,0,AC715/T715/(1-'01 Base Costs'!$B$11))</x:f>
        <x:v>1037098299.7617501</x:v>
      </x:c>
      <x:c r="AH715" s="88" t="str">
        <x:f>IF(AD715&gt;0,"PROFIT","LOSS")</x:f>
        <x:v>LOSS</x:v>
      </x:c>
      <x:c r="AI715" s="89" t="str">
        <x:v>Official 12M Omega sale example. MCT sale 20% off. Base 5-pack average.</x:v>
      </x:c>
    </x:row>
    <x:row r="716">
      <x:c r="A716" s="86" t="n">
        <x:v>714</x:v>
      </x:c>
      <x:c r="B716" s="88" t="str">
        <x:v>Sale/Event</x:v>
      </x:c>
      <x:c r="C716" s="88" t="str">
        <x:v>Winter 12M Omega sale</x:v>
      </x:c>
      <x:c r="D716" s="88" t="n">
        <x:v>12</x:v>
      </x:c>
      <x:c r="E716" s="88" t="n">
        <x:v>2</x:v>
      </x:c>
      <x:c r="F716" s="88" t="str">
        <x:v>NES MCT 20% sale</x:v>
      </x:c>
      <x:c r="G716" s="88" t="str">
        <x:v>NES 10-pack extractor</x:v>
      </x:c>
      <x:c r="H716" s="87" t="n">
        <x:f>'01 Base Costs'!$B$28</x:f>
        <x:v>2700</x:v>
      </x:c>
      <x:c r="I716" s="87" t="n">
        <x:f>'01 Base Costs'!$B$16*0.8</x:f>
        <x:v>388</x:v>
      </x:c>
      <x:c r="J716" s="87" t="n">
        <x:f>0</x:f>
        <x:v>0</x:v>
      </x:c>
      <x:c r="K716" s="87" t="n">
        <x:f>D716*(E716-1)*I716</x:f>
        <x:v>4656</x:v>
      </x:c>
      <x:c r="L716" s="87" t="n">
        <x:f>D716*(E716-1)*J716</x:f>
        <x:v>0</x:v>
      </x:c>
      <x:c r="M716" s="87" t="n">
        <x:f>0</x:f>
        <x:v>0</x:v>
      </x:c>
      <x:c r="N716" s="87" t="n">
        <x:f>H716+K716+M716</x:f>
        <x:v>7356</x:v>
      </x:c>
      <x:c r="O716" s="87" t="n">
        <x:f>N716*'01 Base Costs'!$B$7+L716</x:f>
        <x:v>35382360000</x:v>
      </x:c>
      <x:c r="P716" s="87" t="n">
        <x:f>D716*E716</x:f>
        <x:v>24</x:v>
      </x:c>
      <x:c r="Q716" s="87" t="n">
        <x:f>P716*'01 Base Costs'!$B$12</x:f>
        <x:v>46656000</x:v>
      </x:c>
      <x:c r="R716" s="87" t="n">
        <x:f>0</x:f>
        <x:v>0</x:v>
      </x:c>
      <x:c r="S716" s="87" t="n">
        <x:f>Q716+R716</x:f>
        <x:v>46656000</x:v>
      </x:c>
      <x:c r="T716" s="141" t="n">
        <x:f>S716/'01 Base Costs'!$B$14</x:f>
        <x:v>93.312</x:v>
      </x:c>
      <x:c r="U716" s="87" t="n">
        <x:f>INT(T716)</x:f>
        <x:v>93</x:v>
      </x:c>
      <x:c r="V716" s="87" t="n">
        <x:f>S716-U716*'01 Base Costs'!$B$14</x:f>
        <x:v>156000</x:v>
      </x:c>
      <x:c r="W716" s="120" t="n">
        <x:f>'01 Base Costs'!$B$19/10</x:f>
        <x:v>119</x:v>
      </x:c>
      <x:c r="X716" s="120" t="n">
        <x:f>0</x:f>
        <x:v>0</x:v>
      </x:c>
      <x:c r="Y716" s="87" t="n">
        <x:f>T716*(W716*'01 Base Costs'!$B$7+X716)</x:f>
        <x:v>53410855680</x:v>
      </x:c>
      <x:c r="Z716" s="87" t="n">
        <x:f>T716*'01 Base Costs'!$B$8</x:f>
        <x:v>70254604800</x:v>
      </x:c>
      <x:c r="AA716" s="87" t="n">
        <x:f>Z716*'01 Base Costs'!$B$11</x:f>
        <x:v>3512730240</x:v>
      </x:c>
      <x:c r="AB716" s="87" t="n">
        <x:f>Z716-AA716</x:f>
        <x:v>66741874560</x:v>
      </x:c>
      <x:c r="AC716" s="87" t="n">
        <x:f>O716+Y716</x:f>
        <x:v>88793215680</x:v>
      </x:c>
      <x:c r="AD716" s="87" t="n">
        <x:f>AB716-AC716</x:f>
        <x:v>-22051341120</x:v>
      </x:c>
      <x:c r="AE716" s="87" t="n">
        <x:f>AD716/D716</x:f>
        <x:v>-1837611760</x:v>
      </x:c>
      <x:c r="AF716" s="87" t="n">
        <x:f>AD716/P716</x:f>
        <x:v>-918805880</x:v>
      </x:c>
      <x:c r="AG716" s="87" t="n">
        <x:f>IF(T716=0,0,AC716/T716/(1-'01 Base Costs'!$B$11))</x:f>
        <x:v>1001656194.4985923</x:v>
      </x:c>
      <x:c r="AH716" s="88" t="str">
        <x:f>IF(AD716&gt;0,"PROFIT","LOSS")</x:f>
        <x:v>LOSS</x:v>
      </x:c>
      <x:c r="AI716" s="89" t="str">
        <x:v>Official 12M Omega sale example. MCT sale 20% off. Base 10-pack average.</x:v>
      </x:c>
    </x:row>
    <x:row r="717">
      <x:c r="A717" s="86" t="n">
        <x:v>715</x:v>
      </x:c>
      <x:c r="B717" s="88" t="str">
        <x:v>Sale/Event</x:v>
      </x:c>
      <x:c r="C717" s="88" t="str">
        <x:v>Winter 12M Omega sale</x:v>
      </x:c>
      <x:c r="D717" s="88" t="n">
        <x:v>12</x:v>
      </x:c>
      <x:c r="E717" s="88" t="n">
        <x:v>2</x:v>
      </x:c>
      <x:c r="F717" s="88" t="str">
        <x:v>NES MCT 20% sale</x:v>
      </x:c>
      <x:c r="G717" s="88" t="str">
        <x:v>NES 50-pack extractor</x:v>
      </x:c>
      <x:c r="H717" s="87" t="n">
        <x:f>'01 Base Costs'!$B$28</x:f>
        <x:v>2700</x:v>
      </x:c>
      <x:c r="I717" s="87" t="n">
        <x:f>'01 Base Costs'!$B$16*0.8</x:f>
        <x:v>388</x:v>
      </x:c>
      <x:c r="J717" s="87" t="n">
        <x:f>0</x:f>
        <x:v>0</x:v>
      </x:c>
      <x:c r="K717" s="87" t="n">
        <x:f>D717*(E717-1)*I717</x:f>
        <x:v>4656</x:v>
      </x:c>
      <x:c r="L717" s="87" t="n">
        <x:f>D717*(E717-1)*J717</x:f>
        <x:v>0</x:v>
      </x:c>
      <x:c r="M717" s="87" t="n">
        <x:f>0</x:f>
        <x:v>0</x:v>
      </x:c>
      <x:c r="N717" s="87" t="n">
        <x:f>H717+K717+M717</x:f>
        <x:v>7356</x:v>
      </x:c>
      <x:c r="O717" s="87" t="n">
        <x:f>N717*'01 Base Costs'!$B$7+L717</x:f>
        <x:v>35382360000</x:v>
      </x:c>
      <x:c r="P717" s="87" t="n">
        <x:f>D717*E717</x:f>
        <x:v>24</x:v>
      </x:c>
      <x:c r="Q717" s="87" t="n">
        <x:f>P717*'01 Base Costs'!$B$12</x:f>
        <x:v>46656000</x:v>
      </x:c>
      <x:c r="R717" s="87" t="n">
        <x:f>0</x:f>
        <x:v>0</x:v>
      </x:c>
      <x:c r="S717" s="87" t="n">
        <x:f>Q717+R717</x:f>
        <x:v>46656000</x:v>
      </x:c>
      <x:c r="T717" s="141" t="n">
        <x:f>S717/'01 Base Costs'!$B$14</x:f>
        <x:v>93.312</x:v>
      </x:c>
      <x:c r="U717" s="87" t="n">
        <x:f>INT(T717)</x:f>
        <x:v>93</x:v>
      </x:c>
      <x:c r="V717" s="87" t="n">
        <x:f>S717-U717*'01 Base Costs'!$B$14</x:f>
        <x:v>156000</x:v>
      </x:c>
      <x:c r="W717" s="120" t="n">
        <x:f>'01 Base Costs'!$B$20/50</x:f>
        <x:v>112</x:v>
      </x:c>
      <x:c r="X717" s="120" t="n">
        <x:f>0</x:f>
        <x:v>0</x:v>
      </x:c>
      <x:c r="Y717" s="87" t="n">
        <x:f>T717*(W717*'01 Base Costs'!$B$7+X717)</x:f>
        <x:v>50269040640</x:v>
      </x:c>
      <x:c r="Z717" s="87" t="n">
        <x:f>T717*'01 Base Costs'!$B$8</x:f>
        <x:v>70254604800</x:v>
      </x:c>
      <x:c r="AA717" s="87" t="n">
        <x:f>Z717*'01 Base Costs'!$B$11</x:f>
        <x:v>3512730240</x:v>
      </x:c>
      <x:c r="AB717" s="87" t="n">
        <x:f>Z717-AA717</x:f>
        <x:v>66741874560</x:v>
      </x:c>
      <x:c r="AC717" s="87" t="n">
        <x:f>O717+Y717</x:f>
        <x:v>85651400640</x:v>
      </x:c>
      <x:c r="AD717" s="87" t="n">
        <x:f>AB717-AC717</x:f>
        <x:v>-18909526080</x:v>
      </x:c>
      <x:c r="AE717" s="87" t="n">
        <x:f>AD717/D717</x:f>
        <x:v>-1575793840</x:v>
      </x:c>
      <x:c r="AF717" s="87" t="n">
        <x:f>AD717/P717</x:f>
        <x:v>-787896920</x:v>
      </x:c>
      <x:c r="AG717" s="87" t="n">
        <x:f>IF(T717=0,0,AC717/T717/(1-'01 Base Costs'!$B$11))</x:f>
        <x:v>966214089.2354343</x:v>
      </x:c>
      <x:c r="AH717" s="88" t="str">
        <x:f>IF(AD717&gt;0,"PROFIT","LOSS")</x:f>
        <x:v>LOSS</x:v>
      </x:c>
      <x:c r="AI717" s="89" t="str">
        <x:v>Official 12M Omega sale example. MCT sale 20% off. Base 50-pack average.</x:v>
      </x:c>
    </x:row>
    <x:row r="718">
      <x:c r="A718" s="86" t="n">
        <x:v>716</x:v>
      </x:c>
      <x:c r="B718" s="88" t="str">
        <x:v>Sale/Event</x:v>
      </x:c>
      <x:c r="C718" s="88" t="str">
        <x:v>Winter 12M Omega sale</x:v>
      </x:c>
      <x:c r="D718" s="88" t="n">
        <x:v>12</x:v>
      </x:c>
      <x:c r="E718" s="88" t="n">
        <x:v>2</x:v>
      </x:c>
      <x:c r="F718" s="88" t="str">
        <x:v>NES MCT 20% sale</x:v>
      </x:c>
      <x:c r="G718" s="88" t="str">
        <x:v>NES 3-for-2 extractor sale</x:v>
      </x:c>
      <x:c r="H718" s="87" t="n">
        <x:f>'01 Base Costs'!$B$28</x:f>
        <x:v>2700</x:v>
      </x:c>
      <x:c r="I718" s="87" t="n">
        <x:f>'01 Base Costs'!$B$16*0.8</x:f>
        <x:v>388</x:v>
      </x:c>
      <x:c r="J718" s="87" t="n">
        <x:f>0</x:f>
        <x:v>0</x:v>
      </x:c>
      <x:c r="K718" s="87" t="n">
        <x:f>D718*(E718-1)*I718</x:f>
        <x:v>4656</x:v>
      </x:c>
      <x:c r="L718" s="87" t="n">
        <x:f>D718*(E718-1)*J718</x:f>
        <x:v>0</x:v>
      </x:c>
      <x:c r="M718" s="87" t="n">
        <x:f>0</x:f>
        <x:v>0</x:v>
      </x:c>
      <x:c r="N718" s="87" t="n">
        <x:f>H718+K718+M718</x:f>
        <x:v>7356</x:v>
      </x:c>
      <x:c r="O718" s="87" t="n">
        <x:f>N718*'01 Base Costs'!$B$7+L718</x:f>
        <x:v>35382360000</x:v>
      </x:c>
      <x:c r="P718" s="87" t="n">
        <x:f>D718*E718</x:f>
        <x:v>24</x:v>
      </x:c>
      <x:c r="Q718" s="87" t="n">
        <x:f>P718*'01 Base Costs'!$B$12</x:f>
        <x:v>46656000</x:v>
      </x:c>
      <x:c r="R718" s="87" t="n">
        <x:f>0</x:f>
        <x:v>0</x:v>
      </x:c>
      <x:c r="S718" s="87" t="n">
        <x:f>Q718+R718</x:f>
        <x:v>46656000</x:v>
      </x:c>
      <x:c r="T718" s="141" t="n">
        <x:f>S718/'01 Base Costs'!$B$14</x:f>
        <x:v>93.312</x:v>
      </x:c>
      <x:c r="U718" s="87" t="n">
        <x:f>INT(T718)</x:f>
        <x:v>93</x:v>
      </x:c>
      <x:c r="V718" s="87" t="n">
        <x:f>S718-U718*'01 Base Costs'!$B$14</x:f>
        <x:v>156000</x:v>
      </x:c>
      <x:c r="W718" s="120" t="n">
        <x:f>'01 Base Costs'!$B$17*2/3</x:f>
        <x:v>93.33333333333333</x:v>
      </x:c>
      <x:c r="X718" s="120" t="n">
        <x:f>0</x:f>
        <x:v>0</x:v>
      </x:c>
      <x:c r="Y718" s="87" t="n">
        <x:f>T718*(W718*'01 Base Costs'!$B$7+X718)</x:f>
        <x:v>41890867200</x:v>
      </x:c>
      <x:c r="Z718" s="87" t="n">
        <x:f>T718*'01 Base Costs'!$B$8</x:f>
        <x:v>70254604800</x:v>
      </x:c>
      <x:c r="AA718" s="87" t="n">
        <x:f>Z718*'01 Base Costs'!$B$11</x:f>
        <x:v>3512730240</x:v>
      </x:c>
      <x:c r="AB718" s="87" t="n">
        <x:f>Z718-AA718</x:f>
        <x:v>66741874560</x:v>
      </x:c>
      <x:c r="AC718" s="87" t="n">
        <x:f>O718+Y718</x:f>
        <x:v>77273227200</x:v>
      </x:c>
      <x:c r="AD718" s="87" t="n">
        <x:f>AB718-AC718</x:f>
        <x:v>-10531352640</x:v>
      </x:c>
      <x:c r="AE718" s="87" t="n">
        <x:f>AD718/D718</x:f>
        <x:v>-877612720</x:v>
      </x:c>
      <x:c r="AF718" s="87" t="n">
        <x:f>AD718/P718</x:f>
        <x:v>-438806360</x:v>
      </x:c>
      <x:c r="AG718" s="87" t="n">
        <x:f>IF(T718=0,0,AC718/T718/(1-'01 Base Costs'!$B$11))</x:f>
        <x:v>871701808.53368</x:v>
      </x:c>
      <x:c r="AH718" s="88" t="str">
        <x:f>IF(AD718&gt;0,"PROFIT","LOSS")</x:f>
        <x:v>LOSS</x:v>
      </x:c>
      <x:c r="AI718" s="89" t="str">
        <x:v>Official 12M Omega sale example. MCT sale 20% off. Extractor 3-for-2 sale.</x:v>
      </x:c>
    </x:row>
    <x:row r="719">
      <x:c r="A719" s="86" t="n">
        <x:v>717</x:v>
      </x:c>
      <x:c r="B719" s="88" t="str">
        <x:v>Sale/Event</x:v>
      </x:c>
      <x:c r="C719" s="88" t="str">
        <x:v>Winter 12M Omega sale</x:v>
      </x:c>
      <x:c r="D719" s="88" t="n">
        <x:v>12</x:v>
      </x:c>
      <x:c r="E719" s="88" t="n">
        <x:v>2</x:v>
      </x:c>
      <x:c r="F719" s="88" t="str">
        <x:v>NES MCT 20% sale</x:v>
      </x:c>
      <x:c r="G719" s="88" t="str">
        <x:v>NES 2-for-1 extractor sale</x:v>
      </x:c>
      <x:c r="H719" s="87" t="n">
        <x:f>'01 Base Costs'!$B$28</x:f>
        <x:v>2700</x:v>
      </x:c>
      <x:c r="I719" s="87" t="n">
        <x:f>'01 Base Costs'!$B$16*0.8</x:f>
        <x:v>388</x:v>
      </x:c>
      <x:c r="J719" s="87" t="n">
        <x:f>0</x:f>
        <x:v>0</x:v>
      </x:c>
      <x:c r="K719" s="87" t="n">
        <x:f>D719*(E719-1)*I719</x:f>
        <x:v>4656</x:v>
      </x:c>
      <x:c r="L719" s="87" t="n">
        <x:f>D719*(E719-1)*J719</x:f>
        <x:v>0</x:v>
      </x:c>
      <x:c r="M719" s="87" t="n">
        <x:f>0</x:f>
        <x:v>0</x:v>
      </x:c>
      <x:c r="N719" s="87" t="n">
        <x:f>H719+K719+M719</x:f>
        <x:v>7356</x:v>
      </x:c>
      <x:c r="O719" s="87" t="n">
        <x:f>N719*'01 Base Costs'!$B$7+L719</x:f>
        <x:v>35382360000</x:v>
      </x:c>
      <x:c r="P719" s="87" t="n">
        <x:f>D719*E719</x:f>
        <x:v>24</x:v>
      </x:c>
      <x:c r="Q719" s="87" t="n">
        <x:f>P719*'01 Base Costs'!$B$12</x:f>
        <x:v>46656000</x:v>
      </x:c>
      <x:c r="R719" s="87" t="n">
        <x:f>0</x:f>
        <x:v>0</x:v>
      </x:c>
      <x:c r="S719" s="87" t="n">
        <x:f>Q719+R719</x:f>
        <x:v>46656000</x:v>
      </x:c>
      <x:c r="T719" s="141" t="n">
        <x:f>S719/'01 Base Costs'!$B$14</x:f>
        <x:v>93.312</x:v>
      </x:c>
      <x:c r="U719" s="87" t="n">
        <x:f>INT(T719)</x:f>
        <x:v>93</x:v>
      </x:c>
      <x:c r="V719" s="87" t="n">
        <x:f>S719-U719*'01 Base Costs'!$B$14</x:f>
        <x:v>156000</x:v>
      </x:c>
      <x:c r="W719" s="120" t="n">
        <x:f>'01 Base Costs'!$B$17/2</x:f>
        <x:v>70</x:v>
      </x:c>
      <x:c r="X719" s="120" t="n">
        <x:f>0</x:f>
        <x:v>0</x:v>
      </x:c>
      <x:c r="Y719" s="87" t="n">
        <x:f>T719*(W719*'01 Base Costs'!$B$7+X719)</x:f>
        <x:v>31418150400</x:v>
      </x:c>
      <x:c r="Z719" s="87" t="n">
        <x:f>T719*'01 Base Costs'!$B$8</x:f>
        <x:v>70254604800</x:v>
      </x:c>
      <x:c r="AA719" s="87" t="n">
        <x:f>Z719*'01 Base Costs'!$B$11</x:f>
        <x:v>3512730240</x:v>
      </x:c>
      <x:c r="AB719" s="87" t="n">
        <x:f>Z719-AA719</x:f>
        <x:v>66741874560</x:v>
      </x:c>
      <x:c r="AC719" s="87" t="n">
        <x:f>O719+Y719</x:f>
        <x:v>66800510400</x:v>
      </x:c>
      <x:c r="AD719" s="87" t="n">
        <x:f>AB719-AC719</x:f>
        <x:v>-58635840</x:v>
      </x:c>
      <x:c r="AE719" s="87" t="n">
        <x:f>AD719/D719</x:f>
        <x:v>-4886320</x:v>
      </x:c>
      <x:c r="AF719" s="87" t="n">
        <x:f>AD719/P719</x:f>
        <x:v>-2443160</x:v>
      </x:c>
      <x:c r="AG719" s="87" t="n">
        <x:f>IF(T719=0,0,AC719/T719/(1-'01 Base Costs'!$B$11))</x:f>
        <x:v>753561457.656487</x:v>
      </x:c>
      <x:c r="AH719" s="88" t="str">
        <x:f>IF(AD719&gt;0,"PROFIT","LOSS")</x:f>
        <x:v>LOSS</x:v>
      </x:c>
      <x:c r="AI719" s="89" t="str">
        <x:v>Official 12M Omega sale example. MCT sale 20% off. Extractor 2-for-1 sale.</x:v>
      </x:c>
    </x:row>
    <x:row r="720">
      <x:c r="A720" s="86" t="n">
        <x:v>718</x:v>
      </x:c>
      <x:c r="B720" s="88" t="str">
        <x:v>Sale/Event</x:v>
      </x:c>
      <x:c r="C720" s="88" t="str">
        <x:v>Winter 12M Omega sale</x:v>
      </x:c>
      <x:c r="D720" s="88" t="n">
        <x:v>12</x:v>
      </x:c>
      <x:c r="E720" s="88" t="n">
        <x:v>2</x:v>
      </x:c>
      <x:c r="F720" s="88" t="str">
        <x:v>NES MCT 20% sale</x:v>
      </x:c>
      <x:c r="G720" s="88" t="str">
        <x:v>NES 10-pack extractor 20% sale</x:v>
      </x:c>
      <x:c r="H720" s="87" t="n">
        <x:f>'01 Base Costs'!$B$28</x:f>
        <x:v>2700</x:v>
      </x:c>
      <x:c r="I720" s="87" t="n">
        <x:f>'01 Base Costs'!$B$16*0.8</x:f>
        <x:v>388</x:v>
      </x:c>
      <x:c r="J720" s="87" t="n">
        <x:f>0</x:f>
        <x:v>0</x:v>
      </x:c>
      <x:c r="K720" s="87" t="n">
        <x:f>D720*(E720-1)*I720</x:f>
        <x:v>4656</x:v>
      </x:c>
      <x:c r="L720" s="87" t="n">
        <x:f>D720*(E720-1)*J720</x:f>
        <x:v>0</x:v>
      </x:c>
      <x:c r="M720" s="87" t="n">
        <x:f>0</x:f>
        <x:v>0</x:v>
      </x:c>
      <x:c r="N720" s="87" t="n">
        <x:f>H720+K720+M720</x:f>
        <x:v>7356</x:v>
      </x:c>
      <x:c r="O720" s="87" t="n">
        <x:f>N720*'01 Base Costs'!$B$7+L720</x:f>
        <x:v>35382360000</x:v>
      </x:c>
      <x:c r="P720" s="87" t="n">
        <x:f>D720*E720</x:f>
        <x:v>24</x:v>
      </x:c>
      <x:c r="Q720" s="87" t="n">
        <x:f>P720*'01 Base Costs'!$B$12</x:f>
        <x:v>46656000</x:v>
      </x:c>
      <x:c r="R720" s="87" t="n">
        <x:f>0</x:f>
        <x:v>0</x:v>
      </x:c>
      <x:c r="S720" s="87" t="n">
        <x:f>Q720+R720</x:f>
        <x:v>46656000</x:v>
      </x:c>
      <x:c r="T720" s="141" t="n">
        <x:f>S720/'01 Base Costs'!$B$14</x:f>
        <x:v>93.312</x:v>
      </x:c>
      <x:c r="U720" s="87" t="n">
        <x:f>INT(T720)</x:f>
        <x:v>93</x:v>
      </x:c>
      <x:c r="V720" s="87" t="n">
        <x:f>S720-U720*'01 Base Costs'!$B$14</x:f>
        <x:v>156000</x:v>
      </x:c>
      <x:c r="W720" s="120" t="n">
        <x:f>'01 Base Costs'!$B$19*0.8/10</x:f>
        <x:v>95.2</x:v>
      </x:c>
      <x:c r="X720" s="120" t="n">
        <x:f>0</x:f>
        <x:v>0</x:v>
      </x:c>
      <x:c r="Y720" s="87" t="n">
        <x:f>T720*(W720*'01 Base Costs'!$B$7+X720)</x:f>
        <x:v>42728684544</x:v>
      </x:c>
      <x:c r="Z720" s="87" t="n">
        <x:f>T720*'01 Base Costs'!$B$8</x:f>
        <x:v>70254604800</x:v>
      </x:c>
      <x:c r="AA720" s="87" t="n">
        <x:f>Z720*'01 Base Costs'!$B$11</x:f>
        <x:v>3512730240</x:v>
      </x:c>
      <x:c r="AB720" s="87" t="n">
        <x:f>Z720-AA720</x:f>
        <x:v>66741874560</x:v>
      </x:c>
      <x:c r="AC720" s="87" t="n">
        <x:f>O720+Y720</x:f>
        <x:v>78111044544</x:v>
      </x:c>
      <x:c r="AD720" s="87" t="n">
        <x:f>AB720-AC720</x:f>
        <x:v>-11369169984</x:v>
      </x:c>
      <x:c r="AE720" s="87" t="n">
        <x:f>AD720/D720</x:f>
        <x:v>-947430832</x:v>
      </x:c>
      <x:c r="AF720" s="87" t="n">
        <x:f>AD720/P720</x:f>
        <x:v>-473715416</x:v>
      </x:c>
      <x:c r="AG720" s="87" t="n">
        <x:f>IF(T720=0,0,AC720/T720/(1-'01 Base Costs'!$B$11))</x:f>
        <x:v>881153036.6038554</x:v>
      </x:c>
      <x:c r="AH720" s="88" t="str">
        <x:f>IF(AD720&gt;0,"PROFIT","LOSS")</x:f>
        <x:v>LOSS</x:v>
      </x:c>
      <x:c r="AI720" s="89" t="str">
        <x:v>Official 12M Omega sale example. MCT sale 20% off. 10-pack at 20% off.</x:v>
      </x:c>
    </x:row>
    <x:row r="721">
      <x:c r="A721" s="86" t="n">
        <x:v>719</x:v>
      </x:c>
      <x:c r="B721" s="88" t="str">
        <x:v>Sale/Event</x:v>
      </x:c>
      <x:c r="C721" s="88" t="str">
        <x:v>Winter 12M Omega sale</x:v>
      </x:c>
      <x:c r="D721" s="88" t="n">
        <x:v>12</x:v>
      </x:c>
      <x:c r="E721" s="88" t="n">
        <x:v>2</x:v>
      </x:c>
      <x:c r="F721" s="88" t="str">
        <x:v>NES MCT 20% sale</x:v>
      </x:c>
      <x:c r="G721" s="88" t="str">
        <x:v>NES 50-pack extractor 20% sale</x:v>
      </x:c>
      <x:c r="H721" s="87" t="n">
        <x:f>'01 Base Costs'!$B$28</x:f>
        <x:v>2700</x:v>
      </x:c>
      <x:c r="I721" s="87" t="n">
        <x:f>'01 Base Costs'!$B$16*0.8</x:f>
        <x:v>388</x:v>
      </x:c>
      <x:c r="J721" s="87" t="n">
        <x:f>0</x:f>
        <x:v>0</x:v>
      </x:c>
      <x:c r="K721" s="87" t="n">
        <x:f>D721*(E721-1)*I721</x:f>
        <x:v>4656</x:v>
      </x:c>
      <x:c r="L721" s="87" t="n">
        <x:f>D721*(E721-1)*J721</x:f>
        <x:v>0</x:v>
      </x:c>
      <x:c r="M721" s="87" t="n">
        <x:f>0</x:f>
        <x:v>0</x:v>
      </x:c>
      <x:c r="N721" s="87" t="n">
        <x:f>H721+K721+M721</x:f>
        <x:v>7356</x:v>
      </x:c>
      <x:c r="O721" s="87" t="n">
        <x:f>N721*'01 Base Costs'!$B$7+L721</x:f>
        <x:v>35382360000</x:v>
      </x:c>
      <x:c r="P721" s="87" t="n">
        <x:f>D721*E721</x:f>
        <x:v>24</x:v>
      </x:c>
      <x:c r="Q721" s="87" t="n">
        <x:f>P721*'01 Base Costs'!$B$12</x:f>
        <x:v>46656000</x:v>
      </x:c>
      <x:c r="R721" s="87" t="n">
        <x:f>0</x:f>
        <x:v>0</x:v>
      </x:c>
      <x:c r="S721" s="87" t="n">
        <x:f>Q721+R721</x:f>
        <x:v>46656000</x:v>
      </x:c>
      <x:c r="T721" s="141" t="n">
        <x:f>S721/'01 Base Costs'!$B$14</x:f>
        <x:v>93.312</x:v>
      </x:c>
      <x:c r="U721" s="87" t="n">
        <x:f>INT(T721)</x:f>
        <x:v>93</x:v>
      </x:c>
      <x:c r="V721" s="87" t="n">
        <x:f>S721-U721*'01 Base Costs'!$B$14</x:f>
        <x:v>156000</x:v>
      </x:c>
      <x:c r="W721" s="120" t="n">
        <x:f>'01 Base Costs'!$B$20*0.8/50</x:f>
        <x:v>89.6</x:v>
      </x:c>
      <x:c r="X721" s="120" t="n">
        <x:f>0</x:f>
        <x:v>0</x:v>
      </x:c>
      <x:c r="Y721" s="87" t="n">
        <x:f>T721*(W721*'01 Base Costs'!$B$7+X721)</x:f>
        <x:v>40215232512</x:v>
      </x:c>
      <x:c r="Z721" s="87" t="n">
        <x:f>T721*'01 Base Costs'!$B$8</x:f>
        <x:v>70254604800</x:v>
      </x:c>
      <x:c r="AA721" s="87" t="n">
        <x:f>Z721*'01 Base Costs'!$B$11</x:f>
        <x:v>3512730240</x:v>
      </x:c>
      <x:c r="AB721" s="87" t="n">
        <x:f>Z721-AA721</x:f>
        <x:v>66741874560</x:v>
      </x:c>
      <x:c r="AC721" s="87" t="n">
        <x:f>O721+Y721</x:f>
        <x:v>75597592512</x:v>
      </x:c>
      <x:c r="AD721" s="87" t="n">
        <x:f>AB721-AC721</x:f>
        <x:v>-8855717952</x:v>
      </x:c>
      <x:c r="AE721" s="87" t="n">
        <x:f>AD721/D721</x:f>
        <x:v>-737976496</x:v>
      </x:c>
      <x:c r="AF721" s="87" t="n">
        <x:f>AD721/P721</x:f>
        <x:v>-368988248</x:v>
      </x:c>
      <x:c r="AG721" s="87" t="n">
        <x:f>IF(T721=0,0,AC721/T721/(1-'01 Base Costs'!$B$11))</x:f>
        <x:v>852799352.393329</x:v>
      </x:c>
      <x:c r="AH721" s="88" t="str">
        <x:f>IF(AD721&gt;0,"PROFIT","LOSS")</x:f>
        <x:v>LOSS</x:v>
      </x:c>
      <x:c r="AI721" s="89" t="str">
        <x:v>Official 12M Omega sale example. MCT sale 20% off. 50-pack at 20% off.</x:v>
      </x:c>
    </x:row>
    <x:row r="722">
      <x:c r="A722" s="86" t="n">
        <x:v>720</x:v>
      </x:c>
      <x:c r="B722" s="88" t="str">
        <x:v>Sale/Event</x:v>
      </x:c>
      <x:c r="C722" s="88" t="str">
        <x:v>Winter 12M Omega sale</x:v>
      </x:c>
      <x:c r="D722" s="88" t="n">
        <x:v>12</x:v>
      </x:c>
      <x:c r="E722" s="88" t="n">
        <x:v>2</x:v>
      </x:c>
      <x:c r="F722" s="88" t="str">
        <x:v>NES MCT 20% sale</x:v>
      </x:c>
      <x:c r="G722" s="88" t="str">
        <x:v>Market Skill Extractor</x:v>
      </x:c>
      <x:c r="H722" s="87" t="n">
        <x:f>'01 Base Costs'!$B$28</x:f>
        <x:v>2700</x:v>
      </x:c>
      <x:c r="I722" s="87" t="n">
        <x:f>'01 Base Costs'!$B$16*0.8</x:f>
        <x:v>388</x:v>
      </x:c>
      <x:c r="J722" s="87" t="n">
        <x:f>0</x:f>
        <x:v>0</x:v>
      </x:c>
      <x:c r="K722" s="87" t="n">
        <x:f>D722*(E722-1)*I722</x:f>
        <x:v>4656</x:v>
      </x:c>
      <x:c r="L722" s="87" t="n">
        <x:f>D722*(E722-1)*J722</x:f>
        <x:v>0</x:v>
      </x:c>
      <x:c r="M722" s="87" t="n">
        <x:f>0</x:f>
        <x:v>0</x:v>
      </x:c>
      <x:c r="N722" s="87" t="n">
        <x:f>H722+K722+M722</x:f>
        <x:v>7356</x:v>
      </x:c>
      <x:c r="O722" s="87" t="n">
        <x:f>N722*'01 Base Costs'!$B$7+L722</x:f>
        <x:v>35382360000</x:v>
      </x:c>
      <x:c r="P722" s="87" t="n">
        <x:f>D722*E722</x:f>
        <x:v>24</x:v>
      </x:c>
      <x:c r="Q722" s="87" t="n">
        <x:f>P722*'01 Base Costs'!$B$12</x:f>
        <x:v>46656000</x:v>
      </x:c>
      <x:c r="R722" s="87" t="n">
        <x:f>0</x:f>
        <x:v>0</x:v>
      </x:c>
      <x:c r="S722" s="87" t="n">
        <x:f>Q722+R722</x:f>
        <x:v>46656000</x:v>
      </x:c>
      <x:c r="T722" s="141" t="n">
        <x:f>S722/'01 Base Costs'!$B$14</x:f>
        <x:v>93.312</x:v>
      </x:c>
      <x:c r="U722" s="87" t="n">
        <x:f>INT(T722)</x:f>
        <x:v>93</x:v>
      </x:c>
      <x:c r="V722" s="87" t="n">
        <x:f>S722-U722*'01 Base Costs'!$B$14</x:f>
        <x:v>156000</x:v>
      </x:c>
      <x:c r="W722" s="120" t="n">
        <x:f>0</x:f>
        <x:v>0</x:v>
      </x:c>
      <x:c r="X722" s="120" t="n">
        <x:f>'01 Base Costs'!$B$9</x:f>
        <x:v>463500000</x:v>
      </x:c>
      <x:c r="Y722" s="87" t="n">
        <x:f>T722*(W722*'01 Base Costs'!$B$7+X722)</x:f>
        <x:v>43250112000</x:v>
      </x:c>
      <x:c r="Z722" s="87" t="n">
        <x:f>T722*'01 Base Costs'!$B$8</x:f>
        <x:v>70254604800</x:v>
      </x:c>
      <x:c r="AA722" s="87" t="n">
        <x:f>Z722*'01 Base Costs'!$B$11</x:f>
        <x:v>3512730240</x:v>
      </x:c>
      <x:c r="AB722" s="87" t="n">
        <x:f>Z722-AA722</x:f>
        <x:v>66741874560</x:v>
      </x:c>
      <x:c r="AC722" s="87" t="n">
        <x:f>O722+Y722</x:f>
        <x:v>78632472000</x:v>
      </x:c>
      <x:c r="AD722" s="87" t="n">
        <x:f>AB722-AC722</x:f>
        <x:v>-11890597440</x:v>
      </x:c>
      <x:c r="AE722" s="87" t="n">
        <x:f>AD722/D722</x:f>
        <x:v>-990883120</x:v>
      </x:c>
      <x:c r="AF722" s="87" t="n">
        <x:f>AD722/P722</x:f>
        <x:v>-495441560</x:v>
      </x:c>
      <x:c r="AG722" s="87" t="n">
        <x:f>IF(T722=0,0,AC722/T722/(1-'01 Base Costs'!$B$11))</x:f>
        <x:v>887035141.8670132</x:v>
      </x:c>
      <x:c r="AH722" s="88" t="str">
        <x:f>IF(AD722&gt;0,"PROFIT","LOSS")</x:f>
        <x:v>LOSS</x:v>
      </x:c>
      <x:c r="AI722" s="89" t="str">
        <x:v>Official 12M Omega sale example. MCT sale 20% off. Extractor bought on market with ISK.</x:v>
      </x:c>
    </x:row>
    <x:row r="723">
      <x:c r="A723" s="86" t="n">
        <x:v>721</x:v>
      </x:c>
      <x:c r="B723" s="88" t="str">
        <x:v>Sale/Event</x:v>
      </x:c>
      <x:c r="C723" s="88" t="str">
        <x:v>Winter 12M Omega sale</x:v>
      </x:c>
      <x:c r="D723" s="88" t="n">
        <x:v>12</x:v>
      </x:c>
      <x:c r="E723" s="88" t="n">
        <x:v>2</x:v>
      </x:c>
      <x:c r="F723" s="88" t="str">
        <x:v>NES MCT 30% sale</x:v>
      </x:c>
      <x:c r="G723" s="88" t="str">
        <x:v>NES single extractor</x:v>
      </x:c>
      <x:c r="H723" s="87" t="n">
        <x:f>'01 Base Costs'!$B$28</x:f>
        <x:v>2700</x:v>
      </x:c>
      <x:c r="I723" s="87" t="n">
        <x:f>'01 Base Costs'!$B$16*0.7</x:f>
        <x:v>339.5</x:v>
      </x:c>
      <x:c r="J723" s="87" t="n">
        <x:f>0</x:f>
        <x:v>0</x:v>
      </x:c>
      <x:c r="K723" s="87" t="n">
        <x:f>D723*(E723-1)*I723</x:f>
        <x:v>4074</x:v>
      </x:c>
      <x:c r="L723" s="87" t="n">
        <x:f>D723*(E723-1)*J723</x:f>
        <x:v>0</x:v>
      </x:c>
      <x:c r="M723" s="87" t="n">
        <x:f>0</x:f>
        <x:v>0</x:v>
      </x:c>
      <x:c r="N723" s="87" t="n">
        <x:f>H723+K723+M723</x:f>
        <x:v>6774</x:v>
      </x:c>
      <x:c r="O723" s="87" t="n">
        <x:f>N723*'01 Base Costs'!$B$7+L723</x:f>
        <x:v>32582940000</x:v>
      </x:c>
      <x:c r="P723" s="87" t="n">
        <x:f>D723*E723</x:f>
        <x:v>24</x:v>
      </x:c>
      <x:c r="Q723" s="87" t="n">
        <x:f>P723*'01 Base Costs'!$B$12</x:f>
        <x:v>46656000</x:v>
      </x:c>
      <x:c r="R723" s="87" t="n">
        <x:f>0</x:f>
        <x:v>0</x:v>
      </x:c>
      <x:c r="S723" s="87" t="n">
        <x:f>Q723+R723</x:f>
        <x:v>46656000</x:v>
      </x:c>
      <x:c r="T723" s="141" t="n">
        <x:f>S723/'01 Base Costs'!$B$14</x:f>
        <x:v>93.312</x:v>
      </x:c>
      <x:c r="U723" s="87" t="n">
        <x:f>INT(T723)</x:f>
        <x:v>93</x:v>
      </x:c>
      <x:c r="V723" s="87" t="n">
        <x:f>S723-U723*'01 Base Costs'!$B$14</x:f>
        <x:v>156000</x:v>
      </x:c>
      <x:c r="W723" s="120" t="n">
        <x:f>'01 Base Costs'!$B$17</x:f>
        <x:v>140</x:v>
      </x:c>
      <x:c r="X723" s="120" t="n">
        <x:f>0</x:f>
        <x:v>0</x:v>
      </x:c>
      <x:c r="Y723" s="87" t="n">
        <x:f>T723*(W723*'01 Base Costs'!$B$7+X723)</x:f>
        <x:v>62836300800</x:v>
      </x:c>
      <x:c r="Z723" s="87" t="n">
        <x:f>T723*'01 Base Costs'!$B$8</x:f>
        <x:v>70254604800</x:v>
      </x:c>
      <x:c r="AA723" s="87" t="n">
        <x:f>Z723*'01 Base Costs'!$B$11</x:f>
        <x:v>3512730240</x:v>
      </x:c>
      <x:c r="AB723" s="87" t="n">
        <x:f>Z723-AA723</x:f>
        <x:v>66741874560</x:v>
      </x:c>
      <x:c r="AC723" s="87" t="n">
        <x:f>O723+Y723</x:f>
        <x:v>95419240800</x:v>
      </x:c>
      <x:c r="AD723" s="87" t="n">
        <x:f>AB723-AC723</x:f>
        <x:v>-28677366240</x:v>
      </x:c>
      <x:c r="AE723" s="87" t="n">
        <x:f>AD723/D723</x:f>
        <x:v>-2389780520</x:v>
      </x:c>
      <x:c r="AF723" s="87" t="n">
        <x:f>AD723/P723</x:f>
        <x:v>-1194890260</x:v>
      </x:c>
      <x:c r="AG723" s="87" t="n">
        <x:f>IF(T723=0,0,AC723/T723/(1-'01 Base Costs'!$B$11))</x:f>
        <x:v>1076402886.0732079</x:v>
      </x:c>
      <x:c r="AH723" s="88" t="str">
        <x:f>IF(AD723&gt;0,"PROFIT","LOSS")</x:f>
        <x:v>LOSS</x:v>
      </x:c>
      <x:c r="AI723" s="89" t="str">
        <x:v>Official 12M Omega sale example. MCT sale 30% off. Base single extractor.</x:v>
      </x:c>
    </x:row>
    <x:row r="724">
      <x:c r="A724" s="86" t="n">
        <x:v>722</x:v>
      </x:c>
      <x:c r="B724" s="88" t="str">
        <x:v>Sale/Event</x:v>
      </x:c>
      <x:c r="C724" s="88" t="str">
        <x:v>Winter 12M Omega sale</x:v>
      </x:c>
      <x:c r="D724" s="88" t="n">
        <x:v>12</x:v>
      </x:c>
      <x:c r="E724" s="88" t="n">
        <x:v>2</x:v>
      </x:c>
      <x:c r="F724" s="88" t="str">
        <x:v>NES MCT 30% sale</x:v>
      </x:c>
      <x:c r="G724" s="88" t="str">
        <x:v>NES 5-pack extractor</x:v>
      </x:c>
      <x:c r="H724" s="87" t="n">
        <x:f>'01 Base Costs'!$B$28</x:f>
        <x:v>2700</x:v>
      </x:c>
      <x:c r="I724" s="87" t="n">
        <x:f>'01 Base Costs'!$B$16*0.7</x:f>
        <x:v>339.5</x:v>
      </x:c>
      <x:c r="J724" s="87" t="n">
        <x:f>0</x:f>
        <x:v>0</x:v>
      </x:c>
      <x:c r="K724" s="87" t="n">
        <x:f>D724*(E724-1)*I724</x:f>
        <x:v>4074</x:v>
      </x:c>
      <x:c r="L724" s="87" t="n">
        <x:f>D724*(E724-1)*J724</x:f>
        <x:v>0</x:v>
      </x:c>
      <x:c r="M724" s="87" t="n">
        <x:f>0</x:f>
        <x:v>0</x:v>
      </x:c>
      <x:c r="N724" s="87" t="n">
        <x:f>H724+K724+M724</x:f>
        <x:v>6774</x:v>
      </x:c>
      <x:c r="O724" s="87" t="n">
        <x:f>N724*'01 Base Costs'!$B$7+L724</x:f>
        <x:v>32582940000</x:v>
      </x:c>
      <x:c r="P724" s="87" t="n">
        <x:f>D724*E724</x:f>
        <x:v>24</x:v>
      </x:c>
      <x:c r="Q724" s="87" t="n">
        <x:f>P724*'01 Base Costs'!$B$12</x:f>
        <x:v>46656000</x:v>
      </x:c>
      <x:c r="R724" s="87" t="n">
        <x:f>0</x:f>
        <x:v>0</x:v>
      </x:c>
      <x:c r="S724" s="87" t="n">
        <x:f>Q724+R724</x:f>
        <x:v>46656000</x:v>
      </x:c>
      <x:c r="T724" s="141" t="n">
        <x:f>S724/'01 Base Costs'!$B$14</x:f>
        <x:v>93.312</x:v>
      </x:c>
      <x:c r="U724" s="87" t="n">
        <x:f>INT(T724)</x:f>
        <x:v>93</x:v>
      </x:c>
      <x:c r="V724" s="87" t="n">
        <x:f>S724-U724*'01 Base Costs'!$B$14</x:f>
        <x:v>156000</x:v>
      </x:c>
      <x:c r="W724" s="120" t="n">
        <x:f>'01 Base Costs'!$B$18/5</x:f>
        <x:v>126</x:v>
      </x:c>
      <x:c r="X724" s="120" t="n">
        <x:f>0</x:f>
        <x:v>0</x:v>
      </x:c>
      <x:c r="Y724" s="87" t="n">
        <x:f>T724*(W724*'01 Base Costs'!$B$7+X724)</x:f>
        <x:v>56552670720</x:v>
      </x:c>
      <x:c r="Z724" s="87" t="n">
        <x:f>T724*'01 Base Costs'!$B$8</x:f>
        <x:v>70254604800</x:v>
      </x:c>
      <x:c r="AA724" s="87" t="n">
        <x:f>Z724*'01 Base Costs'!$B$11</x:f>
        <x:v>3512730240</x:v>
      </x:c>
      <x:c r="AB724" s="87" t="n">
        <x:f>Z724-AA724</x:f>
        <x:v>66741874560</x:v>
      </x:c>
      <x:c r="AC724" s="87" t="n">
        <x:f>O724+Y724</x:f>
        <x:v>89135610720</x:v>
      </x:c>
      <x:c r="AD724" s="87" t="n">
        <x:f>AB724-AC724</x:f>
        <x:v>-22393736160</x:v>
      </x:c>
      <x:c r="AE724" s="87" t="n">
        <x:f>AD724/D724</x:f>
        <x:v>-1866144680</x:v>
      </x:c>
      <x:c r="AF724" s="87" t="n">
        <x:f>AD724/P724</x:f>
        <x:v>-933072340</x:v>
      </x:c>
      <x:c r="AG724" s="87" t="n">
        <x:f>IF(T724=0,0,AC724/T724/(1-'01 Base Costs'!$B$11))</x:f>
        <x:v>1005518675.5468919</x:v>
      </x:c>
      <x:c r="AH724" s="88" t="str">
        <x:f>IF(AD724&gt;0,"PROFIT","LOSS")</x:f>
        <x:v>LOSS</x:v>
      </x:c>
      <x:c r="AI724" s="89" t="str">
        <x:v>Official 12M Omega sale example. MCT sale 30% off. Base 5-pack average.</x:v>
      </x:c>
    </x:row>
    <x:row r="725">
      <x:c r="A725" s="86" t="n">
        <x:v>723</x:v>
      </x:c>
      <x:c r="B725" s="88" t="str">
        <x:v>Sale/Event</x:v>
      </x:c>
      <x:c r="C725" s="88" t="str">
        <x:v>Winter 12M Omega sale</x:v>
      </x:c>
      <x:c r="D725" s="88" t="n">
        <x:v>12</x:v>
      </x:c>
      <x:c r="E725" s="88" t="n">
        <x:v>2</x:v>
      </x:c>
      <x:c r="F725" s="88" t="str">
        <x:v>NES MCT 30% sale</x:v>
      </x:c>
      <x:c r="G725" s="88" t="str">
        <x:v>NES 10-pack extractor</x:v>
      </x:c>
      <x:c r="H725" s="87" t="n">
        <x:f>'01 Base Costs'!$B$28</x:f>
        <x:v>2700</x:v>
      </x:c>
      <x:c r="I725" s="87" t="n">
        <x:f>'01 Base Costs'!$B$16*0.7</x:f>
        <x:v>339.5</x:v>
      </x:c>
      <x:c r="J725" s="87" t="n">
        <x:f>0</x:f>
        <x:v>0</x:v>
      </x:c>
      <x:c r="K725" s="87" t="n">
        <x:f>D725*(E725-1)*I725</x:f>
        <x:v>4074</x:v>
      </x:c>
      <x:c r="L725" s="87" t="n">
        <x:f>D725*(E725-1)*J725</x:f>
        <x:v>0</x:v>
      </x:c>
      <x:c r="M725" s="87" t="n">
        <x:f>0</x:f>
        <x:v>0</x:v>
      </x:c>
      <x:c r="N725" s="87" t="n">
        <x:f>H725+K725+M725</x:f>
        <x:v>6774</x:v>
      </x:c>
      <x:c r="O725" s="87" t="n">
        <x:f>N725*'01 Base Costs'!$B$7+L725</x:f>
        <x:v>32582940000</x:v>
      </x:c>
      <x:c r="P725" s="87" t="n">
        <x:f>D725*E725</x:f>
        <x:v>24</x:v>
      </x:c>
      <x:c r="Q725" s="87" t="n">
        <x:f>P725*'01 Base Costs'!$B$12</x:f>
        <x:v>46656000</x:v>
      </x:c>
      <x:c r="R725" s="87" t="n">
        <x:f>0</x:f>
        <x:v>0</x:v>
      </x:c>
      <x:c r="S725" s="87" t="n">
        <x:f>Q725+R725</x:f>
        <x:v>46656000</x:v>
      </x:c>
      <x:c r="T725" s="141" t="n">
        <x:f>S725/'01 Base Costs'!$B$14</x:f>
        <x:v>93.312</x:v>
      </x:c>
      <x:c r="U725" s="87" t="n">
        <x:f>INT(T725)</x:f>
        <x:v>93</x:v>
      </x:c>
      <x:c r="V725" s="87" t="n">
        <x:f>S725-U725*'01 Base Costs'!$B$14</x:f>
        <x:v>156000</x:v>
      </x:c>
      <x:c r="W725" s="120" t="n">
        <x:f>'01 Base Costs'!$B$19/10</x:f>
        <x:v>119</x:v>
      </x:c>
      <x:c r="X725" s="120" t="n">
        <x:f>0</x:f>
        <x:v>0</x:v>
      </x:c>
      <x:c r="Y725" s="87" t="n">
        <x:f>T725*(W725*'01 Base Costs'!$B$7+X725)</x:f>
        <x:v>53410855680</x:v>
      </x:c>
      <x:c r="Z725" s="87" t="n">
        <x:f>T725*'01 Base Costs'!$B$8</x:f>
        <x:v>70254604800</x:v>
      </x:c>
      <x:c r="AA725" s="87" t="n">
        <x:f>Z725*'01 Base Costs'!$B$11</x:f>
        <x:v>3512730240</x:v>
      </x:c>
      <x:c r="AB725" s="87" t="n">
        <x:f>Z725-AA725</x:f>
        <x:v>66741874560</x:v>
      </x:c>
      <x:c r="AC725" s="87" t="n">
        <x:f>O725+Y725</x:f>
        <x:v>85993795680</x:v>
      </x:c>
      <x:c r="AD725" s="87" t="n">
        <x:f>AB725-AC725</x:f>
        <x:v>-19251921120</x:v>
      </x:c>
      <x:c r="AE725" s="87" t="n">
        <x:f>AD725/D725</x:f>
        <x:v>-1604326760</x:v>
      </x:c>
      <x:c r="AF725" s="87" t="n">
        <x:f>AD725/P725</x:f>
        <x:v>-802163380</x:v>
      </x:c>
      <x:c r="AG725" s="87" t="n">
        <x:f>IF(T725=0,0,AC725/T725/(1-'01 Base Costs'!$B$11))</x:f>
        <x:v>970076570.2837341</x:v>
      </x:c>
      <x:c r="AH725" s="88" t="str">
        <x:f>IF(AD725&gt;0,"PROFIT","LOSS")</x:f>
        <x:v>LOSS</x:v>
      </x:c>
      <x:c r="AI725" s="89" t="str">
        <x:v>Official 12M Omega sale example. MCT sale 30% off. Base 10-pack average.</x:v>
      </x:c>
    </x:row>
    <x:row r="726">
      <x:c r="A726" s="86" t="n">
        <x:v>724</x:v>
      </x:c>
      <x:c r="B726" s="88" t="str">
        <x:v>Sale/Event</x:v>
      </x:c>
      <x:c r="C726" s="88" t="str">
        <x:v>Winter 12M Omega sale</x:v>
      </x:c>
      <x:c r="D726" s="88" t="n">
        <x:v>12</x:v>
      </x:c>
      <x:c r="E726" s="88" t="n">
        <x:v>2</x:v>
      </x:c>
      <x:c r="F726" s="88" t="str">
        <x:v>NES MCT 30% sale</x:v>
      </x:c>
      <x:c r="G726" s="88" t="str">
        <x:v>NES 50-pack extractor</x:v>
      </x:c>
      <x:c r="H726" s="87" t="n">
        <x:f>'01 Base Costs'!$B$28</x:f>
        <x:v>2700</x:v>
      </x:c>
      <x:c r="I726" s="87" t="n">
        <x:f>'01 Base Costs'!$B$16*0.7</x:f>
        <x:v>339.5</x:v>
      </x:c>
      <x:c r="J726" s="87" t="n">
        <x:f>0</x:f>
        <x:v>0</x:v>
      </x:c>
      <x:c r="K726" s="87" t="n">
        <x:f>D726*(E726-1)*I726</x:f>
        <x:v>4074</x:v>
      </x:c>
      <x:c r="L726" s="87" t="n">
        <x:f>D726*(E726-1)*J726</x:f>
        <x:v>0</x:v>
      </x:c>
      <x:c r="M726" s="87" t="n">
        <x:f>0</x:f>
        <x:v>0</x:v>
      </x:c>
      <x:c r="N726" s="87" t="n">
        <x:f>H726+K726+M726</x:f>
        <x:v>6774</x:v>
      </x:c>
      <x:c r="O726" s="87" t="n">
        <x:f>N726*'01 Base Costs'!$B$7+L726</x:f>
        <x:v>32582940000</x:v>
      </x:c>
      <x:c r="P726" s="87" t="n">
        <x:f>D726*E726</x:f>
        <x:v>24</x:v>
      </x:c>
      <x:c r="Q726" s="87" t="n">
        <x:f>P726*'01 Base Costs'!$B$12</x:f>
        <x:v>46656000</x:v>
      </x:c>
      <x:c r="R726" s="87" t="n">
        <x:f>0</x:f>
        <x:v>0</x:v>
      </x:c>
      <x:c r="S726" s="87" t="n">
        <x:f>Q726+R726</x:f>
        <x:v>46656000</x:v>
      </x:c>
      <x:c r="T726" s="141" t="n">
        <x:f>S726/'01 Base Costs'!$B$14</x:f>
        <x:v>93.312</x:v>
      </x:c>
      <x:c r="U726" s="87" t="n">
        <x:f>INT(T726)</x:f>
        <x:v>93</x:v>
      </x:c>
      <x:c r="V726" s="87" t="n">
        <x:f>S726-U726*'01 Base Costs'!$B$14</x:f>
        <x:v>156000</x:v>
      </x:c>
      <x:c r="W726" s="120" t="n">
        <x:f>'01 Base Costs'!$B$20/50</x:f>
        <x:v>112</x:v>
      </x:c>
      <x:c r="X726" s="120" t="n">
        <x:f>0</x:f>
        <x:v>0</x:v>
      </x:c>
      <x:c r="Y726" s="87" t="n">
        <x:f>T726*(W726*'01 Base Costs'!$B$7+X726)</x:f>
        <x:v>50269040640</x:v>
      </x:c>
      <x:c r="Z726" s="87" t="n">
        <x:f>T726*'01 Base Costs'!$B$8</x:f>
        <x:v>70254604800</x:v>
      </x:c>
      <x:c r="AA726" s="87" t="n">
        <x:f>Z726*'01 Base Costs'!$B$11</x:f>
        <x:v>3512730240</x:v>
      </x:c>
      <x:c r="AB726" s="87" t="n">
        <x:f>Z726-AA726</x:f>
        <x:v>66741874560</x:v>
      </x:c>
      <x:c r="AC726" s="87" t="n">
        <x:f>O726+Y726</x:f>
        <x:v>82851980640</x:v>
      </x:c>
      <x:c r="AD726" s="87" t="n">
        <x:f>AB726-AC726</x:f>
        <x:v>-16110106080</x:v>
      </x:c>
      <x:c r="AE726" s="87" t="n">
        <x:f>AD726/D726</x:f>
        <x:v>-1342508840</x:v>
      </x:c>
      <x:c r="AF726" s="87" t="n">
        <x:f>AD726/P726</x:f>
        <x:v>-671254420</x:v>
      </x:c>
      <x:c r="AG726" s="87" t="n">
        <x:f>IF(T726=0,0,AC726/T726/(1-'01 Base Costs'!$B$11))</x:f>
        <x:v>934634465.0205762</x:v>
      </x:c>
      <x:c r="AH726" s="88" t="str">
        <x:f>IF(AD726&gt;0,"PROFIT","LOSS")</x:f>
        <x:v>LOSS</x:v>
      </x:c>
      <x:c r="AI726" s="89" t="str">
        <x:v>Official 12M Omega sale example. MCT sale 30% off. Base 50-pack average.</x:v>
      </x:c>
    </x:row>
    <x:row r="727">
      <x:c r="A727" s="86" t="n">
        <x:v>725</x:v>
      </x:c>
      <x:c r="B727" s="88" t="str">
        <x:v>Sale/Event</x:v>
      </x:c>
      <x:c r="C727" s="88" t="str">
        <x:v>Winter 12M Omega sale</x:v>
      </x:c>
      <x:c r="D727" s="88" t="n">
        <x:v>12</x:v>
      </x:c>
      <x:c r="E727" s="88" t="n">
        <x:v>2</x:v>
      </x:c>
      <x:c r="F727" s="88" t="str">
        <x:v>NES MCT 30% sale</x:v>
      </x:c>
      <x:c r="G727" s="88" t="str">
        <x:v>NES 3-for-2 extractor sale</x:v>
      </x:c>
      <x:c r="H727" s="87" t="n">
        <x:f>'01 Base Costs'!$B$28</x:f>
        <x:v>2700</x:v>
      </x:c>
      <x:c r="I727" s="87" t="n">
        <x:f>'01 Base Costs'!$B$16*0.7</x:f>
        <x:v>339.5</x:v>
      </x:c>
      <x:c r="J727" s="87" t="n">
        <x:f>0</x:f>
        <x:v>0</x:v>
      </x:c>
      <x:c r="K727" s="87" t="n">
        <x:f>D727*(E727-1)*I727</x:f>
        <x:v>4074</x:v>
      </x:c>
      <x:c r="L727" s="87" t="n">
        <x:f>D727*(E727-1)*J727</x:f>
        <x:v>0</x:v>
      </x:c>
      <x:c r="M727" s="87" t="n">
        <x:f>0</x:f>
        <x:v>0</x:v>
      </x:c>
      <x:c r="N727" s="87" t="n">
        <x:f>H727+K727+M727</x:f>
        <x:v>6774</x:v>
      </x:c>
      <x:c r="O727" s="87" t="n">
        <x:f>N727*'01 Base Costs'!$B$7+L727</x:f>
        <x:v>32582940000</x:v>
      </x:c>
      <x:c r="P727" s="87" t="n">
        <x:f>D727*E727</x:f>
        <x:v>24</x:v>
      </x:c>
      <x:c r="Q727" s="87" t="n">
        <x:f>P727*'01 Base Costs'!$B$12</x:f>
        <x:v>46656000</x:v>
      </x:c>
      <x:c r="R727" s="87" t="n">
        <x:f>0</x:f>
        <x:v>0</x:v>
      </x:c>
      <x:c r="S727" s="87" t="n">
        <x:f>Q727+R727</x:f>
        <x:v>46656000</x:v>
      </x:c>
      <x:c r="T727" s="141" t="n">
        <x:f>S727/'01 Base Costs'!$B$14</x:f>
        <x:v>93.312</x:v>
      </x:c>
      <x:c r="U727" s="87" t="n">
        <x:f>INT(T727)</x:f>
        <x:v>93</x:v>
      </x:c>
      <x:c r="V727" s="87" t="n">
        <x:f>S727-U727*'01 Base Costs'!$B$14</x:f>
        <x:v>156000</x:v>
      </x:c>
      <x:c r="W727" s="120" t="n">
        <x:f>'01 Base Costs'!$B$17*2/3</x:f>
        <x:v>93.33333333333333</x:v>
      </x:c>
      <x:c r="X727" s="120" t="n">
        <x:f>0</x:f>
        <x:v>0</x:v>
      </x:c>
      <x:c r="Y727" s="87" t="n">
        <x:f>T727*(W727*'01 Base Costs'!$B$7+X727)</x:f>
        <x:v>41890867200</x:v>
      </x:c>
      <x:c r="Z727" s="87" t="n">
        <x:f>T727*'01 Base Costs'!$B$8</x:f>
        <x:v>70254604800</x:v>
      </x:c>
      <x:c r="AA727" s="87" t="n">
        <x:f>Z727*'01 Base Costs'!$B$11</x:f>
        <x:v>3512730240</x:v>
      </x:c>
      <x:c r="AB727" s="87" t="n">
        <x:f>Z727-AA727</x:f>
        <x:v>66741874560</x:v>
      </x:c>
      <x:c r="AC727" s="87" t="n">
        <x:f>O727+Y727</x:f>
        <x:v>74473807200</x:v>
      </x:c>
      <x:c r="AD727" s="87" t="n">
        <x:f>AB727-AC727</x:f>
        <x:v>-7731932640</x:v>
      </x:c>
      <x:c r="AE727" s="87" t="n">
        <x:f>AD727/D727</x:f>
        <x:v>-644327720</x:v>
      </x:c>
      <x:c r="AF727" s="87" t="n">
        <x:f>AD727/P727</x:f>
        <x:v>-322163860</x:v>
      </x:c>
      <x:c r="AG727" s="87" t="n">
        <x:f>IF(T727=0,0,AC727/T727/(1-'01 Base Costs'!$B$11))</x:f>
        <x:v>840122184.3188218</x:v>
      </x:c>
      <x:c r="AH727" s="88" t="str">
        <x:f>IF(AD727&gt;0,"PROFIT","LOSS")</x:f>
        <x:v>LOSS</x:v>
      </x:c>
      <x:c r="AI727" s="89" t="str">
        <x:v>Official 12M Omega sale example. MCT sale 30% off. Extractor 3-for-2 sale.</x:v>
      </x:c>
    </x:row>
    <x:row r="728">
      <x:c r="A728" s="86" t="n">
        <x:v>726</x:v>
      </x:c>
      <x:c r="B728" s="88" t="str">
        <x:v>Sale/Event</x:v>
      </x:c>
      <x:c r="C728" s="88" t="str">
        <x:v>Winter 12M Omega sale</x:v>
      </x:c>
      <x:c r="D728" s="88" t="n">
        <x:v>12</x:v>
      </x:c>
      <x:c r="E728" s="88" t="n">
        <x:v>2</x:v>
      </x:c>
      <x:c r="F728" s="88" t="str">
        <x:v>NES MCT 30% sale</x:v>
      </x:c>
      <x:c r="G728" s="88" t="str">
        <x:v>NES 2-for-1 extractor sale</x:v>
      </x:c>
      <x:c r="H728" s="87" t="n">
        <x:f>'01 Base Costs'!$B$28</x:f>
        <x:v>2700</x:v>
      </x:c>
      <x:c r="I728" s="87" t="n">
        <x:f>'01 Base Costs'!$B$16*0.7</x:f>
        <x:v>339.5</x:v>
      </x:c>
      <x:c r="J728" s="87" t="n">
        <x:f>0</x:f>
        <x:v>0</x:v>
      </x:c>
      <x:c r="K728" s="87" t="n">
        <x:f>D728*(E728-1)*I728</x:f>
        <x:v>4074</x:v>
      </x:c>
      <x:c r="L728" s="87" t="n">
        <x:f>D728*(E728-1)*J728</x:f>
        <x:v>0</x:v>
      </x:c>
      <x:c r="M728" s="87" t="n">
        <x:f>0</x:f>
        <x:v>0</x:v>
      </x:c>
      <x:c r="N728" s="87" t="n">
        <x:f>H728+K728+M728</x:f>
        <x:v>6774</x:v>
      </x:c>
      <x:c r="O728" s="87" t="n">
        <x:f>N728*'01 Base Costs'!$B$7+L728</x:f>
        <x:v>32582940000</x:v>
      </x:c>
      <x:c r="P728" s="87" t="n">
        <x:f>D728*E728</x:f>
        <x:v>24</x:v>
      </x:c>
      <x:c r="Q728" s="87" t="n">
        <x:f>P728*'01 Base Costs'!$B$12</x:f>
        <x:v>46656000</x:v>
      </x:c>
      <x:c r="R728" s="87" t="n">
        <x:f>0</x:f>
        <x:v>0</x:v>
      </x:c>
      <x:c r="S728" s="87" t="n">
        <x:f>Q728+R728</x:f>
        <x:v>46656000</x:v>
      </x:c>
      <x:c r="T728" s="141" t="n">
        <x:f>S728/'01 Base Costs'!$B$14</x:f>
        <x:v>93.312</x:v>
      </x:c>
      <x:c r="U728" s="87" t="n">
        <x:f>INT(T728)</x:f>
        <x:v>93</x:v>
      </x:c>
      <x:c r="V728" s="87" t="n">
        <x:f>S728-U728*'01 Base Costs'!$B$14</x:f>
        <x:v>156000</x:v>
      </x:c>
      <x:c r="W728" s="120" t="n">
        <x:f>'01 Base Costs'!$B$17/2</x:f>
        <x:v>70</x:v>
      </x:c>
      <x:c r="X728" s="120" t="n">
        <x:f>0</x:f>
        <x:v>0</x:v>
      </x:c>
      <x:c r="Y728" s="87" t="n">
        <x:f>T728*(W728*'01 Base Costs'!$B$7+X728)</x:f>
        <x:v>31418150400</x:v>
      </x:c>
      <x:c r="Z728" s="87" t="n">
        <x:f>T728*'01 Base Costs'!$B$8</x:f>
        <x:v>70254604800</x:v>
      </x:c>
      <x:c r="AA728" s="87" t="n">
        <x:f>Z728*'01 Base Costs'!$B$11</x:f>
        <x:v>3512730240</x:v>
      </x:c>
      <x:c r="AB728" s="87" t="n">
        <x:f>Z728-AA728</x:f>
        <x:v>66741874560</x:v>
      </x:c>
      <x:c r="AC728" s="87" t="n">
        <x:f>O728+Y728</x:f>
        <x:v>64001090400</x:v>
      </x:c>
      <x:c r="AD728" s="87" t="n">
        <x:f>AB728-AC728</x:f>
        <x:v>2740784160</x:v>
      </x:c>
      <x:c r="AE728" s="87" t="n">
        <x:f>AD728/D728</x:f>
        <x:v>228398680</x:v>
      </x:c>
      <x:c r="AF728" s="87" t="n">
        <x:f>AD728/P728</x:f>
        <x:v>114199340</x:v>
      </x:c>
      <x:c r="AG728" s="87" t="n">
        <x:f>IF(T728=0,0,AC728/T728/(1-'01 Base Costs'!$B$11))</x:f>
        <x:v>721981833.4416288</x:v>
      </x:c>
      <x:c r="AH728" s="88" t="str">
        <x:f>IF(AD728&gt;0,"PROFIT","LOSS")</x:f>
        <x:v>PROFIT</x:v>
      </x:c>
      <x:c r="AI728" s="89" t="str">
        <x:v>Official 12M Omega sale example. MCT sale 30% off. Extractor 2-for-1 sale.</x:v>
      </x:c>
    </x:row>
    <x:row r="729">
      <x:c r="A729" s="86" t="n">
        <x:v>727</x:v>
      </x:c>
      <x:c r="B729" s="88" t="str">
        <x:v>Sale/Event</x:v>
      </x:c>
      <x:c r="C729" s="88" t="str">
        <x:v>Winter 12M Omega sale</x:v>
      </x:c>
      <x:c r="D729" s="88" t="n">
        <x:v>12</x:v>
      </x:c>
      <x:c r="E729" s="88" t="n">
        <x:v>2</x:v>
      </x:c>
      <x:c r="F729" s="88" t="str">
        <x:v>NES MCT 30% sale</x:v>
      </x:c>
      <x:c r="G729" s="88" t="str">
        <x:v>NES 10-pack extractor 20% sale</x:v>
      </x:c>
      <x:c r="H729" s="87" t="n">
        <x:f>'01 Base Costs'!$B$28</x:f>
        <x:v>2700</x:v>
      </x:c>
      <x:c r="I729" s="87" t="n">
        <x:f>'01 Base Costs'!$B$16*0.7</x:f>
        <x:v>339.5</x:v>
      </x:c>
      <x:c r="J729" s="87" t="n">
        <x:f>0</x:f>
        <x:v>0</x:v>
      </x:c>
      <x:c r="K729" s="87" t="n">
        <x:f>D729*(E729-1)*I729</x:f>
        <x:v>4074</x:v>
      </x:c>
      <x:c r="L729" s="87" t="n">
        <x:f>D729*(E729-1)*J729</x:f>
        <x:v>0</x:v>
      </x:c>
      <x:c r="M729" s="87" t="n">
        <x:f>0</x:f>
        <x:v>0</x:v>
      </x:c>
      <x:c r="N729" s="87" t="n">
        <x:f>H729+K729+M729</x:f>
        <x:v>6774</x:v>
      </x:c>
      <x:c r="O729" s="87" t="n">
        <x:f>N729*'01 Base Costs'!$B$7+L729</x:f>
        <x:v>32582940000</x:v>
      </x:c>
      <x:c r="P729" s="87" t="n">
        <x:f>D729*E729</x:f>
        <x:v>24</x:v>
      </x:c>
      <x:c r="Q729" s="87" t="n">
        <x:f>P729*'01 Base Costs'!$B$12</x:f>
        <x:v>46656000</x:v>
      </x:c>
      <x:c r="R729" s="87" t="n">
        <x:f>0</x:f>
        <x:v>0</x:v>
      </x:c>
      <x:c r="S729" s="87" t="n">
        <x:f>Q729+R729</x:f>
        <x:v>46656000</x:v>
      </x:c>
      <x:c r="T729" s="141" t="n">
        <x:f>S729/'01 Base Costs'!$B$14</x:f>
        <x:v>93.312</x:v>
      </x:c>
      <x:c r="U729" s="87" t="n">
        <x:f>INT(T729)</x:f>
        <x:v>93</x:v>
      </x:c>
      <x:c r="V729" s="87" t="n">
        <x:f>S729-U729*'01 Base Costs'!$B$14</x:f>
        <x:v>156000</x:v>
      </x:c>
      <x:c r="W729" s="120" t="n">
        <x:f>'01 Base Costs'!$B$19*0.8/10</x:f>
        <x:v>95.2</x:v>
      </x:c>
      <x:c r="X729" s="120" t="n">
        <x:f>0</x:f>
        <x:v>0</x:v>
      </x:c>
      <x:c r="Y729" s="87" t="n">
        <x:f>T729*(W729*'01 Base Costs'!$B$7+X729)</x:f>
        <x:v>42728684544</x:v>
      </x:c>
      <x:c r="Z729" s="87" t="n">
        <x:f>T729*'01 Base Costs'!$B$8</x:f>
        <x:v>70254604800</x:v>
      </x:c>
      <x:c r="AA729" s="87" t="n">
        <x:f>Z729*'01 Base Costs'!$B$11</x:f>
        <x:v>3512730240</x:v>
      </x:c>
      <x:c r="AB729" s="87" t="n">
        <x:f>Z729-AA729</x:f>
        <x:v>66741874560</x:v>
      </x:c>
      <x:c r="AC729" s="87" t="n">
        <x:f>O729+Y729</x:f>
        <x:v>75311624544</x:v>
      </x:c>
      <x:c r="AD729" s="87" t="n">
        <x:f>AB729-AC729</x:f>
        <x:v>-8569749984</x:v>
      </x:c>
      <x:c r="AE729" s="87" t="n">
        <x:f>AD729/D729</x:f>
        <x:v>-714145832</x:v>
      </x:c>
      <x:c r="AF729" s="87" t="n">
        <x:f>AD729/P729</x:f>
        <x:v>-357072916</x:v>
      </x:c>
      <x:c r="AG729" s="87" t="n">
        <x:f>IF(T729=0,0,AC729/T729/(1-'01 Base Costs'!$B$11))</x:f>
        <x:v>849573412.3889972</x:v>
      </x:c>
      <x:c r="AH729" s="88" t="str">
        <x:f>IF(AD729&gt;0,"PROFIT","LOSS")</x:f>
        <x:v>LOSS</x:v>
      </x:c>
      <x:c r="AI729" s="89" t="str">
        <x:v>Official 12M Omega sale example. MCT sale 30% off. 10-pack at 20% off.</x:v>
      </x:c>
    </x:row>
    <x:row r="730">
      <x:c r="A730" s="86" t="n">
        <x:v>728</x:v>
      </x:c>
      <x:c r="B730" s="88" t="str">
        <x:v>Sale/Event</x:v>
      </x:c>
      <x:c r="C730" s="88" t="str">
        <x:v>Winter 12M Omega sale</x:v>
      </x:c>
      <x:c r="D730" s="88" t="n">
        <x:v>12</x:v>
      </x:c>
      <x:c r="E730" s="88" t="n">
        <x:v>2</x:v>
      </x:c>
      <x:c r="F730" s="88" t="str">
        <x:v>NES MCT 30% sale</x:v>
      </x:c>
      <x:c r="G730" s="88" t="str">
        <x:v>NES 50-pack extractor 20% sale</x:v>
      </x:c>
      <x:c r="H730" s="87" t="n">
        <x:f>'01 Base Costs'!$B$28</x:f>
        <x:v>2700</x:v>
      </x:c>
      <x:c r="I730" s="87" t="n">
        <x:f>'01 Base Costs'!$B$16*0.7</x:f>
        <x:v>339.5</x:v>
      </x:c>
      <x:c r="J730" s="87" t="n">
        <x:f>0</x:f>
        <x:v>0</x:v>
      </x:c>
      <x:c r="K730" s="87" t="n">
        <x:f>D730*(E730-1)*I730</x:f>
        <x:v>4074</x:v>
      </x:c>
      <x:c r="L730" s="87" t="n">
        <x:f>D730*(E730-1)*J730</x:f>
        <x:v>0</x:v>
      </x:c>
      <x:c r="M730" s="87" t="n">
        <x:f>0</x:f>
        <x:v>0</x:v>
      </x:c>
      <x:c r="N730" s="87" t="n">
        <x:f>H730+K730+M730</x:f>
        <x:v>6774</x:v>
      </x:c>
      <x:c r="O730" s="87" t="n">
        <x:f>N730*'01 Base Costs'!$B$7+L730</x:f>
        <x:v>32582940000</x:v>
      </x:c>
      <x:c r="P730" s="87" t="n">
        <x:f>D730*E730</x:f>
        <x:v>24</x:v>
      </x:c>
      <x:c r="Q730" s="87" t="n">
        <x:f>P730*'01 Base Costs'!$B$12</x:f>
        <x:v>46656000</x:v>
      </x:c>
      <x:c r="R730" s="87" t="n">
        <x:f>0</x:f>
        <x:v>0</x:v>
      </x:c>
      <x:c r="S730" s="87" t="n">
        <x:f>Q730+R730</x:f>
        <x:v>46656000</x:v>
      </x:c>
      <x:c r="T730" s="141" t="n">
        <x:f>S730/'01 Base Costs'!$B$14</x:f>
        <x:v>93.312</x:v>
      </x:c>
      <x:c r="U730" s="87" t="n">
        <x:f>INT(T730)</x:f>
        <x:v>93</x:v>
      </x:c>
      <x:c r="V730" s="87" t="n">
        <x:f>S730-U730*'01 Base Costs'!$B$14</x:f>
        <x:v>156000</x:v>
      </x:c>
      <x:c r="W730" s="120" t="n">
        <x:f>'01 Base Costs'!$B$20*0.8/50</x:f>
        <x:v>89.6</x:v>
      </x:c>
      <x:c r="X730" s="120" t="n">
        <x:f>0</x:f>
        <x:v>0</x:v>
      </x:c>
      <x:c r="Y730" s="87" t="n">
        <x:f>T730*(W730*'01 Base Costs'!$B$7+X730)</x:f>
        <x:v>40215232512</x:v>
      </x:c>
      <x:c r="Z730" s="87" t="n">
        <x:f>T730*'01 Base Costs'!$B$8</x:f>
        <x:v>70254604800</x:v>
      </x:c>
      <x:c r="AA730" s="87" t="n">
        <x:f>Z730*'01 Base Costs'!$B$11</x:f>
        <x:v>3512730240</x:v>
      </x:c>
      <x:c r="AB730" s="87" t="n">
        <x:f>Z730-AA730</x:f>
        <x:v>66741874560</x:v>
      </x:c>
      <x:c r="AC730" s="87" t="n">
        <x:f>O730+Y730</x:f>
        <x:v>72798172512</x:v>
      </x:c>
      <x:c r="AD730" s="87" t="n">
        <x:f>AB730-AC730</x:f>
        <x:v>-6056297952</x:v>
      </x:c>
      <x:c r="AE730" s="87" t="n">
        <x:f>AD730/D730</x:f>
        <x:v>-504691496</x:v>
      </x:c>
      <x:c r="AF730" s="87" t="n">
        <x:f>AD730/P730</x:f>
        <x:v>-252345748</x:v>
      </x:c>
      <x:c r="AG730" s="87" t="n">
        <x:f>IF(T730=0,0,AC730/T730/(1-'01 Base Costs'!$B$11))</x:f>
        <x:v>821219728.178471</x:v>
      </x:c>
      <x:c r="AH730" s="88" t="str">
        <x:f>IF(AD730&gt;0,"PROFIT","LOSS")</x:f>
        <x:v>LOSS</x:v>
      </x:c>
      <x:c r="AI730" s="89" t="str">
        <x:v>Official 12M Omega sale example. MCT sale 30% off. 50-pack at 20% off.</x:v>
      </x:c>
    </x:row>
    <x:row r="731">
      <x:c r="A731" s="86" t="n">
        <x:v>729</x:v>
      </x:c>
      <x:c r="B731" s="88" t="str">
        <x:v>Sale/Event</x:v>
      </x:c>
      <x:c r="C731" s="88" t="str">
        <x:v>Winter 12M Omega sale</x:v>
      </x:c>
      <x:c r="D731" s="88" t="n">
        <x:v>12</x:v>
      </x:c>
      <x:c r="E731" s="88" t="n">
        <x:v>2</x:v>
      </x:c>
      <x:c r="F731" s="88" t="str">
        <x:v>NES MCT 30% sale</x:v>
      </x:c>
      <x:c r="G731" s="88" t="str">
        <x:v>Market Skill Extractor</x:v>
      </x:c>
      <x:c r="H731" s="87" t="n">
        <x:f>'01 Base Costs'!$B$28</x:f>
        <x:v>2700</x:v>
      </x:c>
      <x:c r="I731" s="87" t="n">
        <x:f>'01 Base Costs'!$B$16*0.7</x:f>
        <x:v>339.5</x:v>
      </x:c>
      <x:c r="J731" s="87" t="n">
        <x:f>0</x:f>
        <x:v>0</x:v>
      </x:c>
      <x:c r="K731" s="87" t="n">
        <x:f>D731*(E731-1)*I731</x:f>
        <x:v>4074</x:v>
      </x:c>
      <x:c r="L731" s="87" t="n">
        <x:f>D731*(E731-1)*J731</x:f>
        <x:v>0</x:v>
      </x:c>
      <x:c r="M731" s="87" t="n">
        <x:f>0</x:f>
        <x:v>0</x:v>
      </x:c>
      <x:c r="N731" s="87" t="n">
        <x:f>H731+K731+M731</x:f>
        <x:v>6774</x:v>
      </x:c>
      <x:c r="O731" s="87" t="n">
        <x:f>N731*'01 Base Costs'!$B$7+L731</x:f>
        <x:v>32582940000</x:v>
      </x:c>
      <x:c r="P731" s="87" t="n">
        <x:f>D731*E731</x:f>
        <x:v>24</x:v>
      </x:c>
      <x:c r="Q731" s="87" t="n">
        <x:f>P731*'01 Base Costs'!$B$12</x:f>
        <x:v>46656000</x:v>
      </x:c>
      <x:c r="R731" s="87" t="n">
        <x:f>0</x:f>
        <x:v>0</x:v>
      </x:c>
      <x:c r="S731" s="87" t="n">
        <x:f>Q731+R731</x:f>
        <x:v>46656000</x:v>
      </x:c>
      <x:c r="T731" s="141" t="n">
        <x:f>S731/'01 Base Costs'!$B$14</x:f>
        <x:v>93.312</x:v>
      </x:c>
      <x:c r="U731" s="87" t="n">
        <x:f>INT(T731)</x:f>
        <x:v>93</x:v>
      </x:c>
      <x:c r="V731" s="87" t="n">
        <x:f>S731-U731*'01 Base Costs'!$B$14</x:f>
        <x:v>156000</x:v>
      </x:c>
      <x:c r="W731" s="120" t="n">
        <x:f>0</x:f>
        <x:v>0</x:v>
      </x:c>
      <x:c r="X731" s="120" t="n">
        <x:f>'01 Base Costs'!$B$9</x:f>
        <x:v>463500000</x:v>
      </x:c>
      <x:c r="Y731" s="87" t="n">
        <x:f>T731*(W731*'01 Base Costs'!$B$7+X731)</x:f>
        <x:v>43250112000</x:v>
      </x:c>
      <x:c r="Z731" s="87" t="n">
        <x:f>T731*'01 Base Costs'!$B$8</x:f>
        <x:v>70254604800</x:v>
      </x:c>
      <x:c r="AA731" s="87" t="n">
        <x:f>Z731*'01 Base Costs'!$B$11</x:f>
        <x:v>3512730240</x:v>
      </x:c>
      <x:c r="AB731" s="87" t="n">
        <x:f>Z731-AA731</x:f>
        <x:v>66741874560</x:v>
      </x:c>
      <x:c r="AC731" s="87" t="n">
        <x:f>O731+Y731</x:f>
        <x:v>75833052000</x:v>
      </x:c>
      <x:c r="AD731" s="87" t="n">
        <x:f>AB731-AC731</x:f>
        <x:v>-9091177440</x:v>
      </x:c>
      <x:c r="AE731" s="87" t="n">
        <x:f>AD731/D731</x:f>
        <x:v>-757598120</x:v>
      </x:c>
      <x:c r="AF731" s="87" t="n">
        <x:f>AD731/P731</x:f>
        <x:v>-378799060</x:v>
      </x:c>
      <x:c r="AG731" s="87" t="n">
        <x:f>IF(T731=0,0,AC731/T731/(1-'01 Base Costs'!$B$11))</x:f>
        <x:v>855455517.6521552</x:v>
      </x:c>
      <x:c r="AH731" s="88" t="str">
        <x:f>IF(AD731&gt;0,"PROFIT","LOSS")</x:f>
        <x:v>LOSS</x:v>
      </x:c>
      <x:c r="AI731" s="89" t="str">
        <x:v>Official 12M Omega sale example. MCT sale 30% off. Extractor bought on market with ISK.</x:v>
      </x:c>
    </x:row>
    <x:row r="732">
      <x:c r="A732" s="86" t="n">
        <x:v>730</x:v>
      </x:c>
      <x:c r="B732" s="88" t="str">
        <x:v>Sale/Event</x:v>
      </x:c>
      <x:c r="C732" s="88" t="str">
        <x:v>Winter 12M Omega sale</x:v>
      </x:c>
      <x:c r="D732" s="88" t="n">
        <x:v>12</x:v>
      </x:c>
      <x:c r="E732" s="88" t="n">
        <x:v>2</x:v>
      </x:c>
      <x:c r="F732" s="88" t="str">
        <x:v>NES MCT 40% sale</x:v>
      </x:c>
      <x:c r="G732" s="88" t="str">
        <x:v>NES single extractor</x:v>
      </x:c>
      <x:c r="H732" s="87" t="n">
        <x:f>'01 Base Costs'!$B$28</x:f>
        <x:v>2700</x:v>
      </x:c>
      <x:c r="I732" s="87" t="n">
        <x:f>'01 Base Costs'!$B$16*0.6</x:f>
        <x:v>291</x:v>
      </x:c>
      <x:c r="J732" s="87" t="n">
        <x:f>0</x:f>
        <x:v>0</x:v>
      </x:c>
      <x:c r="K732" s="87" t="n">
        <x:f>D732*(E732-1)*I732</x:f>
        <x:v>3492</x:v>
      </x:c>
      <x:c r="L732" s="87" t="n">
        <x:f>D732*(E732-1)*J732</x:f>
        <x:v>0</x:v>
      </x:c>
      <x:c r="M732" s="87" t="n">
        <x:f>0</x:f>
        <x:v>0</x:v>
      </x:c>
      <x:c r="N732" s="87" t="n">
        <x:f>H732+K732+M732</x:f>
        <x:v>6192</x:v>
      </x:c>
      <x:c r="O732" s="87" t="n">
        <x:f>N732*'01 Base Costs'!$B$7+L732</x:f>
        <x:v>29783520000</x:v>
      </x:c>
      <x:c r="P732" s="87" t="n">
        <x:f>D732*E732</x:f>
        <x:v>24</x:v>
      </x:c>
      <x:c r="Q732" s="87" t="n">
        <x:f>P732*'01 Base Costs'!$B$12</x:f>
        <x:v>46656000</x:v>
      </x:c>
      <x:c r="R732" s="87" t="n">
        <x:f>0</x:f>
        <x:v>0</x:v>
      </x:c>
      <x:c r="S732" s="87" t="n">
        <x:f>Q732+R732</x:f>
        <x:v>46656000</x:v>
      </x:c>
      <x:c r="T732" s="141" t="n">
        <x:f>S732/'01 Base Costs'!$B$14</x:f>
        <x:v>93.312</x:v>
      </x:c>
      <x:c r="U732" s="87" t="n">
        <x:f>INT(T732)</x:f>
        <x:v>93</x:v>
      </x:c>
      <x:c r="V732" s="87" t="n">
        <x:f>S732-U732*'01 Base Costs'!$B$14</x:f>
        <x:v>156000</x:v>
      </x:c>
      <x:c r="W732" s="120" t="n">
        <x:f>'01 Base Costs'!$B$17</x:f>
        <x:v>140</x:v>
      </x:c>
      <x:c r="X732" s="120" t="n">
        <x:f>0</x:f>
        <x:v>0</x:v>
      </x:c>
      <x:c r="Y732" s="87" t="n">
        <x:f>T732*(W732*'01 Base Costs'!$B$7+X732)</x:f>
        <x:v>62836300800</x:v>
      </x:c>
      <x:c r="Z732" s="87" t="n">
        <x:f>T732*'01 Base Costs'!$B$8</x:f>
        <x:v>70254604800</x:v>
      </x:c>
      <x:c r="AA732" s="87" t="n">
        <x:f>Z732*'01 Base Costs'!$B$11</x:f>
        <x:v>3512730240</x:v>
      </x:c>
      <x:c r="AB732" s="87" t="n">
        <x:f>Z732-AA732</x:f>
        <x:v>66741874560</x:v>
      </x:c>
      <x:c r="AC732" s="87" t="n">
        <x:f>O732+Y732</x:f>
        <x:v>92619820800</x:v>
      </x:c>
      <x:c r="AD732" s="87" t="n">
        <x:f>AB732-AC732</x:f>
        <x:v>-25877946240</x:v>
      </x:c>
      <x:c r="AE732" s="87" t="n">
        <x:f>AD732/D732</x:f>
        <x:v>-2156495520</x:v>
      </x:c>
      <x:c r="AF732" s="87" t="n">
        <x:f>AD732/P732</x:f>
        <x:v>-1078247760</x:v>
      </x:c>
      <x:c r="AG732" s="87" t="n">
        <x:f>IF(T732=0,0,AC732/T732/(1-'01 Base Costs'!$B$11))</x:f>
        <x:v>1044823261.8583497</x:v>
      </x:c>
      <x:c r="AH732" s="88" t="str">
        <x:f>IF(AD732&gt;0,"PROFIT","LOSS")</x:f>
        <x:v>LOSS</x:v>
      </x:c>
      <x:c r="AI732" s="89" t="str">
        <x:v>Official 12M Omega sale example. MCT sale 40% off. Base single extractor.</x:v>
      </x:c>
    </x:row>
    <x:row r="733">
      <x:c r="A733" s="86" t="n">
        <x:v>731</x:v>
      </x:c>
      <x:c r="B733" s="88" t="str">
        <x:v>Sale/Event</x:v>
      </x:c>
      <x:c r="C733" s="88" t="str">
        <x:v>Winter 12M Omega sale</x:v>
      </x:c>
      <x:c r="D733" s="88" t="n">
        <x:v>12</x:v>
      </x:c>
      <x:c r="E733" s="88" t="n">
        <x:v>2</x:v>
      </x:c>
      <x:c r="F733" s="88" t="str">
        <x:v>NES MCT 40% sale</x:v>
      </x:c>
      <x:c r="G733" s="88" t="str">
        <x:v>NES 5-pack extractor</x:v>
      </x:c>
      <x:c r="H733" s="87" t="n">
        <x:f>'01 Base Costs'!$B$28</x:f>
        <x:v>2700</x:v>
      </x:c>
      <x:c r="I733" s="87" t="n">
        <x:f>'01 Base Costs'!$B$16*0.6</x:f>
        <x:v>291</x:v>
      </x:c>
      <x:c r="J733" s="87" t="n">
        <x:f>0</x:f>
        <x:v>0</x:v>
      </x:c>
      <x:c r="K733" s="87" t="n">
        <x:f>D733*(E733-1)*I733</x:f>
        <x:v>3492</x:v>
      </x:c>
      <x:c r="L733" s="87" t="n">
        <x:f>D733*(E733-1)*J733</x:f>
        <x:v>0</x:v>
      </x:c>
      <x:c r="M733" s="87" t="n">
        <x:f>0</x:f>
        <x:v>0</x:v>
      </x:c>
      <x:c r="N733" s="87" t="n">
        <x:f>H733+K733+M733</x:f>
        <x:v>6192</x:v>
      </x:c>
      <x:c r="O733" s="87" t="n">
        <x:f>N733*'01 Base Costs'!$B$7+L733</x:f>
        <x:v>29783520000</x:v>
      </x:c>
      <x:c r="P733" s="87" t="n">
        <x:f>D733*E733</x:f>
        <x:v>24</x:v>
      </x:c>
      <x:c r="Q733" s="87" t="n">
        <x:f>P733*'01 Base Costs'!$B$12</x:f>
        <x:v>46656000</x:v>
      </x:c>
      <x:c r="R733" s="87" t="n">
        <x:f>0</x:f>
        <x:v>0</x:v>
      </x:c>
      <x:c r="S733" s="87" t="n">
        <x:f>Q733+R733</x:f>
        <x:v>46656000</x:v>
      </x:c>
      <x:c r="T733" s="141" t="n">
        <x:f>S733/'01 Base Costs'!$B$14</x:f>
        <x:v>93.312</x:v>
      </x:c>
      <x:c r="U733" s="87" t="n">
        <x:f>INT(T733)</x:f>
        <x:v>93</x:v>
      </x:c>
      <x:c r="V733" s="87" t="n">
        <x:f>S733-U733*'01 Base Costs'!$B$14</x:f>
        <x:v>156000</x:v>
      </x:c>
      <x:c r="W733" s="120" t="n">
        <x:f>'01 Base Costs'!$B$18/5</x:f>
        <x:v>126</x:v>
      </x:c>
      <x:c r="X733" s="120" t="n">
        <x:f>0</x:f>
        <x:v>0</x:v>
      </x:c>
      <x:c r="Y733" s="87" t="n">
        <x:f>T733*(W733*'01 Base Costs'!$B$7+X733)</x:f>
        <x:v>56552670720</x:v>
      </x:c>
      <x:c r="Z733" s="87" t="n">
        <x:f>T733*'01 Base Costs'!$B$8</x:f>
        <x:v>70254604800</x:v>
      </x:c>
      <x:c r="AA733" s="87" t="n">
        <x:f>Z733*'01 Base Costs'!$B$11</x:f>
        <x:v>3512730240</x:v>
      </x:c>
      <x:c r="AB733" s="87" t="n">
        <x:f>Z733-AA733</x:f>
        <x:v>66741874560</x:v>
      </x:c>
      <x:c r="AC733" s="87" t="n">
        <x:f>O733+Y733</x:f>
        <x:v>86336190720</x:v>
      </x:c>
      <x:c r="AD733" s="87" t="n">
        <x:f>AB733-AC733</x:f>
        <x:v>-19594316160</x:v>
      </x:c>
      <x:c r="AE733" s="87" t="n">
        <x:f>AD733/D733</x:f>
        <x:v>-1632859680</x:v>
      </x:c>
      <x:c r="AF733" s="87" t="n">
        <x:f>AD733/P733</x:f>
        <x:v>-816429840</x:v>
      </x:c>
      <x:c r="AG733" s="87" t="n">
        <x:f>IF(T733=0,0,AC733/T733/(1-'01 Base Costs'!$B$11))</x:f>
        <x:v>973939051.3320339</x:v>
      </x:c>
      <x:c r="AH733" s="88" t="str">
        <x:f>IF(AD733&gt;0,"PROFIT","LOSS")</x:f>
        <x:v>LOSS</x:v>
      </x:c>
      <x:c r="AI733" s="89" t="str">
        <x:v>Official 12M Omega sale example. MCT sale 40% off. Base 5-pack average.</x:v>
      </x:c>
    </x:row>
    <x:row r="734">
      <x:c r="A734" s="86" t="n">
        <x:v>732</x:v>
      </x:c>
      <x:c r="B734" s="88" t="str">
        <x:v>Sale/Event</x:v>
      </x:c>
      <x:c r="C734" s="88" t="str">
        <x:v>Winter 12M Omega sale</x:v>
      </x:c>
      <x:c r="D734" s="88" t="n">
        <x:v>12</x:v>
      </x:c>
      <x:c r="E734" s="88" t="n">
        <x:v>2</x:v>
      </x:c>
      <x:c r="F734" s="88" t="str">
        <x:v>NES MCT 40% sale</x:v>
      </x:c>
      <x:c r="G734" s="88" t="str">
        <x:v>NES 10-pack extractor</x:v>
      </x:c>
      <x:c r="H734" s="87" t="n">
        <x:f>'01 Base Costs'!$B$28</x:f>
        <x:v>2700</x:v>
      </x:c>
      <x:c r="I734" s="87" t="n">
        <x:f>'01 Base Costs'!$B$16*0.6</x:f>
        <x:v>291</x:v>
      </x:c>
      <x:c r="J734" s="87" t="n">
        <x:f>0</x:f>
        <x:v>0</x:v>
      </x:c>
      <x:c r="K734" s="87" t="n">
        <x:f>D734*(E734-1)*I734</x:f>
        <x:v>3492</x:v>
      </x:c>
      <x:c r="L734" s="87" t="n">
        <x:f>D734*(E734-1)*J734</x:f>
        <x:v>0</x:v>
      </x:c>
      <x:c r="M734" s="87" t="n">
        <x:f>0</x:f>
        <x:v>0</x:v>
      </x:c>
      <x:c r="N734" s="87" t="n">
        <x:f>H734+K734+M734</x:f>
        <x:v>6192</x:v>
      </x:c>
      <x:c r="O734" s="87" t="n">
        <x:f>N734*'01 Base Costs'!$B$7+L734</x:f>
        <x:v>29783520000</x:v>
      </x:c>
      <x:c r="P734" s="87" t="n">
        <x:f>D734*E734</x:f>
        <x:v>24</x:v>
      </x:c>
      <x:c r="Q734" s="87" t="n">
        <x:f>P734*'01 Base Costs'!$B$12</x:f>
        <x:v>46656000</x:v>
      </x:c>
      <x:c r="R734" s="87" t="n">
        <x:f>0</x:f>
        <x:v>0</x:v>
      </x:c>
      <x:c r="S734" s="87" t="n">
        <x:f>Q734+R734</x:f>
        <x:v>46656000</x:v>
      </x:c>
      <x:c r="T734" s="141" t="n">
        <x:f>S734/'01 Base Costs'!$B$14</x:f>
        <x:v>93.312</x:v>
      </x:c>
      <x:c r="U734" s="87" t="n">
        <x:f>INT(T734)</x:f>
        <x:v>93</x:v>
      </x:c>
      <x:c r="V734" s="87" t="n">
        <x:f>S734-U734*'01 Base Costs'!$B$14</x:f>
        <x:v>156000</x:v>
      </x:c>
      <x:c r="W734" s="120" t="n">
        <x:f>'01 Base Costs'!$B$19/10</x:f>
        <x:v>119</x:v>
      </x:c>
      <x:c r="X734" s="120" t="n">
        <x:f>0</x:f>
        <x:v>0</x:v>
      </x:c>
      <x:c r="Y734" s="87" t="n">
        <x:f>T734*(W734*'01 Base Costs'!$B$7+X734)</x:f>
        <x:v>53410855680</x:v>
      </x:c>
      <x:c r="Z734" s="87" t="n">
        <x:f>T734*'01 Base Costs'!$B$8</x:f>
        <x:v>70254604800</x:v>
      </x:c>
      <x:c r="AA734" s="87" t="n">
        <x:f>Z734*'01 Base Costs'!$B$11</x:f>
        <x:v>3512730240</x:v>
      </x:c>
      <x:c r="AB734" s="87" t="n">
        <x:f>Z734-AA734</x:f>
        <x:v>66741874560</x:v>
      </x:c>
      <x:c r="AC734" s="87" t="n">
        <x:f>O734+Y734</x:f>
        <x:v>83194375680</x:v>
      </x:c>
      <x:c r="AD734" s="87" t="n">
        <x:f>AB734-AC734</x:f>
        <x:v>-16452501120</x:v>
      </x:c>
      <x:c r="AE734" s="87" t="n">
        <x:f>AD734/D734</x:f>
        <x:v>-1371041760</x:v>
      </x:c>
      <x:c r="AF734" s="87" t="n">
        <x:f>AD734/P734</x:f>
        <x:v>-685520880</x:v>
      </x:c>
      <x:c r="AG734" s="87" t="n">
        <x:f>IF(T734=0,0,AC734/T734/(1-'01 Base Costs'!$B$11))</x:f>
        <x:v>938496946.0688759</x:v>
      </x:c>
      <x:c r="AH734" s="88" t="str">
        <x:f>IF(AD734&gt;0,"PROFIT","LOSS")</x:f>
        <x:v>LOSS</x:v>
      </x:c>
      <x:c r="AI734" s="89" t="str">
        <x:v>Official 12M Omega sale example. MCT sale 40% off. Base 10-pack average.</x:v>
      </x:c>
    </x:row>
    <x:row r="735">
      <x:c r="A735" s="86" t="n">
        <x:v>733</x:v>
      </x:c>
      <x:c r="B735" s="88" t="str">
        <x:v>Sale/Event</x:v>
      </x:c>
      <x:c r="C735" s="88" t="str">
        <x:v>Winter 12M Omega sale</x:v>
      </x:c>
      <x:c r="D735" s="88" t="n">
        <x:v>12</x:v>
      </x:c>
      <x:c r="E735" s="88" t="n">
        <x:v>2</x:v>
      </x:c>
      <x:c r="F735" s="88" t="str">
        <x:v>NES MCT 40% sale</x:v>
      </x:c>
      <x:c r="G735" s="88" t="str">
        <x:v>NES 50-pack extractor</x:v>
      </x:c>
      <x:c r="H735" s="87" t="n">
        <x:f>'01 Base Costs'!$B$28</x:f>
        <x:v>2700</x:v>
      </x:c>
      <x:c r="I735" s="87" t="n">
        <x:f>'01 Base Costs'!$B$16*0.6</x:f>
        <x:v>291</x:v>
      </x:c>
      <x:c r="J735" s="87" t="n">
        <x:f>0</x:f>
        <x:v>0</x:v>
      </x:c>
      <x:c r="K735" s="87" t="n">
        <x:f>D735*(E735-1)*I735</x:f>
        <x:v>3492</x:v>
      </x:c>
      <x:c r="L735" s="87" t="n">
        <x:f>D735*(E735-1)*J735</x:f>
        <x:v>0</x:v>
      </x:c>
      <x:c r="M735" s="87" t="n">
        <x:f>0</x:f>
        <x:v>0</x:v>
      </x:c>
      <x:c r="N735" s="87" t="n">
        <x:f>H735+K735+M735</x:f>
        <x:v>6192</x:v>
      </x:c>
      <x:c r="O735" s="87" t="n">
        <x:f>N735*'01 Base Costs'!$B$7+L735</x:f>
        <x:v>29783520000</x:v>
      </x:c>
      <x:c r="P735" s="87" t="n">
        <x:f>D735*E735</x:f>
        <x:v>24</x:v>
      </x:c>
      <x:c r="Q735" s="87" t="n">
        <x:f>P735*'01 Base Costs'!$B$12</x:f>
        <x:v>46656000</x:v>
      </x:c>
      <x:c r="R735" s="87" t="n">
        <x:f>0</x:f>
        <x:v>0</x:v>
      </x:c>
      <x:c r="S735" s="87" t="n">
        <x:f>Q735+R735</x:f>
        <x:v>46656000</x:v>
      </x:c>
      <x:c r="T735" s="141" t="n">
        <x:f>S735/'01 Base Costs'!$B$14</x:f>
        <x:v>93.312</x:v>
      </x:c>
      <x:c r="U735" s="87" t="n">
        <x:f>INT(T735)</x:f>
        <x:v>93</x:v>
      </x:c>
      <x:c r="V735" s="87" t="n">
        <x:f>S735-U735*'01 Base Costs'!$B$14</x:f>
        <x:v>156000</x:v>
      </x:c>
      <x:c r="W735" s="120" t="n">
        <x:f>'01 Base Costs'!$B$20/50</x:f>
        <x:v>112</x:v>
      </x:c>
      <x:c r="X735" s="120" t="n">
        <x:f>0</x:f>
        <x:v>0</x:v>
      </x:c>
      <x:c r="Y735" s="87" t="n">
        <x:f>T735*(W735*'01 Base Costs'!$B$7+X735)</x:f>
        <x:v>50269040640</x:v>
      </x:c>
      <x:c r="Z735" s="87" t="n">
        <x:f>T735*'01 Base Costs'!$B$8</x:f>
        <x:v>70254604800</x:v>
      </x:c>
      <x:c r="AA735" s="87" t="n">
        <x:f>Z735*'01 Base Costs'!$B$11</x:f>
        <x:v>3512730240</x:v>
      </x:c>
      <x:c r="AB735" s="87" t="n">
        <x:f>Z735-AA735</x:f>
        <x:v>66741874560</x:v>
      </x:c>
      <x:c r="AC735" s="87" t="n">
        <x:f>O735+Y735</x:f>
        <x:v>80052560640</x:v>
      </x:c>
      <x:c r="AD735" s="87" t="n">
        <x:f>AB735-AC735</x:f>
        <x:v>-13310686080</x:v>
      </x:c>
      <x:c r="AE735" s="87" t="n">
        <x:f>AD735/D735</x:f>
        <x:v>-1109223840</x:v>
      </x:c>
      <x:c r="AF735" s="87" t="n">
        <x:f>AD735/P735</x:f>
        <x:v>-554611920</x:v>
      </x:c>
      <x:c r="AG735" s="87" t="n">
        <x:f>IF(T735=0,0,AC735/T735/(1-'01 Base Costs'!$B$11))</x:f>
        <x:v>903054840.8057181</x:v>
      </x:c>
      <x:c r="AH735" s="88" t="str">
        <x:f>IF(AD735&gt;0,"PROFIT","LOSS")</x:f>
        <x:v>LOSS</x:v>
      </x:c>
      <x:c r="AI735" s="89" t="str">
        <x:v>Official 12M Omega sale example. MCT sale 40% off. Base 50-pack average.</x:v>
      </x:c>
    </x:row>
    <x:row r="736">
      <x:c r="A736" s="86" t="n">
        <x:v>734</x:v>
      </x:c>
      <x:c r="B736" s="88" t="str">
        <x:v>Sale/Event</x:v>
      </x:c>
      <x:c r="C736" s="88" t="str">
        <x:v>Winter 12M Omega sale</x:v>
      </x:c>
      <x:c r="D736" s="88" t="n">
        <x:v>12</x:v>
      </x:c>
      <x:c r="E736" s="88" t="n">
        <x:v>2</x:v>
      </x:c>
      <x:c r="F736" s="88" t="str">
        <x:v>NES MCT 40% sale</x:v>
      </x:c>
      <x:c r="G736" s="88" t="str">
        <x:v>NES 3-for-2 extractor sale</x:v>
      </x:c>
      <x:c r="H736" s="87" t="n">
        <x:f>'01 Base Costs'!$B$28</x:f>
        <x:v>2700</x:v>
      </x:c>
      <x:c r="I736" s="87" t="n">
        <x:f>'01 Base Costs'!$B$16*0.6</x:f>
        <x:v>291</x:v>
      </x:c>
      <x:c r="J736" s="87" t="n">
        <x:f>0</x:f>
        <x:v>0</x:v>
      </x:c>
      <x:c r="K736" s="87" t="n">
        <x:f>D736*(E736-1)*I736</x:f>
        <x:v>3492</x:v>
      </x:c>
      <x:c r="L736" s="87" t="n">
        <x:f>D736*(E736-1)*J736</x:f>
        <x:v>0</x:v>
      </x:c>
      <x:c r="M736" s="87" t="n">
        <x:f>0</x:f>
        <x:v>0</x:v>
      </x:c>
      <x:c r="N736" s="87" t="n">
        <x:f>H736+K736+M736</x:f>
        <x:v>6192</x:v>
      </x:c>
      <x:c r="O736" s="87" t="n">
        <x:f>N736*'01 Base Costs'!$B$7+L736</x:f>
        <x:v>29783520000</x:v>
      </x:c>
      <x:c r="P736" s="87" t="n">
        <x:f>D736*E736</x:f>
        <x:v>24</x:v>
      </x:c>
      <x:c r="Q736" s="87" t="n">
        <x:f>P736*'01 Base Costs'!$B$12</x:f>
        <x:v>46656000</x:v>
      </x:c>
      <x:c r="R736" s="87" t="n">
        <x:f>0</x:f>
        <x:v>0</x:v>
      </x:c>
      <x:c r="S736" s="87" t="n">
        <x:f>Q736+R736</x:f>
        <x:v>46656000</x:v>
      </x:c>
      <x:c r="T736" s="141" t="n">
        <x:f>S736/'01 Base Costs'!$B$14</x:f>
        <x:v>93.312</x:v>
      </x:c>
      <x:c r="U736" s="87" t="n">
        <x:f>INT(T736)</x:f>
        <x:v>93</x:v>
      </x:c>
      <x:c r="V736" s="87" t="n">
        <x:f>S736-U736*'01 Base Costs'!$B$14</x:f>
        <x:v>156000</x:v>
      </x:c>
      <x:c r="W736" s="120" t="n">
        <x:f>'01 Base Costs'!$B$17*2/3</x:f>
        <x:v>93.33333333333333</x:v>
      </x:c>
      <x:c r="X736" s="120" t="n">
        <x:f>0</x:f>
        <x:v>0</x:v>
      </x:c>
      <x:c r="Y736" s="87" t="n">
        <x:f>T736*(W736*'01 Base Costs'!$B$7+X736)</x:f>
        <x:v>41890867200</x:v>
      </x:c>
      <x:c r="Z736" s="87" t="n">
        <x:f>T736*'01 Base Costs'!$B$8</x:f>
        <x:v>70254604800</x:v>
      </x:c>
      <x:c r="AA736" s="87" t="n">
        <x:f>Z736*'01 Base Costs'!$B$11</x:f>
        <x:v>3512730240</x:v>
      </x:c>
      <x:c r="AB736" s="87" t="n">
        <x:f>Z736-AA736</x:f>
        <x:v>66741874560</x:v>
      </x:c>
      <x:c r="AC736" s="87" t="n">
        <x:f>O736+Y736</x:f>
        <x:v>71674387200</x:v>
      </x:c>
      <x:c r="AD736" s="87" t="n">
        <x:f>AB736-AC736</x:f>
        <x:v>-4932512640</x:v>
      </x:c>
      <x:c r="AE736" s="87" t="n">
        <x:f>AD736/D736</x:f>
        <x:v>-411042720</x:v>
      </x:c>
      <x:c r="AF736" s="87" t="n">
        <x:f>AD736/P736</x:f>
        <x:v>-205521360</x:v>
      </x:c>
      <x:c r="AG736" s="87" t="n">
        <x:f>IF(T736=0,0,AC736/T736/(1-'01 Base Costs'!$B$11))</x:f>
        <x:v>808542560.1039637</x:v>
      </x:c>
      <x:c r="AH736" s="88" t="str">
        <x:f>IF(AD736&gt;0,"PROFIT","LOSS")</x:f>
        <x:v>LOSS</x:v>
      </x:c>
      <x:c r="AI736" s="89" t="str">
        <x:v>Official 12M Omega sale example. MCT sale 40% off. Extractor 3-for-2 sale.</x:v>
      </x:c>
    </x:row>
    <x:row r="737">
      <x:c r="A737" s="86" t="n">
        <x:v>735</x:v>
      </x:c>
      <x:c r="B737" s="88" t="str">
        <x:v>Sale/Event</x:v>
      </x:c>
      <x:c r="C737" s="88" t="str">
        <x:v>Winter 12M Omega sale</x:v>
      </x:c>
      <x:c r="D737" s="88" t="n">
        <x:v>12</x:v>
      </x:c>
      <x:c r="E737" s="88" t="n">
        <x:v>2</x:v>
      </x:c>
      <x:c r="F737" s="88" t="str">
        <x:v>NES MCT 40% sale</x:v>
      </x:c>
      <x:c r="G737" s="88" t="str">
        <x:v>NES 2-for-1 extractor sale</x:v>
      </x:c>
      <x:c r="H737" s="87" t="n">
        <x:f>'01 Base Costs'!$B$28</x:f>
        <x:v>2700</x:v>
      </x:c>
      <x:c r="I737" s="87" t="n">
        <x:f>'01 Base Costs'!$B$16*0.6</x:f>
        <x:v>291</x:v>
      </x:c>
      <x:c r="J737" s="87" t="n">
        <x:f>0</x:f>
        <x:v>0</x:v>
      </x:c>
      <x:c r="K737" s="87" t="n">
        <x:f>D737*(E737-1)*I737</x:f>
        <x:v>3492</x:v>
      </x:c>
      <x:c r="L737" s="87" t="n">
        <x:f>D737*(E737-1)*J737</x:f>
        <x:v>0</x:v>
      </x:c>
      <x:c r="M737" s="87" t="n">
        <x:f>0</x:f>
        <x:v>0</x:v>
      </x:c>
      <x:c r="N737" s="87" t="n">
        <x:f>H737+K737+M737</x:f>
        <x:v>6192</x:v>
      </x:c>
      <x:c r="O737" s="87" t="n">
        <x:f>N737*'01 Base Costs'!$B$7+L737</x:f>
        <x:v>29783520000</x:v>
      </x:c>
      <x:c r="P737" s="87" t="n">
        <x:f>D737*E737</x:f>
        <x:v>24</x:v>
      </x:c>
      <x:c r="Q737" s="87" t="n">
        <x:f>P737*'01 Base Costs'!$B$12</x:f>
        <x:v>46656000</x:v>
      </x:c>
      <x:c r="R737" s="87" t="n">
        <x:f>0</x:f>
        <x:v>0</x:v>
      </x:c>
      <x:c r="S737" s="87" t="n">
        <x:f>Q737+R737</x:f>
        <x:v>46656000</x:v>
      </x:c>
      <x:c r="T737" s="141" t="n">
        <x:f>S737/'01 Base Costs'!$B$14</x:f>
        <x:v>93.312</x:v>
      </x:c>
      <x:c r="U737" s="87" t="n">
        <x:f>INT(T737)</x:f>
        <x:v>93</x:v>
      </x:c>
      <x:c r="V737" s="87" t="n">
        <x:f>S737-U737*'01 Base Costs'!$B$14</x:f>
        <x:v>156000</x:v>
      </x:c>
      <x:c r="W737" s="120" t="n">
        <x:f>'01 Base Costs'!$B$17/2</x:f>
        <x:v>70</x:v>
      </x:c>
      <x:c r="X737" s="120" t="n">
        <x:f>0</x:f>
        <x:v>0</x:v>
      </x:c>
      <x:c r="Y737" s="87" t="n">
        <x:f>T737*(W737*'01 Base Costs'!$B$7+X737)</x:f>
        <x:v>31418150400</x:v>
      </x:c>
      <x:c r="Z737" s="87" t="n">
        <x:f>T737*'01 Base Costs'!$B$8</x:f>
        <x:v>70254604800</x:v>
      </x:c>
      <x:c r="AA737" s="87" t="n">
        <x:f>Z737*'01 Base Costs'!$B$11</x:f>
        <x:v>3512730240</x:v>
      </x:c>
      <x:c r="AB737" s="87" t="n">
        <x:f>Z737-AA737</x:f>
        <x:v>66741874560</x:v>
      </x:c>
      <x:c r="AC737" s="87" t="n">
        <x:f>O737+Y737</x:f>
        <x:v>61201670400</x:v>
      </x:c>
      <x:c r="AD737" s="87" t="n">
        <x:f>AB737-AC737</x:f>
        <x:v>5540204160</x:v>
      </x:c>
      <x:c r="AE737" s="87" t="n">
        <x:f>AD737/D737</x:f>
        <x:v>461683680</x:v>
      </x:c>
      <x:c r="AF737" s="87" t="n">
        <x:f>AD737/P737</x:f>
        <x:v>230841840</x:v>
      </x:c>
      <x:c r="AG737" s="87" t="n">
        <x:f>IF(T737=0,0,AC737/T737/(1-'01 Base Costs'!$B$11))</x:f>
        <x:v>690402209.2267706</x:v>
      </x:c>
      <x:c r="AH737" s="88" t="str">
        <x:f>IF(AD737&gt;0,"PROFIT","LOSS")</x:f>
        <x:v>PROFIT</x:v>
      </x:c>
      <x:c r="AI737" s="89" t="str">
        <x:v>Official 12M Omega sale example. MCT sale 40% off. Extractor 2-for-1 sale.</x:v>
      </x:c>
    </x:row>
    <x:row r="738">
      <x:c r="A738" s="86" t="n">
        <x:v>736</x:v>
      </x:c>
      <x:c r="B738" s="88" t="str">
        <x:v>Sale/Event</x:v>
      </x:c>
      <x:c r="C738" s="88" t="str">
        <x:v>Winter 12M Omega sale</x:v>
      </x:c>
      <x:c r="D738" s="88" t="n">
        <x:v>12</x:v>
      </x:c>
      <x:c r="E738" s="88" t="n">
        <x:v>2</x:v>
      </x:c>
      <x:c r="F738" s="88" t="str">
        <x:v>NES MCT 40% sale</x:v>
      </x:c>
      <x:c r="G738" s="88" t="str">
        <x:v>NES 10-pack extractor 20% sale</x:v>
      </x:c>
      <x:c r="H738" s="87" t="n">
        <x:f>'01 Base Costs'!$B$28</x:f>
        <x:v>2700</x:v>
      </x:c>
      <x:c r="I738" s="87" t="n">
        <x:f>'01 Base Costs'!$B$16*0.6</x:f>
        <x:v>291</x:v>
      </x:c>
      <x:c r="J738" s="87" t="n">
        <x:f>0</x:f>
        <x:v>0</x:v>
      </x:c>
      <x:c r="K738" s="87" t="n">
        <x:f>D738*(E738-1)*I738</x:f>
        <x:v>3492</x:v>
      </x:c>
      <x:c r="L738" s="87" t="n">
        <x:f>D738*(E738-1)*J738</x:f>
        <x:v>0</x:v>
      </x:c>
      <x:c r="M738" s="87" t="n">
        <x:f>0</x:f>
        <x:v>0</x:v>
      </x:c>
      <x:c r="N738" s="87" t="n">
        <x:f>H738+K738+M738</x:f>
        <x:v>6192</x:v>
      </x:c>
      <x:c r="O738" s="87" t="n">
        <x:f>N738*'01 Base Costs'!$B$7+L738</x:f>
        <x:v>29783520000</x:v>
      </x:c>
      <x:c r="P738" s="87" t="n">
        <x:f>D738*E738</x:f>
        <x:v>24</x:v>
      </x:c>
      <x:c r="Q738" s="87" t="n">
        <x:f>P738*'01 Base Costs'!$B$12</x:f>
        <x:v>46656000</x:v>
      </x:c>
      <x:c r="R738" s="87" t="n">
        <x:f>0</x:f>
        <x:v>0</x:v>
      </x:c>
      <x:c r="S738" s="87" t="n">
        <x:f>Q738+R738</x:f>
        <x:v>46656000</x:v>
      </x:c>
      <x:c r="T738" s="141" t="n">
        <x:f>S738/'01 Base Costs'!$B$14</x:f>
        <x:v>93.312</x:v>
      </x:c>
      <x:c r="U738" s="87" t="n">
        <x:f>INT(T738)</x:f>
        <x:v>93</x:v>
      </x:c>
      <x:c r="V738" s="87" t="n">
        <x:f>S738-U738*'01 Base Costs'!$B$14</x:f>
        <x:v>156000</x:v>
      </x:c>
      <x:c r="W738" s="120" t="n">
        <x:f>'01 Base Costs'!$B$19*0.8/10</x:f>
        <x:v>95.2</x:v>
      </x:c>
      <x:c r="X738" s="120" t="n">
        <x:f>0</x:f>
        <x:v>0</x:v>
      </x:c>
      <x:c r="Y738" s="87" t="n">
        <x:f>T738*(W738*'01 Base Costs'!$B$7+X738)</x:f>
        <x:v>42728684544</x:v>
      </x:c>
      <x:c r="Z738" s="87" t="n">
        <x:f>T738*'01 Base Costs'!$B$8</x:f>
        <x:v>70254604800</x:v>
      </x:c>
      <x:c r="AA738" s="87" t="n">
        <x:f>Z738*'01 Base Costs'!$B$11</x:f>
        <x:v>3512730240</x:v>
      </x:c>
      <x:c r="AB738" s="87" t="n">
        <x:f>Z738-AA738</x:f>
        <x:v>66741874560</x:v>
      </x:c>
      <x:c r="AC738" s="87" t="n">
        <x:f>O738+Y738</x:f>
        <x:v>72512204544</x:v>
      </x:c>
      <x:c r="AD738" s="87" t="n">
        <x:f>AB738-AC738</x:f>
        <x:v>-5770329984</x:v>
      </x:c>
      <x:c r="AE738" s="87" t="n">
        <x:f>AD738/D738</x:f>
        <x:v>-480860832</x:v>
      </x:c>
      <x:c r="AF738" s="87" t="n">
        <x:f>AD738/P738</x:f>
        <x:v>-240430416</x:v>
      </x:c>
      <x:c r="AG738" s="87" t="n">
        <x:f>IF(T738=0,0,AC738/T738/(1-'01 Base Costs'!$B$11))</x:f>
        <x:v>817993788.1741391</x:v>
      </x:c>
      <x:c r="AH738" s="88" t="str">
        <x:f>IF(AD738&gt;0,"PROFIT","LOSS")</x:f>
        <x:v>LOSS</x:v>
      </x:c>
      <x:c r="AI738" s="89" t="str">
        <x:v>Official 12M Omega sale example. MCT sale 40% off. 10-pack at 20% off.</x:v>
      </x:c>
    </x:row>
    <x:row r="739">
      <x:c r="A739" s="86" t="n">
        <x:v>737</x:v>
      </x:c>
      <x:c r="B739" s="88" t="str">
        <x:v>Sale/Event</x:v>
      </x:c>
      <x:c r="C739" s="88" t="str">
        <x:v>Winter 12M Omega sale</x:v>
      </x:c>
      <x:c r="D739" s="88" t="n">
        <x:v>12</x:v>
      </x:c>
      <x:c r="E739" s="88" t="n">
        <x:v>2</x:v>
      </x:c>
      <x:c r="F739" s="88" t="str">
        <x:v>NES MCT 40% sale</x:v>
      </x:c>
      <x:c r="G739" s="88" t="str">
        <x:v>NES 50-pack extractor 20% sale</x:v>
      </x:c>
      <x:c r="H739" s="87" t="n">
        <x:f>'01 Base Costs'!$B$28</x:f>
        <x:v>2700</x:v>
      </x:c>
      <x:c r="I739" s="87" t="n">
        <x:f>'01 Base Costs'!$B$16*0.6</x:f>
        <x:v>291</x:v>
      </x:c>
      <x:c r="J739" s="87" t="n">
        <x:f>0</x:f>
        <x:v>0</x:v>
      </x:c>
      <x:c r="K739" s="87" t="n">
        <x:f>D739*(E739-1)*I739</x:f>
        <x:v>3492</x:v>
      </x:c>
      <x:c r="L739" s="87" t="n">
        <x:f>D739*(E739-1)*J739</x:f>
        <x:v>0</x:v>
      </x:c>
      <x:c r="M739" s="87" t="n">
        <x:f>0</x:f>
        <x:v>0</x:v>
      </x:c>
      <x:c r="N739" s="87" t="n">
        <x:f>H739+K739+M739</x:f>
        <x:v>6192</x:v>
      </x:c>
      <x:c r="O739" s="87" t="n">
        <x:f>N739*'01 Base Costs'!$B$7+L739</x:f>
        <x:v>29783520000</x:v>
      </x:c>
      <x:c r="P739" s="87" t="n">
        <x:f>D739*E739</x:f>
        <x:v>24</x:v>
      </x:c>
      <x:c r="Q739" s="87" t="n">
        <x:f>P739*'01 Base Costs'!$B$12</x:f>
        <x:v>46656000</x:v>
      </x:c>
      <x:c r="R739" s="87" t="n">
        <x:f>0</x:f>
        <x:v>0</x:v>
      </x:c>
      <x:c r="S739" s="87" t="n">
        <x:f>Q739+R739</x:f>
        <x:v>46656000</x:v>
      </x:c>
      <x:c r="T739" s="141" t="n">
        <x:f>S739/'01 Base Costs'!$B$14</x:f>
        <x:v>93.312</x:v>
      </x:c>
      <x:c r="U739" s="87" t="n">
        <x:f>INT(T739)</x:f>
        <x:v>93</x:v>
      </x:c>
      <x:c r="V739" s="87" t="n">
        <x:f>S739-U739*'01 Base Costs'!$B$14</x:f>
        <x:v>156000</x:v>
      </x:c>
      <x:c r="W739" s="120" t="n">
        <x:f>'01 Base Costs'!$B$20*0.8/50</x:f>
        <x:v>89.6</x:v>
      </x:c>
      <x:c r="X739" s="120" t="n">
        <x:f>0</x:f>
        <x:v>0</x:v>
      </x:c>
      <x:c r="Y739" s="87" t="n">
        <x:f>T739*(W739*'01 Base Costs'!$B$7+X739)</x:f>
        <x:v>40215232512</x:v>
      </x:c>
      <x:c r="Z739" s="87" t="n">
        <x:f>T739*'01 Base Costs'!$B$8</x:f>
        <x:v>70254604800</x:v>
      </x:c>
      <x:c r="AA739" s="87" t="n">
        <x:f>Z739*'01 Base Costs'!$B$11</x:f>
        <x:v>3512730240</x:v>
      </x:c>
      <x:c r="AB739" s="87" t="n">
        <x:f>Z739-AA739</x:f>
        <x:v>66741874560</x:v>
      </x:c>
      <x:c r="AC739" s="87" t="n">
        <x:f>O739+Y739</x:f>
        <x:v>69998752512</x:v>
      </x:c>
      <x:c r="AD739" s="87" t="n">
        <x:f>AB739-AC739</x:f>
        <x:v>-3256877952</x:v>
      </x:c>
      <x:c r="AE739" s="87" t="n">
        <x:f>AD739/D739</x:f>
        <x:v>-271406496</x:v>
      </x:c>
      <x:c r="AF739" s="87" t="n">
        <x:f>AD739/P739</x:f>
        <x:v>-135703248</x:v>
      </x:c>
      <x:c r="AG739" s="87" t="n">
        <x:f>IF(T739=0,0,AC739/T739/(1-'01 Base Costs'!$B$11))</x:f>
        <x:v>789640103.9636128</x:v>
      </x:c>
      <x:c r="AH739" s="88" t="str">
        <x:f>IF(AD739&gt;0,"PROFIT","LOSS")</x:f>
        <x:v>LOSS</x:v>
      </x:c>
      <x:c r="AI739" s="89" t="str">
        <x:v>Official 12M Omega sale example. MCT sale 40% off. 50-pack at 20% off.</x:v>
      </x:c>
    </x:row>
    <x:row r="740">
      <x:c r="A740" s="86" t="n">
        <x:v>738</x:v>
      </x:c>
      <x:c r="B740" s="88" t="str">
        <x:v>Sale/Event</x:v>
      </x:c>
      <x:c r="C740" s="88" t="str">
        <x:v>Winter 12M Omega sale</x:v>
      </x:c>
      <x:c r="D740" s="88" t="n">
        <x:v>12</x:v>
      </x:c>
      <x:c r="E740" s="88" t="n">
        <x:v>2</x:v>
      </x:c>
      <x:c r="F740" s="88" t="str">
        <x:v>NES MCT 40% sale</x:v>
      </x:c>
      <x:c r="G740" s="88" t="str">
        <x:v>Market Skill Extractor</x:v>
      </x:c>
      <x:c r="H740" s="87" t="n">
        <x:f>'01 Base Costs'!$B$28</x:f>
        <x:v>2700</x:v>
      </x:c>
      <x:c r="I740" s="87" t="n">
        <x:f>'01 Base Costs'!$B$16*0.6</x:f>
        <x:v>291</x:v>
      </x:c>
      <x:c r="J740" s="87" t="n">
        <x:f>0</x:f>
        <x:v>0</x:v>
      </x:c>
      <x:c r="K740" s="87" t="n">
        <x:f>D740*(E740-1)*I740</x:f>
        <x:v>3492</x:v>
      </x:c>
      <x:c r="L740" s="87" t="n">
        <x:f>D740*(E740-1)*J740</x:f>
        <x:v>0</x:v>
      </x:c>
      <x:c r="M740" s="87" t="n">
        <x:f>0</x:f>
        <x:v>0</x:v>
      </x:c>
      <x:c r="N740" s="87" t="n">
        <x:f>H740+K740+M740</x:f>
        <x:v>6192</x:v>
      </x:c>
      <x:c r="O740" s="87" t="n">
        <x:f>N740*'01 Base Costs'!$B$7+L740</x:f>
        <x:v>29783520000</x:v>
      </x:c>
      <x:c r="P740" s="87" t="n">
        <x:f>D740*E740</x:f>
        <x:v>24</x:v>
      </x:c>
      <x:c r="Q740" s="87" t="n">
        <x:f>P740*'01 Base Costs'!$B$12</x:f>
        <x:v>46656000</x:v>
      </x:c>
      <x:c r="R740" s="87" t="n">
        <x:f>0</x:f>
        <x:v>0</x:v>
      </x:c>
      <x:c r="S740" s="87" t="n">
        <x:f>Q740+R740</x:f>
        <x:v>46656000</x:v>
      </x:c>
      <x:c r="T740" s="141" t="n">
        <x:f>S740/'01 Base Costs'!$B$14</x:f>
        <x:v>93.312</x:v>
      </x:c>
      <x:c r="U740" s="87" t="n">
        <x:f>INT(T740)</x:f>
        <x:v>93</x:v>
      </x:c>
      <x:c r="V740" s="87" t="n">
        <x:f>S740-U740*'01 Base Costs'!$B$14</x:f>
        <x:v>156000</x:v>
      </x:c>
      <x:c r="W740" s="120" t="n">
        <x:f>0</x:f>
        <x:v>0</x:v>
      </x:c>
      <x:c r="X740" s="120" t="n">
        <x:f>'01 Base Costs'!$B$9</x:f>
        <x:v>463500000</x:v>
      </x:c>
      <x:c r="Y740" s="87" t="n">
        <x:f>T740*(W740*'01 Base Costs'!$B$7+X740)</x:f>
        <x:v>43250112000</x:v>
      </x:c>
      <x:c r="Z740" s="87" t="n">
        <x:f>T740*'01 Base Costs'!$B$8</x:f>
        <x:v>70254604800</x:v>
      </x:c>
      <x:c r="AA740" s="87" t="n">
        <x:f>Z740*'01 Base Costs'!$B$11</x:f>
        <x:v>3512730240</x:v>
      </x:c>
      <x:c r="AB740" s="87" t="n">
        <x:f>Z740-AA740</x:f>
        <x:v>66741874560</x:v>
      </x:c>
      <x:c r="AC740" s="87" t="n">
        <x:f>O740+Y740</x:f>
        <x:v>73033632000</x:v>
      </x:c>
      <x:c r="AD740" s="87" t="n">
        <x:f>AB740-AC740</x:f>
        <x:v>-6291757440</x:v>
      </x:c>
      <x:c r="AE740" s="87" t="n">
        <x:f>AD740/D740</x:f>
        <x:v>-524313120</x:v>
      </x:c>
      <x:c r="AF740" s="87" t="n">
        <x:f>AD740/P740</x:f>
        <x:v>-262156560</x:v>
      </x:c>
      <x:c r="AG740" s="87" t="n">
        <x:f>IF(T740=0,0,AC740/T740/(1-'01 Base Costs'!$B$11))</x:f>
        <x:v>823875893.437297</x:v>
      </x:c>
      <x:c r="AH740" s="88" t="str">
        <x:f>IF(AD740&gt;0,"PROFIT","LOSS")</x:f>
        <x:v>LOSS</x:v>
      </x:c>
      <x:c r="AI740" s="89" t="str">
        <x:v>Official 12M Omega sale example. MCT sale 40% off. Extractor bought on market with ISK.</x:v>
      </x:c>
    </x:row>
    <x:row r="741">
      <x:c r="A741" s="86" t="n">
        <x:v>739</x:v>
      </x:c>
      <x:c r="B741" s="88" t="str">
        <x:v>Sale/Event</x:v>
      </x:c>
      <x:c r="C741" s="88" t="str">
        <x:v>Winter 12M Omega sale</x:v>
      </x:c>
      <x:c r="D741" s="88" t="n">
        <x:v>12</x:v>
      </x:c>
      <x:c r="E741" s="88" t="n">
        <x:v>2</x:v>
      </x:c>
      <x:c r="F741" s="88" t="str">
        <x:v>Market MCT certificate</x:v>
      </x:c>
      <x:c r="G741" s="88" t="str">
        <x:v>NES single extractor</x:v>
      </x:c>
      <x:c r="H741" s="87" t="n">
        <x:f>'01 Base Costs'!$B$28</x:f>
        <x:v>2700</x:v>
      </x:c>
      <x:c r="I741" s="87" t="n">
        <x:f>0</x:f>
        <x:v>0</x:v>
      </x:c>
      <x:c r="J741" s="87" t="n">
        <x:f>'01 Base Costs'!$B$10</x:f>
        <x:v>2332850000</x:v>
      </x:c>
      <x:c r="K741" s="87" t="n">
        <x:f>D741*(E741-1)*I741</x:f>
        <x:v>0</x:v>
      </x:c>
      <x:c r="L741" s="87" t="n">
        <x:f>D741*(E741-1)*J741</x:f>
        <x:v>27994200000</x:v>
      </x:c>
      <x:c r="M741" s="87" t="n">
        <x:f>0</x:f>
        <x:v>0</x:v>
      </x:c>
      <x:c r="N741" s="87" t="n">
        <x:f>H741+K741+M741</x:f>
        <x:v>2700</x:v>
      </x:c>
      <x:c r="O741" s="87" t="n">
        <x:f>N741*'01 Base Costs'!$B$7+L741</x:f>
        <x:v>40981200000</x:v>
      </x:c>
      <x:c r="P741" s="87" t="n">
        <x:f>D741*E741</x:f>
        <x:v>24</x:v>
      </x:c>
      <x:c r="Q741" s="87" t="n">
        <x:f>P741*'01 Base Costs'!$B$12</x:f>
        <x:v>46656000</x:v>
      </x:c>
      <x:c r="R741" s="87" t="n">
        <x:f>0</x:f>
        <x:v>0</x:v>
      </x:c>
      <x:c r="S741" s="87" t="n">
        <x:f>Q741+R741</x:f>
        <x:v>46656000</x:v>
      </x:c>
      <x:c r="T741" s="141" t="n">
        <x:f>S741/'01 Base Costs'!$B$14</x:f>
        <x:v>93.312</x:v>
      </x:c>
      <x:c r="U741" s="87" t="n">
        <x:f>INT(T741)</x:f>
        <x:v>93</x:v>
      </x:c>
      <x:c r="V741" s="87" t="n">
        <x:f>S741-U741*'01 Base Costs'!$B$14</x:f>
        <x:v>156000</x:v>
      </x:c>
      <x:c r="W741" s="120" t="n">
        <x:f>'01 Base Costs'!$B$17</x:f>
        <x:v>140</x:v>
      </x:c>
      <x:c r="X741" s="120" t="n">
        <x:f>0</x:f>
        <x:v>0</x:v>
      </x:c>
      <x:c r="Y741" s="87" t="n">
        <x:f>T741*(W741*'01 Base Costs'!$B$7+X741)</x:f>
        <x:v>62836300800</x:v>
      </x:c>
      <x:c r="Z741" s="87" t="n">
        <x:f>T741*'01 Base Costs'!$B$8</x:f>
        <x:v>70254604800</x:v>
      </x:c>
      <x:c r="AA741" s="87" t="n">
        <x:f>Z741*'01 Base Costs'!$B$11</x:f>
        <x:v>3512730240</x:v>
      </x:c>
      <x:c r="AB741" s="87" t="n">
        <x:f>Z741-AA741</x:f>
        <x:v>66741874560</x:v>
      </x:c>
      <x:c r="AC741" s="87" t="n">
        <x:f>O741+Y741</x:f>
        <x:v>103817500800</x:v>
      </x:c>
      <x:c r="AD741" s="87" t="n">
        <x:f>AB741-AC741</x:f>
        <x:v>-37075626240</x:v>
      </x:c>
      <x:c r="AE741" s="87" t="n">
        <x:f>AD741/D741</x:f>
        <x:v>-3089635520</x:v>
      </x:c>
      <x:c r="AF741" s="87" t="n">
        <x:f>AD741/P741</x:f>
        <x:v>-1544817760</x:v>
      </x:c>
      <x:c r="AG741" s="87" t="n">
        <x:f>IF(T741=0,0,AC741/T741/(1-'01 Base Costs'!$B$11))</x:f>
        <x:v>1171141758.7177823</x:v>
      </x:c>
      <x:c r="AH741" s="88" t="str">
        <x:f>IF(AD741&gt;0,"PROFIT","LOSS")</x:f>
        <x:v>LOSS</x:v>
      </x:c>
      <x:c r="AI741" s="89" t="str">
        <x:v>Official 12M Omega sale example. MCT certificate bought with ISK market price. Base single extractor.</x:v>
      </x:c>
    </x:row>
    <x:row r="742">
      <x:c r="A742" s="86" t="n">
        <x:v>740</x:v>
      </x:c>
      <x:c r="B742" s="88" t="str">
        <x:v>Sale/Event</x:v>
      </x:c>
      <x:c r="C742" s="88" t="str">
        <x:v>Winter 12M Omega sale</x:v>
      </x:c>
      <x:c r="D742" s="88" t="n">
        <x:v>12</x:v>
      </x:c>
      <x:c r="E742" s="88" t="n">
        <x:v>2</x:v>
      </x:c>
      <x:c r="F742" s="88" t="str">
        <x:v>Market MCT certificate</x:v>
      </x:c>
      <x:c r="G742" s="88" t="str">
        <x:v>NES 5-pack extractor</x:v>
      </x:c>
      <x:c r="H742" s="87" t="n">
        <x:f>'01 Base Costs'!$B$28</x:f>
        <x:v>2700</x:v>
      </x:c>
      <x:c r="I742" s="87" t="n">
        <x:f>0</x:f>
        <x:v>0</x:v>
      </x:c>
      <x:c r="J742" s="87" t="n">
        <x:f>'01 Base Costs'!$B$10</x:f>
        <x:v>2332850000</x:v>
      </x:c>
      <x:c r="K742" s="87" t="n">
        <x:f>D742*(E742-1)*I742</x:f>
        <x:v>0</x:v>
      </x:c>
      <x:c r="L742" s="87" t="n">
        <x:f>D742*(E742-1)*J742</x:f>
        <x:v>27994200000</x:v>
      </x:c>
      <x:c r="M742" s="87" t="n">
        <x:f>0</x:f>
        <x:v>0</x:v>
      </x:c>
      <x:c r="N742" s="87" t="n">
        <x:f>H742+K742+M742</x:f>
        <x:v>2700</x:v>
      </x:c>
      <x:c r="O742" s="87" t="n">
        <x:f>N742*'01 Base Costs'!$B$7+L742</x:f>
        <x:v>40981200000</x:v>
      </x:c>
      <x:c r="P742" s="87" t="n">
        <x:f>D742*E742</x:f>
        <x:v>24</x:v>
      </x:c>
      <x:c r="Q742" s="87" t="n">
        <x:f>P742*'01 Base Costs'!$B$12</x:f>
        <x:v>46656000</x:v>
      </x:c>
      <x:c r="R742" s="87" t="n">
        <x:f>0</x:f>
        <x:v>0</x:v>
      </x:c>
      <x:c r="S742" s="87" t="n">
        <x:f>Q742+R742</x:f>
        <x:v>46656000</x:v>
      </x:c>
      <x:c r="T742" s="141" t="n">
        <x:f>S742/'01 Base Costs'!$B$14</x:f>
        <x:v>93.312</x:v>
      </x:c>
      <x:c r="U742" s="87" t="n">
        <x:f>INT(T742)</x:f>
        <x:v>93</x:v>
      </x:c>
      <x:c r="V742" s="87" t="n">
        <x:f>S742-U742*'01 Base Costs'!$B$14</x:f>
        <x:v>156000</x:v>
      </x:c>
      <x:c r="W742" s="120" t="n">
        <x:f>'01 Base Costs'!$B$18/5</x:f>
        <x:v>126</x:v>
      </x:c>
      <x:c r="X742" s="120" t="n">
        <x:f>0</x:f>
        <x:v>0</x:v>
      </x:c>
      <x:c r="Y742" s="87" t="n">
        <x:f>T742*(W742*'01 Base Costs'!$B$7+X742)</x:f>
        <x:v>56552670720</x:v>
      </x:c>
      <x:c r="Z742" s="87" t="n">
        <x:f>T742*'01 Base Costs'!$B$8</x:f>
        <x:v>70254604800</x:v>
      </x:c>
      <x:c r="AA742" s="87" t="n">
        <x:f>Z742*'01 Base Costs'!$B$11</x:f>
        <x:v>3512730240</x:v>
      </x:c>
      <x:c r="AB742" s="87" t="n">
        <x:f>Z742-AA742</x:f>
        <x:v>66741874560</x:v>
      </x:c>
      <x:c r="AC742" s="87" t="n">
        <x:f>O742+Y742</x:f>
        <x:v>97533870720</x:v>
      </x:c>
      <x:c r="AD742" s="87" t="n">
        <x:f>AB742-AC742</x:f>
        <x:v>-30791996160</x:v>
      </x:c>
      <x:c r="AE742" s="87" t="n">
        <x:f>AD742/D742</x:f>
        <x:v>-2565999680</x:v>
      </x:c>
      <x:c r="AF742" s="87" t="n">
        <x:f>AD742/P742</x:f>
        <x:v>-1282999840</x:v>
      </x:c>
      <x:c r="AG742" s="87" t="n">
        <x:f>IF(T742=0,0,AC742/T742/(1-'01 Base Costs'!$B$11))</x:f>
        <x:v>1100257548.1914663</x:v>
      </x:c>
      <x:c r="AH742" s="88" t="str">
        <x:f>IF(AD742&gt;0,"PROFIT","LOSS")</x:f>
        <x:v>LOSS</x:v>
      </x:c>
      <x:c r="AI742" s="89" t="str">
        <x:v>Official 12M Omega sale example. MCT certificate bought with ISK market price. Base 5-pack average.</x:v>
      </x:c>
    </x:row>
    <x:row r="743">
      <x:c r="A743" s="86" t="n">
        <x:v>741</x:v>
      </x:c>
      <x:c r="B743" s="88" t="str">
        <x:v>Sale/Event</x:v>
      </x:c>
      <x:c r="C743" s="88" t="str">
        <x:v>Winter 12M Omega sale</x:v>
      </x:c>
      <x:c r="D743" s="88" t="n">
        <x:v>12</x:v>
      </x:c>
      <x:c r="E743" s="88" t="n">
        <x:v>2</x:v>
      </x:c>
      <x:c r="F743" s="88" t="str">
        <x:v>Market MCT certificate</x:v>
      </x:c>
      <x:c r="G743" s="88" t="str">
        <x:v>NES 10-pack extractor</x:v>
      </x:c>
      <x:c r="H743" s="87" t="n">
        <x:f>'01 Base Costs'!$B$28</x:f>
        <x:v>2700</x:v>
      </x:c>
      <x:c r="I743" s="87" t="n">
        <x:f>0</x:f>
        <x:v>0</x:v>
      </x:c>
      <x:c r="J743" s="87" t="n">
        <x:f>'01 Base Costs'!$B$10</x:f>
        <x:v>2332850000</x:v>
      </x:c>
      <x:c r="K743" s="87" t="n">
        <x:f>D743*(E743-1)*I743</x:f>
        <x:v>0</x:v>
      </x:c>
      <x:c r="L743" s="87" t="n">
        <x:f>D743*(E743-1)*J743</x:f>
        <x:v>27994200000</x:v>
      </x:c>
      <x:c r="M743" s="87" t="n">
        <x:f>0</x:f>
        <x:v>0</x:v>
      </x:c>
      <x:c r="N743" s="87" t="n">
        <x:f>H743+K743+M743</x:f>
        <x:v>2700</x:v>
      </x:c>
      <x:c r="O743" s="87" t="n">
        <x:f>N743*'01 Base Costs'!$B$7+L743</x:f>
        <x:v>40981200000</x:v>
      </x:c>
      <x:c r="P743" s="87" t="n">
        <x:f>D743*E743</x:f>
        <x:v>24</x:v>
      </x:c>
      <x:c r="Q743" s="87" t="n">
        <x:f>P743*'01 Base Costs'!$B$12</x:f>
        <x:v>46656000</x:v>
      </x:c>
      <x:c r="R743" s="87" t="n">
        <x:f>0</x:f>
        <x:v>0</x:v>
      </x:c>
      <x:c r="S743" s="87" t="n">
        <x:f>Q743+R743</x:f>
        <x:v>46656000</x:v>
      </x:c>
      <x:c r="T743" s="141" t="n">
        <x:f>S743/'01 Base Costs'!$B$14</x:f>
        <x:v>93.312</x:v>
      </x:c>
      <x:c r="U743" s="87" t="n">
        <x:f>INT(T743)</x:f>
        <x:v>93</x:v>
      </x:c>
      <x:c r="V743" s="87" t="n">
        <x:f>S743-U743*'01 Base Costs'!$B$14</x:f>
        <x:v>156000</x:v>
      </x:c>
      <x:c r="W743" s="120" t="n">
        <x:f>'01 Base Costs'!$B$19/10</x:f>
        <x:v>119</x:v>
      </x:c>
      <x:c r="X743" s="120" t="n">
        <x:f>0</x:f>
        <x:v>0</x:v>
      </x:c>
      <x:c r="Y743" s="87" t="n">
        <x:f>T743*(W743*'01 Base Costs'!$B$7+X743)</x:f>
        <x:v>53410855680</x:v>
      </x:c>
      <x:c r="Z743" s="87" t="n">
        <x:f>T743*'01 Base Costs'!$B$8</x:f>
        <x:v>70254604800</x:v>
      </x:c>
      <x:c r="AA743" s="87" t="n">
        <x:f>Z743*'01 Base Costs'!$B$11</x:f>
        <x:v>3512730240</x:v>
      </x:c>
      <x:c r="AB743" s="87" t="n">
        <x:f>Z743-AA743</x:f>
        <x:v>66741874560</x:v>
      </x:c>
      <x:c r="AC743" s="87" t="n">
        <x:f>O743+Y743</x:f>
        <x:v>94392055680</x:v>
      </x:c>
      <x:c r="AD743" s="87" t="n">
        <x:f>AB743-AC743</x:f>
        <x:v>-27650181120</x:v>
      </x:c>
      <x:c r="AE743" s="87" t="n">
        <x:f>AD743/D743</x:f>
        <x:v>-2304181760</x:v>
      </x:c>
      <x:c r="AF743" s="87" t="n">
        <x:f>AD743/P743</x:f>
        <x:v>-1152090880</x:v>
      </x:c>
      <x:c r="AG743" s="87" t="n">
        <x:f>IF(T743=0,0,AC743/T743/(1-'01 Base Costs'!$B$11))</x:f>
        <x:v>1064815442.9283085</x:v>
      </x:c>
      <x:c r="AH743" s="88" t="str">
        <x:f>IF(AD743&gt;0,"PROFIT","LOSS")</x:f>
        <x:v>LOSS</x:v>
      </x:c>
      <x:c r="AI743" s="89" t="str">
        <x:v>Official 12M Omega sale example. MCT certificate bought with ISK market price. Base 10-pack average.</x:v>
      </x:c>
    </x:row>
    <x:row r="744">
      <x:c r="A744" s="86" t="n">
        <x:v>742</x:v>
      </x:c>
      <x:c r="B744" s="88" t="str">
        <x:v>Sale/Event</x:v>
      </x:c>
      <x:c r="C744" s="88" t="str">
        <x:v>Winter 12M Omega sale</x:v>
      </x:c>
      <x:c r="D744" s="88" t="n">
        <x:v>12</x:v>
      </x:c>
      <x:c r="E744" s="88" t="n">
        <x:v>2</x:v>
      </x:c>
      <x:c r="F744" s="88" t="str">
        <x:v>Market MCT certificate</x:v>
      </x:c>
      <x:c r="G744" s="88" t="str">
        <x:v>NES 50-pack extractor</x:v>
      </x:c>
      <x:c r="H744" s="87" t="n">
        <x:f>'01 Base Costs'!$B$28</x:f>
        <x:v>2700</x:v>
      </x:c>
      <x:c r="I744" s="87" t="n">
        <x:f>0</x:f>
        <x:v>0</x:v>
      </x:c>
      <x:c r="J744" s="87" t="n">
        <x:f>'01 Base Costs'!$B$10</x:f>
        <x:v>2332850000</x:v>
      </x:c>
      <x:c r="K744" s="87" t="n">
        <x:f>D744*(E744-1)*I744</x:f>
        <x:v>0</x:v>
      </x:c>
      <x:c r="L744" s="87" t="n">
        <x:f>D744*(E744-1)*J744</x:f>
        <x:v>27994200000</x:v>
      </x:c>
      <x:c r="M744" s="87" t="n">
        <x:f>0</x:f>
        <x:v>0</x:v>
      </x:c>
      <x:c r="N744" s="87" t="n">
        <x:f>H744+K744+M744</x:f>
        <x:v>2700</x:v>
      </x:c>
      <x:c r="O744" s="87" t="n">
        <x:f>N744*'01 Base Costs'!$B$7+L744</x:f>
        <x:v>40981200000</x:v>
      </x:c>
      <x:c r="P744" s="87" t="n">
        <x:f>D744*E744</x:f>
        <x:v>24</x:v>
      </x:c>
      <x:c r="Q744" s="87" t="n">
        <x:f>P744*'01 Base Costs'!$B$12</x:f>
        <x:v>46656000</x:v>
      </x:c>
      <x:c r="R744" s="87" t="n">
        <x:f>0</x:f>
        <x:v>0</x:v>
      </x:c>
      <x:c r="S744" s="87" t="n">
        <x:f>Q744+R744</x:f>
        <x:v>46656000</x:v>
      </x:c>
      <x:c r="T744" s="141" t="n">
        <x:f>S744/'01 Base Costs'!$B$14</x:f>
        <x:v>93.312</x:v>
      </x:c>
      <x:c r="U744" s="87" t="n">
        <x:f>INT(T744)</x:f>
        <x:v>93</x:v>
      </x:c>
      <x:c r="V744" s="87" t="n">
        <x:f>S744-U744*'01 Base Costs'!$B$14</x:f>
        <x:v>156000</x:v>
      </x:c>
      <x:c r="W744" s="120" t="n">
        <x:f>'01 Base Costs'!$B$20/50</x:f>
        <x:v>112</x:v>
      </x:c>
      <x:c r="X744" s="120" t="n">
        <x:f>0</x:f>
        <x:v>0</x:v>
      </x:c>
      <x:c r="Y744" s="87" t="n">
        <x:f>T744*(W744*'01 Base Costs'!$B$7+X744)</x:f>
        <x:v>50269040640</x:v>
      </x:c>
      <x:c r="Z744" s="87" t="n">
        <x:f>T744*'01 Base Costs'!$B$8</x:f>
        <x:v>70254604800</x:v>
      </x:c>
      <x:c r="AA744" s="87" t="n">
        <x:f>Z744*'01 Base Costs'!$B$11</x:f>
        <x:v>3512730240</x:v>
      </x:c>
      <x:c r="AB744" s="87" t="n">
        <x:f>Z744-AA744</x:f>
        <x:v>66741874560</x:v>
      </x:c>
      <x:c r="AC744" s="87" t="n">
        <x:f>O744+Y744</x:f>
        <x:v>91250240640</x:v>
      </x:c>
      <x:c r="AD744" s="87" t="n">
        <x:f>AB744-AC744</x:f>
        <x:v>-24508366080</x:v>
      </x:c>
      <x:c r="AE744" s="87" t="n">
        <x:f>AD744/D744</x:f>
        <x:v>-2042363840</x:v>
      </x:c>
      <x:c r="AF744" s="87" t="n">
        <x:f>AD744/P744</x:f>
        <x:v>-1021181920</x:v>
      </x:c>
      <x:c r="AG744" s="87" t="n">
        <x:f>IF(T744=0,0,AC744/T744/(1-'01 Base Costs'!$B$11))</x:f>
        <x:v>1029373337.6651506</x:v>
      </x:c>
      <x:c r="AH744" s="88" t="str">
        <x:f>IF(AD744&gt;0,"PROFIT","LOSS")</x:f>
        <x:v>LOSS</x:v>
      </x:c>
      <x:c r="AI744" s="89" t="str">
        <x:v>Official 12M Omega sale example. MCT certificate bought with ISK market price. Base 50-pack average.</x:v>
      </x:c>
    </x:row>
    <x:row r="745">
      <x:c r="A745" s="86" t="n">
        <x:v>743</x:v>
      </x:c>
      <x:c r="B745" s="88" t="str">
        <x:v>Sale/Event</x:v>
      </x:c>
      <x:c r="C745" s="88" t="str">
        <x:v>Winter 12M Omega sale</x:v>
      </x:c>
      <x:c r="D745" s="88" t="n">
        <x:v>12</x:v>
      </x:c>
      <x:c r="E745" s="88" t="n">
        <x:v>2</x:v>
      </x:c>
      <x:c r="F745" s="88" t="str">
        <x:v>Market MCT certificate</x:v>
      </x:c>
      <x:c r="G745" s="88" t="str">
        <x:v>NES 3-for-2 extractor sale</x:v>
      </x:c>
      <x:c r="H745" s="87" t="n">
        <x:f>'01 Base Costs'!$B$28</x:f>
        <x:v>2700</x:v>
      </x:c>
      <x:c r="I745" s="87" t="n">
        <x:f>0</x:f>
        <x:v>0</x:v>
      </x:c>
      <x:c r="J745" s="87" t="n">
        <x:f>'01 Base Costs'!$B$10</x:f>
        <x:v>2332850000</x:v>
      </x:c>
      <x:c r="K745" s="87" t="n">
        <x:f>D745*(E745-1)*I745</x:f>
        <x:v>0</x:v>
      </x:c>
      <x:c r="L745" s="87" t="n">
        <x:f>D745*(E745-1)*J745</x:f>
        <x:v>27994200000</x:v>
      </x:c>
      <x:c r="M745" s="87" t="n">
        <x:f>0</x:f>
        <x:v>0</x:v>
      </x:c>
      <x:c r="N745" s="87" t="n">
        <x:f>H745+K745+M745</x:f>
        <x:v>2700</x:v>
      </x:c>
      <x:c r="O745" s="87" t="n">
        <x:f>N745*'01 Base Costs'!$B$7+L745</x:f>
        <x:v>40981200000</x:v>
      </x:c>
      <x:c r="P745" s="87" t="n">
        <x:f>D745*E745</x:f>
        <x:v>24</x:v>
      </x:c>
      <x:c r="Q745" s="87" t="n">
        <x:f>P745*'01 Base Costs'!$B$12</x:f>
        <x:v>46656000</x:v>
      </x:c>
      <x:c r="R745" s="87" t="n">
        <x:f>0</x:f>
        <x:v>0</x:v>
      </x:c>
      <x:c r="S745" s="87" t="n">
        <x:f>Q745+R745</x:f>
        <x:v>46656000</x:v>
      </x:c>
      <x:c r="T745" s="141" t="n">
        <x:f>S745/'01 Base Costs'!$B$14</x:f>
        <x:v>93.312</x:v>
      </x:c>
      <x:c r="U745" s="87" t="n">
        <x:f>INT(T745)</x:f>
        <x:v>93</x:v>
      </x:c>
      <x:c r="V745" s="87" t="n">
        <x:f>S745-U745*'01 Base Costs'!$B$14</x:f>
        <x:v>156000</x:v>
      </x:c>
      <x:c r="W745" s="120" t="n">
        <x:f>'01 Base Costs'!$B$17*2/3</x:f>
        <x:v>93.33333333333333</x:v>
      </x:c>
      <x:c r="X745" s="120" t="n">
        <x:f>0</x:f>
        <x:v>0</x:v>
      </x:c>
      <x:c r="Y745" s="87" t="n">
        <x:f>T745*(W745*'01 Base Costs'!$B$7+X745)</x:f>
        <x:v>41890867200</x:v>
      </x:c>
      <x:c r="Z745" s="87" t="n">
        <x:f>T745*'01 Base Costs'!$B$8</x:f>
        <x:v>70254604800</x:v>
      </x:c>
      <x:c r="AA745" s="87" t="n">
        <x:f>Z745*'01 Base Costs'!$B$11</x:f>
        <x:v>3512730240</x:v>
      </x:c>
      <x:c r="AB745" s="87" t="n">
        <x:f>Z745-AA745</x:f>
        <x:v>66741874560</x:v>
      </x:c>
      <x:c r="AC745" s="87" t="n">
        <x:f>O745+Y745</x:f>
        <x:v>82872067200</x:v>
      </x:c>
      <x:c r="AD745" s="87" t="n">
        <x:f>AB745-AC745</x:f>
        <x:v>-16130192640</x:v>
      </x:c>
      <x:c r="AE745" s="87" t="n">
        <x:f>AD745/D745</x:f>
        <x:v>-1344182720</x:v>
      </x:c>
      <x:c r="AF745" s="87" t="n">
        <x:f>AD745/P745</x:f>
        <x:v>-672091360</x:v>
      </x:c>
      <x:c r="AG745" s="87" t="n">
        <x:f>IF(T745=0,0,AC745/T745/(1-'01 Base Costs'!$B$11))</x:f>
        <x:v>934861056.9633962</x:v>
      </x:c>
      <x:c r="AH745" s="88" t="str">
        <x:f>IF(AD745&gt;0,"PROFIT","LOSS")</x:f>
        <x:v>LOSS</x:v>
      </x:c>
      <x:c r="AI745" s="89" t="str">
        <x:v>Official 12M Omega sale example. MCT certificate bought with ISK market price. Extractor 3-for-2 sale.</x:v>
      </x:c>
    </x:row>
    <x:row r="746">
      <x:c r="A746" s="86" t="n">
        <x:v>744</x:v>
      </x:c>
      <x:c r="B746" s="88" t="str">
        <x:v>Sale/Event</x:v>
      </x:c>
      <x:c r="C746" s="88" t="str">
        <x:v>Winter 12M Omega sale</x:v>
      </x:c>
      <x:c r="D746" s="88" t="n">
        <x:v>12</x:v>
      </x:c>
      <x:c r="E746" s="88" t="n">
        <x:v>2</x:v>
      </x:c>
      <x:c r="F746" s="88" t="str">
        <x:v>Market MCT certificate</x:v>
      </x:c>
      <x:c r="G746" s="88" t="str">
        <x:v>NES 2-for-1 extractor sale</x:v>
      </x:c>
      <x:c r="H746" s="87" t="n">
        <x:f>'01 Base Costs'!$B$28</x:f>
        <x:v>2700</x:v>
      </x:c>
      <x:c r="I746" s="87" t="n">
        <x:f>0</x:f>
        <x:v>0</x:v>
      </x:c>
      <x:c r="J746" s="87" t="n">
        <x:f>'01 Base Costs'!$B$10</x:f>
        <x:v>2332850000</x:v>
      </x:c>
      <x:c r="K746" s="87" t="n">
        <x:f>D746*(E746-1)*I746</x:f>
        <x:v>0</x:v>
      </x:c>
      <x:c r="L746" s="87" t="n">
        <x:f>D746*(E746-1)*J746</x:f>
        <x:v>27994200000</x:v>
      </x:c>
      <x:c r="M746" s="87" t="n">
        <x:f>0</x:f>
        <x:v>0</x:v>
      </x:c>
      <x:c r="N746" s="87" t="n">
        <x:f>H746+K746+M746</x:f>
        <x:v>2700</x:v>
      </x:c>
      <x:c r="O746" s="87" t="n">
        <x:f>N746*'01 Base Costs'!$B$7+L746</x:f>
        <x:v>40981200000</x:v>
      </x:c>
      <x:c r="P746" s="87" t="n">
        <x:f>D746*E746</x:f>
        <x:v>24</x:v>
      </x:c>
      <x:c r="Q746" s="87" t="n">
        <x:f>P746*'01 Base Costs'!$B$12</x:f>
        <x:v>46656000</x:v>
      </x:c>
      <x:c r="R746" s="87" t="n">
        <x:f>0</x:f>
        <x:v>0</x:v>
      </x:c>
      <x:c r="S746" s="87" t="n">
        <x:f>Q746+R746</x:f>
        <x:v>46656000</x:v>
      </x:c>
      <x:c r="T746" s="141" t="n">
        <x:f>S746/'01 Base Costs'!$B$14</x:f>
        <x:v>93.312</x:v>
      </x:c>
      <x:c r="U746" s="87" t="n">
        <x:f>INT(T746)</x:f>
        <x:v>93</x:v>
      </x:c>
      <x:c r="V746" s="87" t="n">
        <x:f>S746-U746*'01 Base Costs'!$B$14</x:f>
        <x:v>156000</x:v>
      </x:c>
      <x:c r="W746" s="120" t="n">
        <x:f>'01 Base Costs'!$B$17/2</x:f>
        <x:v>70</x:v>
      </x:c>
      <x:c r="X746" s="120" t="n">
        <x:f>0</x:f>
        <x:v>0</x:v>
      </x:c>
      <x:c r="Y746" s="87" t="n">
        <x:f>T746*(W746*'01 Base Costs'!$B$7+X746)</x:f>
        <x:v>31418150400</x:v>
      </x:c>
      <x:c r="Z746" s="87" t="n">
        <x:f>T746*'01 Base Costs'!$B$8</x:f>
        <x:v>70254604800</x:v>
      </x:c>
      <x:c r="AA746" s="87" t="n">
        <x:f>Z746*'01 Base Costs'!$B$11</x:f>
        <x:v>3512730240</x:v>
      </x:c>
      <x:c r="AB746" s="87" t="n">
        <x:f>Z746-AA746</x:f>
        <x:v>66741874560</x:v>
      </x:c>
      <x:c r="AC746" s="87" t="n">
        <x:f>O746+Y746</x:f>
        <x:v>72399350400</x:v>
      </x:c>
      <x:c r="AD746" s="87" t="n">
        <x:f>AB746-AC746</x:f>
        <x:v>-5657475840</x:v>
      </x:c>
      <x:c r="AE746" s="87" t="n">
        <x:f>AD746/D746</x:f>
        <x:v>-471456320</x:v>
      </x:c>
      <x:c r="AF746" s="87" t="n">
        <x:f>AD746/P746</x:f>
        <x:v>-235728160</x:v>
      </x:c>
      <x:c r="AG746" s="87" t="n">
        <x:f>IF(T746=0,0,AC746/T746/(1-'01 Base Costs'!$B$11))</x:f>
        <x:v>816720706.0862032</x:v>
      </x:c>
      <x:c r="AH746" s="88" t="str">
        <x:f>IF(AD746&gt;0,"PROFIT","LOSS")</x:f>
        <x:v>LOSS</x:v>
      </x:c>
      <x:c r="AI746" s="89" t="str">
        <x:v>Official 12M Omega sale example. MCT certificate bought with ISK market price. Extractor 2-for-1 sale.</x:v>
      </x:c>
    </x:row>
    <x:row r="747">
      <x:c r="A747" s="86" t="n">
        <x:v>745</x:v>
      </x:c>
      <x:c r="B747" s="88" t="str">
        <x:v>Sale/Event</x:v>
      </x:c>
      <x:c r="C747" s="88" t="str">
        <x:v>Winter 12M Omega sale</x:v>
      </x:c>
      <x:c r="D747" s="88" t="n">
        <x:v>12</x:v>
      </x:c>
      <x:c r="E747" s="88" t="n">
        <x:v>2</x:v>
      </x:c>
      <x:c r="F747" s="88" t="str">
        <x:v>Market MCT certificate</x:v>
      </x:c>
      <x:c r="G747" s="88" t="str">
        <x:v>NES 10-pack extractor 20% sale</x:v>
      </x:c>
      <x:c r="H747" s="87" t="n">
        <x:f>'01 Base Costs'!$B$28</x:f>
        <x:v>2700</x:v>
      </x:c>
      <x:c r="I747" s="87" t="n">
        <x:f>0</x:f>
        <x:v>0</x:v>
      </x:c>
      <x:c r="J747" s="87" t="n">
        <x:f>'01 Base Costs'!$B$10</x:f>
        <x:v>2332850000</x:v>
      </x:c>
      <x:c r="K747" s="87" t="n">
        <x:f>D747*(E747-1)*I747</x:f>
        <x:v>0</x:v>
      </x:c>
      <x:c r="L747" s="87" t="n">
        <x:f>D747*(E747-1)*J747</x:f>
        <x:v>27994200000</x:v>
      </x:c>
      <x:c r="M747" s="87" t="n">
        <x:f>0</x:f>
        <x:v>0</x:v>
      </x:c>
      <x:c r="N747" s="87" t="n">
        <x:f>H747+K747+M747</x:f>
        <x:v>2700</x:v>
      </x:c>
      <x:c r="O747" s="87" t="n">
        <x:f>N747*'01 Base Costs'!$B$7+L747</x:f>
        <x:v>40981200000</x:v>
      </x:c>
      <x:c r="P747" s="87" t="n">
        <x:f>D747*E747</x:f>
        <x:v>24</x:v>
      </x:c>
      <x:c r="Q747" s="87" t="n">
        <x:f>P747*'01 Base Costs'!$B$12</x:f>
        <x:v>46656000</x:v>
      </x:c>
      <x:c r="R747" s="87" t="n">
        <x:f>0</x:f>
        <x:v>0</x:v>
      </x:c>
      <x:c r="S747" s="87" t="n">
        <x:f>Q747+R747</x:f>
        <x:v>46656000</x:v>
      </x:c>
      <x:c r="T747" s="141" t="n">
        <x:f>S747/'01 Base Costs'!$B$14</x:f>
        <x:v>93.312</x:v>
      </x:c>
      <x:c r="U747" s="87" t="n">
        <x:f>INT(T747)</x:f>
        <x:v>93</x:v>
      </x:c>
      <x:c r="V747" s="87" t="n">
        <x:f>S747-U747*'01 Base Costs'!$B$14</x:f>
        <x:v>156000</x:v>
      </x:c>
      <x:c r="W747" s="120" t="n">
        <x:f>'01 Base Costs'!$B$19*0.8/10</x:f>
        <x:v>95.2</x:v>
      </x:c>
      <x:c r="X747" s="120" t="n">
        <x:f>0</x:f>
        <x:v>0</x:v>
      </x:c>
      <x:c r="Y747" s="87" t="n">
        <x:f>T747*(W747*'01 Base Costs'!$B$7+X747)</x:f>
        <x:v>42728684544</x:v>
      </x:c>
      <x:c r="Z747" s="87" t="n">
        <x:f>T747*'01 Base Costs'!$B$8</x:f>
        <x:v>70254604800</x:v>
      </x:c>
      <x:c r="AA747" s="87" t="n">
        <x:f>Z747*'01 Base Costs'!$B$11</x:f>
        <x:v>3512730240</x:v>
      </x:c>
      <x:c r="AB747" s="87" t="n">
        <x:f>Z747-AA747</x:f>
        <x:v>66741874560</x:v>
      </x:c>
      <x:c r="AC747" s="87" t="n">
        <x:f>O747+Y747</x:f>
        <x:v>83709884544</x:v>
      </x:c>
      <x:c r="AD747" s="87" t="n">
        <x:f>AB747-AC747</x:f>
        <x:v>-16968009984</x:v>
      </x:c>
      <x:c r="AE747" s="87" t="n">
        <x:f>AD747/D747</x:f>
        <x:v>-1414000832</x:v>
      </x:c>
      <x:c r="AF747" s="87" t="n">
        <x:f>AD747/P747</x:f>
        <x:v>-707000416</x:v>
      </x:c>
      <x:c r="AG747" s="87" t="n">
        <x:f>IF(T747=0,0,AC747/T747/(1-'01 Base Costs'!$B$11))</x:f>
        <x:v>944312285.0335716</x:v>
      </x:c>
      <x:c r="AH747" s="88" t="str">
        <x:f>IF(AD747&gt;0,"PROFIT","LOSS")</x:f>
        <x:v>LOSS</x:v>
      </x:c>
      <x:c r="AI747" s="89" t="str">
        <x:v>Official 12M Omega sale example. MCT certificate bought with ISK market price. 10-pack at 20% off.</x:v>
      </x:c>
    </x:row>
    <x:row r="748">
      <x:c r="A748" s="86" t="n">
        <x:v>746</x:v>
      </x:c>
      <x:c r="B748" s="88" t="str">
        <x:v>Sale/Event</x:v>
      </x:c>
      <x:c r="C748" s="88" t="str">
        <x:v>Winter 12M Omega sale</x:v>
      </x:c>
      <x:c r="D748" s="88" t="n">
        <x:v>12</x:v>
      </x:c>
      <x:c r="E748" s="88" t="n">
        <x:v>2</x:v>
      </x:c>
      <x:c r="F748" s="88" t="str">
        <x:v>Market MCT certificate</x:v>
      </x:c>
      <x:c r="G748" s="88" t="str">
        <x:v>NES 50-pack extractor 20% sale</x:v>
      </x:c>
      <x:c r="H748" s="87" t="n">
        <x:f>'01 Base Costs'!$B$28</x:f>
        <x:v>2700</x:v>
      </x:c>
      <x:c r="I748" s="87" t="n">
        <x:f>0</x:f>
        <x:v>0</x:v>
      </x:c>
      <x:c r="J748" s="87" t="n">
        <x:f>'01 Base Costs'!$B$10</x:f>
        <x:v>2332850000</x:v>
      </x:c>
      <x:c r="K748" s="87" t="n">
        <x:f>D748*(E748-1)*I748</x:f>
        <x:v>0</x:v>
      </x:c>
      <x:c r="L748" s="87" t="n">
        <x:f>D748*(E748-1)*J748</x:f>
        <x:v>27994200000</x:v>
      </x:c>
      <x:c r="M748" s="87" t="n">
        <x:f>0</x:f>
        <x:v>0</x:v>
      </x:c>
      <x:c r="N748" s="87" t="n">
        <x:f>H748+K748+M748</x:f>
        <x:v>2700</x:v>
      </x:c>
      <x:c r="O748" s="87" t="n">
        <x:f>N748*'01 Base Costs'!$B$7+L748</x:f>
        <x:v>40981200000</x:v>
      </x:c>
      <x:c r="P748" s="87" t="n">
        <x:f>D748*E748</x:f>
        <x:v>24</x:v>
      </x:c>
      <x:c r="Q748" s="87" t="n">
        <x:f>P748*'01 Base Costs'!$B$12</x:f>
        <x:v>46656000</x:v>
      </x:c>
      <x:c r="R748" s="87" t="n">
        <x:f>0</x:f>
        <x:v>0</x:v>
      </x:c>
      <x:c r="S748" s="87" t="n">
        <x:f>Q748+R748</x:f>
        <x:v>46656000</x:v>
      </x:c>
      <x:c r="T748" s="141" t="n">
        <x:f>S748/'01 Base Costs'!$B$14</x:f>
        <x:v>93.312</x:v>
      </x:c>
      <x:c r="U748" s="87" t="n">
        <x:f>INT(T748)</x:f>
        <x:v>93</x:v>
      </x:c>
      <x:c r="V748" s="87" t="n">
        <x:f>S748-U748*'01 Base Costs'!$B$14</x:f>
        <x:v>156000</x:v>
      </x:c>
      <x:c r="W748" s="120" t="n">
        <x:f>'01 Base Costs'!$B$20*0.8/50</x:f>
        <x:v>89.6</x:v>
      </x:c>
      <x:c r="X748" s="120" t="n">
        <x:f>0</x:f>
        <x:v>0</x:v>
      </x:c>
      <x:c r="Y748" s="87" t="n">
        <x:f>T748*(W748*'01 Base Costs'!$B$7+X748)</x:f>
        <x:v>40215232512</x:v>
      </x:c>
      <x:c r="Z748" s="87" t="n">
        <x:f>T748*'01 Base Costs'!$B$8</x:f>
        <x:v>70254604800</x:v>
      </x:c>
      <x:c r="AA748" s="87" t="n">
        <x:f>Z748*'01 Base Costs'!$B$11</x:f>
        <x:v>3512730240</x:v>
      </x:c>
      <x:c r="AB748" s="87" t="n">
        <x:f>Z748-AA748</x:f>
        <x:v>66741874560</x:v>
      </x:c>
      <x:c r="AC748" s="87" t="n">
        <x:f>O748+Y748</x:f>
        <x:v>81196432512</x:v>
      </x:c>
      <x:c r="AD748" s="87" t="n">
        <x:f>AB748-AC748</x:f>
        <x:v>-14454557952</x:v>
      </x:c>
      <x:c r="AE748" s="87" t="n">
        <x:f>AD748/D748</x:f>
        <x:v>-1204546496</x:v>
      </x:c>
      <x:c r="AF748" s="87" t="n">
        <x:f>AD748/P748</x:f>
        <x:v>-602273248</x:v>
      </x:c>
      <x:c r="AG748" s="87" t="n">
        <x:f>IF(T748=0,0,AC748/T748/(1-'01 Base Costs'!$B$11))</x:f>
        <x:v>915958600.8230454</x:v>
      </x:c>
      <x:c r="AH748" s="88" t="str">
        <x:f>IF(AD748&gt;0,"PROFIT","LOSS")</x:f>
        <x:v>LOSS</x:v>
      </x:c>
      <x:c r="AI748" s="89" t="str">
        <x:v>Official 12M Omega sale example. MCT certificate bought with ISK market price. 50-pack at 20% off.</x:v>
      </x:c>
    </x:row>
    <x:row r="749">
      <x:c r="A749" s="86" t="n">
        <x:v>747</x:v>
      </x:c>
      <x:c r="B749" s="88" t="str">
        <x:v>Sale/Event</x:v>
      </x:c>
      <x:c r="C749" s="88" t="str">
        <x:v>Winter 12M Omega sale</x:v>
      </x:c>
      <x:c r="D749" s="88" t="n">
        <x:v>12</x:v>
      </x:c>
      <x:c r="E749" s="88" t="n">
        <x:v>2</x:v>
      </x:c>
      <x:c r="F749" s="88" t="str">
        <x:v>Market MCT certificate</x:v>
      </x:c>
      <x:c r="G749" s="88" t="str">
        <x:v>Market Skill Extractor</x:v>
      </x:c>
      <x:c r="H749" s="87" t="n">
        <x:f>'01 Base Costs'!$B$28</x:f>
        <x:v>2700</x:v>
      </x:c>
      <x:c r="I749" s="87" t="n">
        <x:f>0</x:f>
        <x:v>0</x:v>
      </x:c>
      <x:c r="J749" s="87" t="n">
        <x:f>'01 Base Costs'!$B$10</x:f>
        <x:v>2332850000</x:v>
      </x:c>
      <x:c r="K749" s="87" t="n">
        <x:f>D749*(E749-1)*I749</x:f>
        <x:v>0</x:v>
      </x:c>
      <x:c r="L749" s="87" t="n">
        <x:f>D749*(E749-1)*J749</x:f>
        <x:v>27994200000</x:v>
      </x:c>
      <x:c r="M749" s="87" t="n">
        <x:f>0</x:f>
        <x:v>0</x:v>
      </x:c>
      <x:c r="N749" s="87" t="n">
        <x:f>H749+K749+M749</x:f>
        <x:v>2700</x:v>
      </x:c>
      <x:c r="O749" s="87" t="n">
        <x:f>N749*'01 Base Costs'!$B$7+L749</x:f>
        <x:v>40981200000</x:v>
      </x:c>
      <x:c r="P749" s="87" t="n">
        <x:f>D749*E749</x:f>
        <x:v>24</x:v>
      </x:c>
      <x:c r="Q749" s="87" t="n">
        <x:f>P749*'01 Base Costs'!$B$12</x:f>
        <x:v>46656000</x:v>
      </x:c>
      <x:c r="R749" s="87" t="n">
        <x:f>0</x:f>
        <x:v>0</x:v>
      </x:c>
      <x:c r="S749" s="87" t="n">
        <x:f>Q749+R749</x:f>
        <x:v>46656000</x:v>
      </x:c>
      <x:c r="T749" s="141" t="n">
        <x:f>S749/'01 Base Costs'!$B$14</x:f>
        <x:v>93.312</x:v>
      </x:c>
      <x:c r="U749" s="87" t="n">
        <x:f>INT(T749)</x:f>
        <x:v>93</x:v>
      </x:c>
      <x:c r="V749" s="87" t="n">
        <x:f>S749-U749*'01 Base Costs'!$B$14</x:f>
        <x:v>156000</x:v>
      </x:c>
      <x:c r="W749" s="120" t="n">
        <x:f>0</x:f>
        <x:v>0</x:v>
      </x:c>
      <x:c r="X749" s="120" t="n">
        <x:f>'01 Base Costs'!$B$9</x:f>
        <x:v>463500000</x:v>
      </x:c>
      <x:c r="Y749" s="87" t="n">
        <x:f>T749*(W749*'01 Base Costs'!$B$7+X749)</x:f>
        <x:v>43250112000</x:v>
      </x:c>
      <x:c r="Z749" s="87" t="n">
        <x:f>T749*'01 Base Costs'!$B$8</x:f>
        <x:v>70254604800</x:v>
      </x:c>
      <x:c r="AA749" s="87" t="n">
        <x:f>Z749*'01 Base Costs'!$B$11</x:f>
        <x:v>3512730240</x:v>
      </x:c>
      <x:c r="AB749" s="87" t="n">
        <x:f>Z749-AA749</x:f>
        <x:v>66741874560</x:v>
      </x:c>
      <x:c r="AC749" s="87" t="n">
        <x:f>O749+Y749</x:f>
        <x:v>84231312000</x:v>
      </x:c>
      <x:c r="AD749" s="87" t="n">
        <x:f>AB749-AC749</x:f>
        <x:v>-17489437440</x:v>
      </x:c>
      <x:c r="AE749" s="87" t="n">
        <x:f>AD749/D749</x:f>
        <x:v>-1457453120</x:v>
      </x:c>
      <x:c r="AF749" s="87" t="n">
        <x:f>AD749/P749</x:f>
        <x:v>-728726560</x:v>
      </x:c>
      <x:c r="AG749" s="87" t="n">
        <x:f>IF(T749=0,0,AC749/T749/(1-'01 Base Costs'!$B$11))</x:f>
        <x:v>950194390.2967296</x:v>
      </x:c>
      <x:c r="AH749" s="88" t="str">
        <x:f>IF(AD749&gt;0,"PROFIT","LOSS")</x:f>
        <x:v>LOSS</x:v>
      </x:c>
      <x:c r="AI749" s="89" t="str">
        <x:v>Official 12M Omega sale example. MCT certificate bought with ISK market price. Extractor bought on market with ISK.</x:v>
      </x:c>
    </x:row>
    <x:row r="750">
      <x:c r="A750" s="86" t="n">
        <x:v>748</x:v>
      </x:c>
      <x:c r="B750" s="88" t="str">
        <x:v>Sale/Event</x:v>
      </x:c>
      <x:c r="C750" s="88" t="str">
        <x:v>Winter 12M Omega sale</x:v>
      </x:c>
      <x:c r="D750" s="88" t="n">
        <x:v>12</x:v>
      </x:c>
      <x:c r="E750" s="88" t="n">
        <x:v>3</x:v>
      </x:c>
      <x:c r="F750" s="88" t="str">
        <x:v>NES base MCT</x:v>
      </x:c>
      <x:c r="G750" s="88" t="str">
        <x:v>NES single extractor</x:v>
      </x:c>
      <x:c r="H750" s="87" t="n">
        <x:f>'01 Base Costs'!$B$28</x:f>
        <x:v>2700</x:v>
      </x:c>
      <x:c r="I750" s="87" t="n">
        <x:f>'01 Base Costs'!$B$16</x:f>
        <x:v>485</x:v>
      </x:c>
      <x:c r="J750" s="87" t="n">
        <x:f>0</x:f>
        <x:v>0</x:v>
      </x:c>
      <x:c r="K750" s="87" t="n">
        <x:f>D750*(E750-1)*I750</x:f>
        <x:v>11640</x:v>
      </x:c>
      <x:c r="L750" s="87" t="n">
        <x:f>D750*(E750-1)*J750</x:f>
        <x:v>0</x:v>
      </x:c>
      <x:c r="M750" s="87" t="n">
        <x:f>0</x:f>
        <x:v>0</x:v>
      </x:c>
      <x:c r="N750" s="87" t="n">
        <x:f>H750+K750+M750</x:f>
        <x:v>14340</x:v>
      </x:c>
      <x:c r="O750" s="87" t="n">
        <x:f>N750*'01 Base Costs'!$B$7+L750</x:f>
        <x:v>68975400000</x:v>
      </x:c>
      <x:c r="P750" s="87" t="n">
        <x:f>D750*E750</x:f>
        <x:v>36</x:v>
      </x:c>
      <x:c r="Q750" s="87" t="n">
        <x:f>P750*'01 Base Costs'!$B$12</x:f>
        <x:v>69984000</x:v>
      </x:c>
      <x:c r="R750" s="87" t="n">
        <x:f>0</x:f>
        <x:v>0</x:v>
      </x:c>
      <x:c r="S750" s="87" t="n">
        <x:f>Q750+R750</x:f>
        <x:v>69984000</x:v>
      </x:c>
      <x:c r="T750" s="141" t="n">
        <x:f>S750/'01 Base Costs'!$B$14</x:f>
        <x:v>139.968</x:v>
      </x:c>
      <x:c r="U750" s="87" t="n">
        <x:f>INT(T750)</x:f>
        <x:v>139</x:v>
      </x:c>
      <x:c r="V750" s="87" t="n">
        <x:f>S750-U750*'01 Base Costs'!$B$14</x:f>
        <x:v>484000</x:v>
      </x:c>
      <x:c r="W750" s="120" t="n">
        <x:f>'01 Base Costs'!$B$17</x:f>
        <x:v>140</x:v>
      </x:c>
      <x:c r="X750" s="120" t="n">
        <x:f>0</x:f>
        <x:v>0</x:v>
      </x:c>
      <x:c r="Y750" s="87" t="n">
        <x:f>T750*(W750*'01 Base Costs'!$B$7+X750)</x:f>
        <x:v>94254451200</x:v>
      </x:c>
      <x:c r="Z750" s="87" t="n">
        <x:f>T750*'01 Base Costs'!$B$8</x:f>
        <x:v>105381907199.99998</x:v>
      </x:c>
      <x:c r="AA750" s="87" t="n">
        <x:f>Z750*'01 Base Costs'!$B$11</x:f>
        <x:v>5269095360</x:v>
      </x:c>
      <x:c r="AB750" s="87" t="n">
        <x:f>Z750-AA750</x:f>
        <x:v>100112811839.99998</x:v>
      </x:c>
      <x:c r="AC750" s="87" t="n">
        <x:f>O750+Y750</x:f>
        <x:v>163229851200</x:v>
      </x:c>
      <x:c r="AD750" s="87" t="n">
        <x:f>AB750-AC750</x:f>
        <x:v>-63117039360.000015</x:v>
      </x:c>
      <x:c r="AE750" s="87" t="n">
        <x:f>AD750/D750</x:f>
        <x:v>-5259753280.000001</x:v>
      </x:c>
      <x:c r="AF750" s="87" t="n">
        <x:f>AD750/P750</x:f>
        <x:v>-1753251093.3333337</x:v>
      </x:c>
      <x:c r="AG750" s="87" t="n">
        <x:f>IF(T750=0,0,AC750/T750/(1-'01 Base Costs'!$B$11))</x:f>
        <x:v>1227572702.3319616</x:v>
      </x:c>
      <x:c r="AH750" s="88" t="str">
        <x:f>IF(AD750&gt;0,"PROFIT","LOSS")</x:f>
        <x:v>LOSS</x:v>
      </x:c>
      <x:c r="AI750" s="89" t="str">
        <x:v>Official 12M Omega sale example. MCT purchased with PLEX in NES. Base single extractor.</x:v>
      </x:c>
    </x:row>
    <x:row r="751">
      <x:c r="A751" s="86" t="n">
        <x:v>749</x:v>
      </x:c>
      <x:c r="B751" s="88" t="str">
        <x:v>Sale/Event</x:v>
      </x:c>
      <x:c r="C751" s="88" t="str">
        <x:v>Winter 12M Omega sale</x:v>
      </x:c>
      <x:c r="D751" s="88" t="n">
        <x:v>12</x:v>
      </x:c>
      <x:c r="E751" s="88" t="n">
        <x:v>3</x:v>
      </x:c>
      <x:c r="F751" s="88" t="str">
        <x:v>NES base MCT</x:v>
      </x:c>
      <x:c r="G751" s="88" t="str">
        <x:v>NES 5-pack extractor</x:v>
      </x:c>
      <x:c r="H751" s="87" t="n">
        <x:f>'01 Base Costs'!$B$28</x:f>
        <x:v>2700</x:v>
      </x:c>
      <x:c r="I751" s="87" t="n">
        <x:f>'01 Base Costs'!$B$16</x:f>
        <x:v>485</x:v>
      </x:c>
      <x:c r="J751" s="87" t="n">
        <x:f>0</x:f>
        <x:v>0</x:v>
      </x:c>
      <x:c r="K751" s="87" t="n">
        <x:f>D751*(E751-1)*I751</x:f>
        <x:v>11640</x:v>
      </x:c>
      <x:c r="L751" s="87" t="n">
        <x:f>D751*(E751-1)*J751</x:f>
        <x:v>0</x:v>
      </x:c>
      <x:c r="M751" s="87" t="n">
        <x:f>0</x:f>
        <x:v>0</x:v>
      </x:c>
      <x:c r="N751" s="87" t="n">
        <x:f>H751+K751+M751</x:f>
        <x:v>14340</x:v>
      </x:c>
      <x:c r="O751" s="87" t="n">
        <x:f>N751*'01 Base Costs'!$B$7+L751</x:f>
        <x:v>68975400000</x:v>
      </x:c>
      <x:c r="P751" s="87" t="n">
        <x:f>D751*E751</x:f>
        <x:v>36</x:v>
      </x:c>
      <x:c r="Q751" s="87" t="n">
        <x:f>P751*'01 Base Costs'!$B$12</x:f>
        <x:v>69984000</x:v>
      </x:c>
      <x:c r="R751" s="87" t="n">
        <x:f>0</x:f>
        <x:v>0</x:v>
      </x:c>
      <x:c r="S751" s="87" t="n">
        <x:f>Q751+R751</x:f>
        <x:v>69984000</x:v>
      </x:c>
      <x:c r="T751" s="141" t="n">
        <x:f>S751/'01 Base Costs'!$B$14</x:f>
        <x:v>139.968</x:v>
      </x:c>
      <x:c r="U751" s="87" t="n">
        <x:f>INT(T751)</x:f>
        <x:v>139</x:v>
      </x:c>
      <x:c r="V751" s="87" t="n">
        <x:f>S751-U751*'01 Base Costs'!$B$14</x:f>
        <x:v>484000</x:v>
      </x:c>
      <x:c r="W751" s="120" t="n">
        <x:f>'01 Base Costs'!$B$18/5</x:f>
        <x:v>126</x:v>
      </x:c>
      <x:c r="X751" s="120" t="n">
        <x:f>0</x:f>
        <x:v>0</x:v>
      </x:c>
      <x:c r="Y751" s="87" t="n">
        <x:f>T751*(W751*'01 Base Costs'!$B$7+X751)</x:f>
        <x:v>84829006080</x:v>
      </x:c>
      <x:c r="Z751" s="87" t="n">
        <x:f>T751*'01 Base Costs'!$B$8</x:f>
        <x:v>105381907199.99998</x:v>
      </x:c>
      <x:c r="AA751" s="87" t="n">
        <x:f>Z751*'01 Base Costs'!$B$11</x:f>
        <x:v>5269095360</x:v>
      </x:c>
      <x:c r="AB751" s="87" t="n">
        <x:f>Z751-AA751</x:f>
        <x:v>100112811839.99998</x:v>
      </x:c>
      <x:c r="AC751" s="87" t="n">
        <x:f>O751+Y751</x:f>
        <x:v>153804406080</x:v>
      </x:c>
      <x:c r="AD751" s="87" t="n">
        <x:f>AB751-AC751</x:f>
        <x:v>-53691594240.000015</x:v>
      </x:c>
      <x:c r="AE751" s="87" t="n">
        <x:f>AD751/D751</x:f>
        <x:v>-4474299520.000001</x:v>
      </x:c>
      <x:c r="AF751" s="87" t="n">
        <x:f>AD751/P751</x:f>
        <x:v>-1491433173.3333337</x:v>
      </x:c>
      <x:c r="AG751" s="87" t="n">
        <x:f>IF(T751=0,0,AC751/T751/(1-'01 Base Costs'!$B$11))</x:f>
        <x:v>1156688491.805646</x:v>
      </x:c>
      <x:c r="AH751" s="88" t="str">
        <x:f>IF(AD751&gt;0,"PROFIT","LOSS")</x:f>
        <x:v>LOSS</x:v>
      </x:c>
      <x:c r="AI751" s="89" t="str">
        <x:v>Official 12M Omega sale example. MCT purchased with PLEX in NES. Base 5-pack average.</x:v>
      </x:c>
    </x:row>
    <x:row r="752">
      <x:c r="A752" s="86" t="n">
        <x:v>750</x:v>
      </x:c>
      <x:c r="B752" s="88" t="str">
        <x:v>Sale/Event</x:v>
      </x:c>
      <x:c r="C752" s="88" t="str">
        <x:v>Winter 12M Omega sale</x:v>
      </x:c>
      <x:c r="D752" s="88" t="n">
        <x:v>12</x:v>
      </x:c>
      <x:c r="E752" s="88" t="n">
        <x:v>3</x:v>
      </x:c>
      <x:c r="F752" s="88" t="str">
        <x:v>NES base MCT</x:v>
      </x:c>
      <x:c r="G752" s="88" t="str">
        <x:v>NES 10-pack extractor</x:v>
      </x:c>
      <x:c r="H752" s="87" t="n">
        <x:f>'01 Base Costs'!$B$28</x:f>
        <x:v>2700</x:v>
      </x:c>
      <x:c r="I752" s="87" t="n">
        <x:f>'01 Base Costs'!$B$16</x:f>
        <x:v>485</x:v>
      </x:c>
      <x:c r="J752" s="87" t="n">
        <x:f>0</x:f>
        <x:v>0</x:v>
      </x:c>
      <x:c r="K752" s="87" t="n">
        <x:f>D752*(E752-1)*I752</x:f>
        <x:v>11640</x:v>
      </x:c>
      <x:c r="L752" s="87" t="n">
        <x:f>D752*(E752-1)*J752</x:f>
        <x:v>0</x:v>
      </x:c>
      <x:c r="M752" s="87" t="n">
        <x:f>0</x:f>
        <x:v>0</x:v>
      </x:c>
      <x:c r="N752" s="87" t="n">
        <x:f>H752+K752+M752</x:f>
        <x:v>14340</x:v>
      </x:c>
      <x:c r="O752" s="87" t="n">
        <x:f>N752*'01 Base Costs'!$B$7+L752</x:f>
        <x:v>68975400000</x:v>
      </x:c>
      <x:c r="P752" s="87" t="n">
        <x:f>D752*E752</x:f>
        <x:v>36</x:v>
      </x:c>
      <x:c r="Q752" s="87" t="n">
        <x:f>P752*'01 Base Costs'!$B$12</x:f>
        <x:v>69984000</x:v>
      </x:c>
      <x:c r="R752" s="87" t="n">
        <x:f>0</x:f>
        <x:v>0</x:v>
      </x:c>
      <x:c r="S752" s="87" t="n">
        <x:f>Q752+R752</x:f>
        <x:v>69984000</x:v>
      </x:c>
      <x:c r="T752" s="141" t="n">
        <x:f>S752/'01 Base Costs'!$B$14</x:f>
        <x:v>139.968</x:v>
      </x:c>
      <x:c r="U752" s="87" t="n">
        <x:f>INT(T752)</x:f>
        <x:v>139</x:v>
      </x:c>
      <x:c r="V752" s="87" t="n">
        <x:f>S752-U752*'01 Base Costs'!$B$14</x:f>
        <x:v>484000</x:v>
      </x:c>
      <x:c r="W752" s="120" t="n">
        <x:f>'01 Base Costs'!$B$19/10</x:f>
        <x:v>119</x:v>
      </x:c>
      <x:c r="X752" s="120" t="n">
        <x:f>0</x:f>
        <x:v>0</x:v>
      </x:c>
      <x:c r="Y752" s="87" t="n">
        <x:f>T752*(W752*'01 Base Costs'!$B$7+X752)</x:f>
        <x:v>80116283520</x:v>
      </x:c>
      <x:c r="Z752" s="87" t="n">
        <x:f>T752*'01 Base Costs'!$B$8</x:f>
        <x:v>105381907199.99998</x:v>
      </x:c>
      <x:c r="AA752" s="87" t="n">
        <x:f>Z752*'01 Base Costs'!$B$11</x:f>
        <x:v>5269095360</x:v>
      </x:c>
      <x:c r="AB752" s="87" t="n">
        <x:f>Z752-AA752</x:f>
        <x:v>100112811839.99998</x:v>
      </x:c>
      <x:c r="AC752" s="87" t="n">
        <x:f>O752+Y752</x:f>
        <x:v>149091683520</x:v>
      </x:c>
      <x:c r="AD752" s="87" t="n">
        <x:f>AB752-AC752</x:f>
        <x:v>-48978871680.000015</x:v>
      </x:c>
      <x:c r="AE752" s="87" t="n">
        <x:f>AD752/D752</x:f>
        <x:v>-4081572640.0000014</x:v>
      </x:c>
      <x:c r="AF752" s="87" t="n">
        <x:f>AD752/P752</x:f>
        <x:v>-1360524213.3333337</x:v>
      </x:c>
      <x:c r="AG752" s="87" t="n">
        <x:f>IF(T752=0,0,AC752/T752/(1-'01 Base Costs'!$B$11))</x:f>
        <x:v>1121246386.542488</x:v>
      </x:c>
      <x:c r="AH752" s="88" t="str">
        <x:f>IF(AD752&gt;0,"PROFIT","LOSS")</x:f>
        <x:v>LOSS</x:v>
      </x:c>
      <x:c r="AI752" s="89" t="str">
        <x:v>Official 12M Omega sale example. MCT purchased with PLEX in NES. Base 10-pack average.</x:v>
      </x:c>
    </x:row>
    <x:row r="753">
      <x:c r="A753" s="86" t="n">
        <x:v>751</x:v>
      </x:c>
      <x:c r="B753" s="88" t="str">
        <x:v>Sale/Event</x:v>
      </x:c>
      <x:c r="C753" s="88" t="str">
        <x:v>Winter 12M Omega sale</x:v>
      </x:c>
      <x:c r="D753" s="88" t="n">
        <x:v>12</x:v>
      </x:c>
      <x:c r="E753" s="88" t="n">
        <x:v>3</x:v>
      </x:c>
      <x:c r="F753" s="88" t="str">
        <x:v>NES base MCT</x:v>
      </x:c>
      <x:c r="G753" s="88" t="str">
        <x:v>NES 50-pack extractor</x:v>
      </x:c>
      <x:c r="H753" s="87" t="n">
        <x:f>'01 Base Costs'!$B$28</x:f>
        <x:v>2700</x:v>
      </x:c>
      <x:c r="I753" s="87" t="n">
        <x:f>'01 Base Costs'!$B$16</x:f>
        <x:v>485</x:v>
      </x:c>
      <x:c r="J753" s="87" t="n">
        <x:f>0</x:f>
        <x:v>0</x:v>
      </x:c>
      <x:c r="K753" s="87" t="n">
        <x:f>D753*(E753-1)*I753</x:f>
        <x:v>11640</x:v>
      </x:c>
      <x:c r="L753" s="87" t="n">
        <x:f>D753*(E753-1)*J753</x:f>
        <x:v>0</x:v>
      </x:c>
      <x:c r="M753" s="87" t="n">
        <x:f>0</x:f>
        <x:v>0</x:v>
      </x:c>
      <x:c r="N753" s="87" t="n">
        <x:f>H753+K753+M753</x:f>
        <x:v>14340</x:v>
      </x:c>
      <x:c r="O753" s="87" t="n">
        <x:f>N753*'01 Base Costs'!$B$7+L753</x:f>
        <x:v>68975400000</x:v>
      </x:c>
      <x:c r="P753" s="87" t="n">
        <x:f>D753*E753</x:f>
        <x:v>36</x:v>
      </x:c>
      <x:c r="Q753" s="87" t="n">
        <x:f>P753*'01 Base Costs'!$B$12</x:f>
        <x:v>69984000</x:v>
      </x:c>
      <x:c r="R753" s="87" t="n">
        <x:f>0</x:f>
        <x:v>0</x:v>
      </x:c>
      <x:c r="S753" s="87" t="n">
        <x:f>Q753+R753</x:f>
        <x:v>69984000</x:v>
      </x:c>
      <x:c r="T753" s="141" t="n">
        <x:f>S753/'01 Base Costs'!$B$14</x:f>
        <x:v>139.968</x:v>
      </x:c>
      <x:c r="U753" s="87" t="n">
        <x:f>INT(T753)</x:f>
        <x:v>139</x:v>
      </x:c>
      <x:c r="V753" s="87" t="n">
        <x:f>S753-U753*'01 Base Costs'!$B$14</x:f>
        <x:v>484000</x:v>
      </x:c>
      <x:c r="W753" s="120" t="n">
        <x:f>'01 Base Costs'!$B$20/50</x:f>
        <x:v>112</x:v>
      </x:c>
      <x:c r="X753" s="120" t="n">
        <x:f>0</x:f>
        <x:v>0</x:v>
      </x:c>
      <x:c r="Y753" s="87" t="n">
        <x:f>T753*(W753*'01 Base Costs'!$B$7+X753)</x:f>
        <x:v>75403560960</x:v>
      </x:c>
      <x:c r="Z753" s="87" t="n">
        <x:f>T753*'01 Base Costs'!$B$8</x:f>
        <x:v>105381907199.99998</x:v>
      </x:c>
      <x:c r="AA753" s="87" t="n">
        <x:f>Z753*'01 Base Costs'!$B$11</x:f>
        <x:v>5269095360</x:v>
      </x:c>
      <x:c r="AB753" s="87" t="n">
        <x:f>Z753-AA753</x:f>
        <x:v>100112811839.99998</x:v>
      </x:c>
      <x:c r="AC753" s="87" t="n">
        <x:f>O753+Y753</x:f>
        <x:v>144378960960</x:v>
      </x:c>
      <x:c r="AD753" s="87" t="n">
        <x:f>AB753-AC753</x:f>
        <x:v>-44266149120.000015</x:v>
      </x:c>
      <x:c r="AE753" s="87" t="n">
        <x:f>AD753/D753</x:f>
        <x:v>-3688845760.0000014</x:v>
      </x:c>
      <x:c r="AF753" s="87" t="n">
        <x:f>AD753/P753</x:f>
        <x:v>-1229615253.3333337</x:v>
      </x:c>
      <x:c r="AG753" s="87" t="n">
        <x:f>IF(T753=0,0,AC753/T753/(1-'01 Base Costs'!$B$11))</x:f>
        <x:v>1085804281.2793303</x:v>
      </x:c>
      <x:c r="AH753" s="88" t="str">
        <x:f>IF(AD753&gt;0,"PROFIT","LOSS")</x:f>
        <x:v>LOSS</x:v>
      </x:c>
      <x:c r="AI753" s="89" t="str">
        <x:v>Official 12M Omega sale example. MCT purchased with PLEX in NES. Base 50-pack average.</x:v>
      </x:c>
    </x:row>
    <x:row r="754">
      <x:c r="A754" s="86" t="n">
        <x:v>752</x:v>
      </x:c>
      <x:c r="B754" s="88" t="str">
        <x:v>Sale/Event</x:v>
      </x:c>
      <x:c r="C754" s="88" t="str">
        <x:v>Winter 12M Omega sale</x:v>
      </x:c>
      <x:c r="D754" s="88" t="n">
        <x:v>12</x:v>
      </x:c>
      <x:c r="E754" s="88" t="n">
        <x:v>3</x:v>
      </x:c>
      <x:c r="F754" s="88" t="str">
        <x:v>NES base MCT</x:v>
      </x:c>
      <x:c r="G754" s="88" t="str">
        <x:v>NES 3-for-2 extractor sale</x:v>
      </x:c>
      <x:c r="H754" s="87" t="n">
        <x:f>'01 Base Costs'!$B$28</x:f>
        <x:v>2700</x:v>
      </x:c>
      <x:c r="I754" s="87" t="n">
        <x:f>'01 Base Costs'!$B$16</x:f>
        <x:v>485</x:v>
      </x:c>
      <x:c r="J754" s="87" t="n">
        <x:f>0</x:f>
        <x:v>0</x:v>
      </x:c>
      <x:c r="K754" s="87" t="n">
        <x:f>D754*(E754-1)*I754</x:f>
        <x:v>11640</x:v>
      </x:c>
      <x:c r="L754" s="87" t="n">
        <x:f>D754*(E754-1)*J754</x:f>
        <x:v>0</x:v>
      </x:c>
      <x:c r="M754" s="87" t="n">
        <x:f>0</x:f>
        <x:v>0</x:v>
      </x:c>
      <x:c r="N754" s="87" t="n">
        <x:f>H754+K754+M754</x:f>
        <x:v>14340</x:v>
      </x:c>
      <x:c r="O754" s="87" t="n">
        <x:f>N754*'01 Base Costs'!$B$7+L754</x:f>
        <x:v>68975400000</x:v>
      </x:c>
      <x:c r="P754" s="87" t="n">
        <x:f>D754*E754</x:f>
        <x:v>36</x:v>
      </x:c>
      <x:c r="Q754" s="87" t="n">
        <x:f>P754*'01 Base Costs'!$B$12</x:f>
        <x:v>69984000</x:v>
      </x:c>
      <x:c r="R754" s="87" t="n">
        <x:f>0</x:f>
        <x:v>0</x:v>
      </x:c>
      <x:c r="S754" s="87" t="n">
        <x:f>Q754+R754</x:f>
        <x:v>69984000</x:v>
      </x:c>
      <x:c r="T754" s="141" t="n">
        <x:f>S754/'01 Base Costs'!$B$14</x:f>
        <x:v>139.968</x:v>
      </x:c>
      <x:c r="U754" s="87" t="n">
        <x:f>INT(T754)</x:f>
        <x:v>139</x:v>
      </x:c>
      <x:c r="V754" s="87" t="n">
        <x:f>S754-U754*'01 Base Costs'!$B$14</x:f>
        <x:v>484000</x:v>
      </x:c>
      <x:c r="W754" s="120" t="n">
        <x:f>'01 Base Costs'!$B$17*2/3</x:f>
        <x:v>93.33333333333333</x:v>
      </x:c>
      <x:c r="X754" s="120" t="n">
        <x:f>0</x:f>
        <x:v>0</x:v>
      </x:c>
      <x:c r="Y754" s="87" t="n">
        <x:f>T754*(W754*'01 Base Costs'!$B$7+X754)</x:f>
        <x:v>62836300799.99999</x:v>
      </x:c>
      <x:c r="Z754" s="87" t="n">
        <x:f>T754*'01 Base Costs'!$B$8</x:f>
        <x:v>105381907199.99998</x:v>
      </x:c>
      <x:c r="AA754" s="87" t="n">
        <x:f>Z754*'01 Base Costs'!$B$11</x:f>
        <x:v>5269095360</x:v>
      </x:c>
      <x:c r="AB754" s="87" t="n">
        <x:f>Z754-AA754</x:f>
        <x:v>100112811839.99998</x:v>
      </x:c>
      <x:c r="AC754" s="87" t="n">
        <x:f>O754+Y754</x:f>
        <x:v>131811700800</x:v>
      </x:c>
      <x:c r="AD754" s="87" t="n">
        <x:f>AB754-AC754</x:f>
        <x:v>-31698888960.000015</x:v>
      </x:c>
      <x:c r="AE754" s="87" t="n">
        <x:f>AD754/D754</x:f>
        <x:v>-2641574080.0000014</x:v>
      </x:c>
      <x:c r="AF754" s="87" t="n">
        <x:f>AD754/P754</x:f>
        <x:v>-880524693.3333337</x:v>
      </x:c>
      <x:c r="AG754" s="87" t="n">
        <x:f>IF(T754=0,0,AC754/T754/(1-'01 Base Costs'!$B$11))</x:f>
        <x:v>991292000.5775757</x:v>
      </x:c>
      <x:c r="AH754" s="88" t="str">
        <x:f>IF(AD754&gt;0,"PROFIT","LOSS")</x:f>
        <x:v>LOSS</x:v>
      </x:c>
      <x:c r="AI754" s="89" t="str">
        <x:v>Official 12M Omega sale example. MCT purchased with PLEX in NES. Extractor 3-for-2 sale.</x:v>
      </x:c>
    </x:row>
    <x:row r="755">
      <x:c r="A755" s="86" t="n">
        <x:v>753</x:v>
      </x:c>
      <x:c r="B755" s="88" t="str">
        <x:v>Sale/Event</x:v>
      </x:c>
      <x:c r="C755" s="88" t="str">
        <x:v>Winter 12M Omega sale</x:v>
      </x:c>
      <x:c r="D755" s="88" t="n">
        <x:v>12</x:v>
      </x:c>
      <x:c r="E755" s="88" t="n">
        <x:v>3</x:v>
      </x:c>
      <x:c r="F755" s="88" t="str">
        <x:v>NES base MCT</x:v>
      </x:c>
      <x:c r="G755" s="88" t="str">
        <x:v>NES 2-for-1 extractor sale</x:v>
      </x:c>
      <x:c r="H755" s="87" t="n">
        <x:f>'01 Base Costs'!$B$28</x:f>
        <x:v>2700</x:v>
      </x:c>
      <x:c r="I755" s="87" t="n">
        <x:f>'01 Base Costs'!$B$16</x:f>
        <x:v>485</x:v>
      </x:c>
      <x:c r="J755" s="87" t="n">
        <x:f>0</x:f>
        <x:v>0</x:v>
      </x:c>
      <x:c r="K755" s="87" t="n">
        <x:f>D755*(E755-1)*I755</x:f>
        <x:v>11640</x:v>
      </x:c>
      <x:c r="L755" s="87" t="n">
        <x:f>D755*(E755-1)*J755</x:f>
        <x:v>0</x:v>
      </x:c>
      <x:c r="M755" s="87" t="n">
        <x:f>0</x:f>
        <x:v>0</x:v>
      </x:c>
      <x:c r="N755" s="87" t="n">
        <x:f>H755+K755+M755</x:f>
        <x:v>14340</x:v>
      </x:c>
      <x:c r="O755" s="87" t="n">
        <x:f>N755*'01 Base Costs'!$B$7+L755</x:f>
        <x:v>68975400000</x:v>
      </x:c>
      <x:c r="P755" s="87" t="n">
        <x:f>D755*E755</x:f>
        <x:v>36</x:v>
      </x:c>
      <x:c r="Q755" s="87" t="n">
        <x:f>P755*'01 Base Costs'!$B$12</x:f>
        <x:v>69984000</x:v>
      </x:c>
      <x:c r="R755" s="87" t="n">
        <x:f>0</x:f>
        <x:v>0</x:v>
      </x:c>
      <x:c r="S755" s="87" t="n">
        <x:f>Q755+R755</x:f>
        <x:v>69984000</x:v>
      </x:c>
      <x:c r="T755" s="141" t="n">
        <x:f>S755/'01 Base Costs'!$B$14</x:f>
        <x:v>139.968</x:v>
      </x:c>
      <x:c r="U755" s="87" t="n">
        <x:f>INT(T755)</x:f>
        <x:v>139</x:v>
      </x:c>
      <x:c r="V755" s="87" t="n">
        <x:f>S755-U755*'01 Base Costs'!$B$14</x:f>
        <x:v>484000</x:v>
      </x:c>
      <x:c r="W755" s="120" t="n">
        <x:f>'01 Base Costs'!$B$17/2</x:f>
        <x:v>70</x:v>
      </x:c>
      <x:c r="X755" s="120" t="n">
        <x:f>0</x:f>
        <x:v>0</x:v>
      </x:c>
      <x:c r="Y755" s="87" t="n">
        <x:f>T755*(W755*'01 Base Costs'!$B$7+X755)</x:f>
        <x:v>47127225600</x:v>
      </x:c>
      <x:c r="Z755" s="87" t="n">
        <x:f>T755*'01 Base Costs'!$B$8</x:f>
        <x:v>105381907199.99998</x:v>
      </x:c>
      <x:c r="AA755" s="87" t="n">
        <x:f>Z755*'01 Base Costs'!$B$11</x:f>
        <x:v>5269095360</x:v>
      </x:c>
      <x:c r="AB755" s="87" t="n">
        <x:f>Z755-AA755</x:f>
        <x:v>100112811839.99998</x:v>
      </x:c>
      <x:c r="AC755" s="87" t="n">
        <x:f>O755+Y755</x:f>
        <x:v>116102625600</x:v>
      </x:c>
      <x:c r="AD755" s="87" t="n">
        <x:f>AB755-AC755</x:f>
        <x:v>-15989813760.000015</x:v>
      </x:c>
      <x:c r="AE755" s="87" t="n">
        <x:f>AD755/D755</x:f>
        <x:v>-1332484480.0000012</x:v>
      </x:c>
      <x:c r="AF755" s="87" t="n">
        <x:f>AD755/P755</x:f>
        <x:v>-444161493.33333373</x:v>
      </x:c>
      <x:c r="AG755" s="87" t="n">
        <x:f>IF(T755=0,0,AC755/T755/(1-'01 Base Costs'!$B$11))</x:f>
        <x:v>873151649.7003828</x:v>
      </x:c>
      <x:c r="AH755" s="88" t="str">
        <x:f>IF(AD755&gt;0,"PROFIT","LOSS")</x:f>
        <x:v>LOSS</x:v>
      </x:c>
      <x:c r="AI755" s="89" t="str">
        <x:v>Official 12M Omega sale example. MCT purchased with PLEX in NES. Extractor 2-for-1 sale.</x:v>
      </x:c>
    </x:row>
    <x:row r="756">
      <x:c r="A756" s="86" t="n">
        <x:v>754</x:v>
      </x:c>
      <x:c r="B756" s="88" t="str">
        <x:v>Sale/Event</x:v>
      </x:c>
      <x:c r="C756" s="88" t="str">
        <x:v>Winter 12M Omega sale</x:v>
      </x:c>
      <x:c r="D756" s="88" t="n">
        <x:v>12</x:v>
      </x:c>
      <x:c r="E756" s="88" t="n">
        <x:v>3</x:v>
      </x:c>
      <x:c r="F756" s="88" t="str">
        <x:v>NES base MCT</x:v>
      </x:c>
      <x:c r="G756" s="88" t="str">
        <x:v>NES 10-pack extractor 20% sale</x:v>
      </x:c>
      <x:c r="H756" s="87" t="n">
        <x:f>'01 Base Costs'!$B$28</x:f>
        <x:v>2700</x:v>
      </x:c>
      <x:c r="I756" s="87" t="n">
        <x:f>'01 Base Costs'!$B$16</x:f>
        <x:v>485</x:v>
      </x:c>
      <x:c r="J756" s="87" t="n">
        <x:f>0</x:f>
        <x:v>0</x:v>
      </x:c>
      <x:c r="K756" s="87" t="n">
        <x:f>D756*(E756-1)*I756</x:f>
        <x:v>11640</x:v>
      </x:c>
      <x:c r="L756" s="87" t="n">
        <x:f>D756*(E756-1)*J756</x:f>
        <x:v>0</x:v>
      </x:c>
      <x:c r="M756" s="87" t="n">
        <x:f>0</x:f>
        <x:v>0</x:v>
      </x:c>
      <x:c r="N756" s="87" t="n">
        <x:f>H756+K756+M756</x:f>
        <x:v>14340</x:v>
      </x:c>
      <x:c r="O756" s="87" t="n">
        <x:f>N756*'01 Base Costs'!$B$7+L756</x:f>
        <x:v>68975400000</x:v>
      </x:c>
      <x:c r="P756" s="87" t="n">
        <x:f>D756*E756</x:f>
        <x:v>36</x:v>
      </x:c>
      <x:c r="Q756" s="87" t="n">
        <x:f>P756*'01 Base Costs'!$B$12</x:f>
        <x:v>69984000</x:v>
      </x:c>
      <x:c r="R756" s="87" t="n">
        <x:f>0</x:f>
        <x:v>0</x:v>
      </x:c>
      <x:c r="S756" s="87" t="n">
        <x:f>Q756+R756</x:f>
        <x:v>69984000</x:v>
      </x:c>
      <x:c r="T756" s="141" t="n">
        <x:f>S756/'01 Base Costs'!$B$14</x:f>
        <x:v>139.968</x:v>
      </x:c>
      <x:c r="U756" s="87" t="n">
        <x:f>INT(T756)</x:f>
        <x:v>139</x:v>
      </x:c>
      <x:c r="V756" s="87" t="n">
        <x:f>S756-U756*'01 Base Costs'!$B$14</x:f>
        <x:v>484000</x:v>
      </x:c>
      <x:c r="W756" s="120" t="n">
        <x:f>'01 Base Costs'!$B$19*0.8/10</x:f>
        <x:v>95.2</x:v>
      </x:c>
      <x:c r="X756" s="120" t="n">
        <x:f>0</x:f>
        <x:v>0</x:v>
      </x:c>
      <x:c r="Y756" s="87" t="n">
        <x:f>T756*(W756*'01 Base Costs'!$B$7+X756)</x:f>
        <x:v>64093026815.99999</x:v>
      </x:c>
      <x:c r="Z756" s="87" t="n">
        <x:f>T756*'01 Base Costs'!$B$8</x:f>
        <x:v>105381907199.99998</x:v>
      </x:c>
      <x:c r="AA756" s="87" t="n">
        <x:f>Z756*'01 Base Costs'!$B$11</x:f>
        <x:v>5269095360</x:v>
      </x:c>
      <x:c r="AB756" s="87" t="n">
        <x:f>Z756-AA756</x:f>
        <x:v>100112811839.99998</x:v>
      </x:c>
      <x:c r="AC756" s="87" t="n">
        <x:f>O756+Y756</x:f>
        <x:v>133068426816</x:v>
      </x:c>
      <x:c r="AD756" s="87" t="n">
        <x:f>AB756-AC756</x:f>
        <x:v>-32955614976.000015</x:v>
      </x:c>
      <x:c r="AE756" s="87" t="n">
        <x:f>AD756/D756</x:f>
        <x:v>-2746301248.0000014</x:v>
      </x:c>
      <x:c r="AF756" s="87" t="n">
        <x:f>AD756/P756</x:f>
        <x:v>-915433749.3333337</x:v>
      </x:c>
      <x:c r="AG756" s="87" t="n">
        <x:f>IF(T756=0,0,AC756/T756/(1-'01 Base Costs'!$B$11))</x:f>
        <x:v>1000743228.6477512</x:v>
      </x:c>
      <x:c r="AH756" s="88" t="str">
        <x:f>IF(AD756&gt;0,"PROFIT","LOSS")</x:f>
        <x:v>LOSS</x:v>
      </x:c>
      <x:c r="AI756" s="89" t="str">
        <x:v>Official 12M Omega sale example. MCT purchased with PLEX in NES. 10-pack at 20% off.</x:v>
      </x:c>
    </x:row>
    <x:row r="757">
      <x:c r="A757" s="86" t="n">
        <x:v>755</x:v>
      </x:c>
      <x:c r="B757" s="88" t="str">
        <x:v>Sale/Event</x:v>
      </x:c>
      <x:c r="C757" s="88" t="str">
        <x:v>Winter 12M Omega sale</x:v>
      </x:c>
      <x:c r="D757" s="88" t="n">
        <x:v>12</x:v>
      </x:c>
      <x:c r="E757" s="88" t="n">
        <x:v>3</x:v>
      </x:c>
      <x:c r="F757" s="88" t="str">
        <x:v>NES base MCT</x:v>
      </x:c>
      <x:c r="G757" s="88" t="str">
        <x:v>NES 50-pack extractor 20% sale</x:v>
      </x:c>
      <x:c r="H757" s="87" t="n">
        <x:f>'01 Base Costs'!$B$28</x:f>
        <x:v>2700</x:v>
      </x:c>
      <x:c r="I757" s="87" t="n">
        <x:f>'01 Base Costs'!$B$16</x:f>
        <x:v>485</x:v>
      </x:c>
      <x:c r="J757" s="87" t="n">
        <x:f>0</x:f>
        <x:v>0</x:v>
      </x:c>
      <x:c r="K757" s="87" t="n">
        <x:f>D757*(E757-1)*I757</x:f>
        <x:v>11640</x:v>
      </x:c>
      <x:c r="L757" s="87" t="n">
        <x:f>D757*(E757-1)*J757</x:f>
        <x:v>0</x:v>
      </x:c>
      <x:c r="M757" s="87" t="n">
        <x:f>0</x:f>
        <x:v>0</x:v>
      </x:c>
      <x:c r="N757" s="87" t="n">
        <x:f>H757+K757+M757</x:f>
        <x:v>14340</x:v>
      </x:c>
      <x:c r="O757" s="87" t="n">
        <x:f>N757*'01 Base Costs'!$B$7+L757</x:f>
        <x:v>68975400000</x:v>
      </x:c>
      <x:c r="P757" s="87" t="n">
        <x:f>D757*E757</x:f>
        <x:v>36</x:v>
      </x:c>
      <x:c r="Q757" s="87" t="n">
        <x:f>P757*'01 Base Costs'!$B$12</x:f>
        <x:v>69984000</x:v>
      </x:c>
      <x:c r="R757" s="87" t="n">
        <x:f>0</x:f>
        <x:v>0</x:v>
      </x:c>
      <x:c r="S757" s="87" t="n">
        <x:f>Q757+R757</x:f>
        <x:v>69984000</x:v>
      </x:c>
      <x:c r="T757" s="141" t="n">
        <x:f>S757/'01 Base Costs'!$B$14</x:f>
        <x:v>139.968</x:v>
      </x:c>
      <x:c r="U757" s="87" t="n">
        <x:f>INT(T757)</x:f>
        <x:v>139</x:v>
      </x:c>
      <x:c r="V757" s="87" t="n">
        <x:f>S757-U757*'01 Base Costs'!$B$14</x:f>
        <x:v>484000</x:v>
      </x:c>
      <x:c r="W757" s="120" t="n">
        <x:f>'01 Base Costs'!$B$20*0.8/50</x:f>
        <x:v>89.6</x:v>
      </x:c>
      <x:c r="X757" s="120" t="n">
        <x:f>0</x:f>
        <x:v>0</x:v>
      </x:c>
      <x:c r="Y757" s="87" t="n">
        <x:f>T757*(W757*'01 Base Costs'!$B$7+X757)</x:f>
        <x:v>60322848767.99999</x:v>
      </x:c>
      <x:c r="Z757" s="87" t="n">
        <x:f>T757*'01 Base Costs'!$B$8</x:f>
        <x:v>105381907199.99998</x:v>
      </x:c>
      <x:c r="AA757" s="87" t="n">
        <x:f>Z757*'01 Base Costs'!$B$11</x:f>
        <x:v>5269095360</x:v>
      </x:c>
      <x:c r="AB757" s="87" t="n">
        <x:f>Z757-AA757</x:f>
        <x:v>100112811839.99998</x:v>
      </x:c>
      <x:c r="AC757" s="87" t="n">
        <x:f>O757+Y757</x:f>
        <x:v>129298248768</x:v>
      </x:c>
      <x:c r="AD757" s="87" t="n">
        <x:f>AB757-AC757</x:f>
        <x:v>-29185436928.000015</x:v>
      </x:c>
      <x:c r="AE757" s="87" t="n">
        <x:f>AD757/D757</x:f>
        <x:v>-2432119744.0000014</x:v>
      </x:c>
      <x:c r="AF757" s="87" t="n">
        <x:f>AD757/P757</x:f>
        <x:v>-810706581.3333337</x:v>
      </x:c>
      <x:c r="AG757" s="87" t="n">
        <x:f>IF(T757=0,0,AC757/T757/(1-'01 Base Costs'!$B$11))</x:f>
        <x:v>972389544.4372249</x:v>
      </x:c>
      <x:c r="AH757" s="88" t="str">
        <x:f>IF(AD757&gt;0,"PROFIT","LOSS")</x:f>
        <x:v>LOSS</x:v>
      </x:c>
      <x:c r="AI757" s="89" t="str">
        <x:v>Official 12M Omega sale example. MCT purchased with PLEX in NES. 50-pack at 20% off.</x:v>
      </x:c>
    </x:row>
    <x:row r="758">
      <x:c r="A758" s="86" t="n">
        <x:v>756</x:v>
      </x:c>
      <x:c r="B758" s="88" t="str">
        <x:v>Sale/Event</x:v>
      </x:c>
      <x:c r="C758" s="88" t="str">
        <x:v>Winter 12M Omega sale</x:v>
      </x:c>
      <x:c r="D758" s="88" t="n">
        <x:v>12</x:v>
      </x:c>
      <x:c r="E758" s="88" t="n">
        <x:v>3</x:v>
      </x:c>
      <x:c r="F758" s="88" t="str">
        <x:v>NES base MCT</x:v>
      </x:c>
      <x:c r="G758" s="88" t="str">
        <x:v>Market Skill Extractor</x:v>
      </x:c>
      <x:c r="H758" s="87" t="n">
        <x:f>'01 Base Costs'!$B$28</x:f>
        <x:v>2700</x:v>
      </x:c>
      <x:c r="I758" s="87" t="n">
        <x:f>'01 Base Costs'!$B$16</x:f>
        <x:v>485</x:v>
      </x:c>
      <x:c r="J758" s="87" t="n">
        <x:f>0</x:f>
        <x:v>0</x:v>
      </x:c>
      <x:c r="K758" s="87" t="n">
        <x:f>D758*(E758-1)*I758</x:f>
        <x:v>11640</x:v>
      </x:c>
      <x:c r="L758" s="87" t="n">
        <x:f>D758*(E758-1)*J758</x:f>
        <x:v>0</x:v>
      </x:c>
      <x:c r="M758" s="87" t="n">
        <x:f>0</x:f>
        <x:v>0</x:v>
      </x:c>
      <x:c r="N758" s="87" t="n">
        <x:f>H758+K758+M758</x:f>
        <x:v>14340</x:v>
      </x:c>
      <x:c r="O758" s="87" t="n">
        <x:f>N758*'01 Base Costs'!$B$7+L758</x:f>
        <x:v>68975400000</x:v>
      </x:c>
      <x:c r="P758" s="87" t="n">
        <x:f>D758*E758</x:f>
        <x:v>36</x:v>
      </x:c>
      <x:c r="Q758" s="87" t="n">
        <x:f>P758*'01 Base Costs'!$B$12</x:f>
        <x:v>69984000</x:v>
      </x:c>
      <x:c r="R758" s="87" t="n">
        <x:f>0</x:f>
        <x:v>0</x:v>
      </x:c>
      <x:c r="S758" s="87" t="n">
        <x:f>Q758+R758</x:f>
        <x:v>69984000</x:v>
      </x:c>
      <x:c r="T758" s="141" t="n">
        <x:f>S758/'01 Base Costs'!$B$14</x:f>
        <x:v>139.968</x:v>
      </x:c>
      <x:c r="U758" s="87" t="n">
        <x:f>INT(T758)</x:f>
        <x:v>139</x:v>
      </x:c>
      <x:c r="V758" s="87" t="n">
        <x:f>S758-U758*'01 Base Costs'!$B$14</x:f>
        <x:v>484000</x:v>
      </x:c>
      <x:c r="W758" s="120" t="n">
        <x:f>0</x:f>
        <x:v>0</x:v>
      </x:c>
      <x:c r="X758" s="120" t="n">
        <x:f>'01 Base Costs'!$B$9</x:f>
        <x:v>463500000</x:v>
      </x:c>
      <x:c r="Y758" s="87" t="n">
        <x:f>T758*(W758*'01 Base Costs'!$B$7+X758)</x:f>
        <x:v>64875167999.99999</x:v>
      </x:c>
      <x:c r="Z758" s="87" t="n">
        <x:f>T758*'01 Base Costs'!$B$8</x:f>
        <x:v>105381907199.99998</x:v>
      </x:c>
      <x:c r="AA758" s="87" t="n">
        <x:f>Z758*'01 Base Costs'!$B$11</x:f>
        <x:v>5269095360</x:v>
      </x:c>
      <x:c r="AB758" s="87" t="n">
        <x:f>Z758-AA758</x:f>
        <x:v>100112811839.99998</x:v>
      </x:c>
      <x:c r="AC758" s="87" t="n">
        <x:f>O758+Y758</x:f>
        <x:v>133850568000</x:v>
      </x:c>
      <x:c r="AD758" s="87" t="n">
        <x:f>AB758-AC758</x:f>
        <x:v>-33737756160.000015</x:v>
      </x:c>
      <x:c r="AE758" s="87" t="n">
        <x:f>AD758/D758</x:f>
        <x:v>-2811479680.0000014</x:v>
      </x:c>
      <x:c r="AF758" s="87" t="n">
        <x:f>AD758/P758</x:f>
        <x:v>-937159893.3333337</x:v>
      </x:c>
      <x:c r="AG758" s="87" t="n">
        <x:f>IF(T758=0,0,AC758/T758/(1-'01 Base Costs'!$B$11))</x:f>
        <x:v>1006625333.9109092</x:v>
      </x:c>
      <x:c r="AH758" s="88" t="str">
        <x:f>IF(AD758&gt;0,"PROFIT","LOSS")</x:f>
        <x:v>LOSS</x:v>
      </x:c>
      <x:c r="AI758" s="89" t="str">
        <x:v>Official 12M Omega sale example. MCT purchased with PLEX in NES. Extractor bought on market with ISK.</x:v>
      </x:c>
    </x:row>
    <x:row r="759">
      <x:c r="A759" s="86" t="n">
        <x:v>757</x:v>
      </x:c>
      <x:c r="B759" s="88" t="str">
        <x:v>Sale/Event</x:v>
      </x:c>
      <x:c r="C759" s="88" t="str">
        <x:v>Winter 12M Omega sale</x:v>
      </x:c>
      <x:c r="D759" s="88" t="n">
        <x:v>12</x:v>
      </x:c>
      <x:c r="E759" s="88" t="n">
        <x:v>3</x:v>
      </x:c>
      <x:c r="F759" s="88" t="str">
        <x:v>NES MCT 20% sale</x:v>
      </x:c>
      <x:c r="G759" s="88" t="str">
        <x:v>NES single extractor</x:v>
      </x:c>
      <x:c r="H759" s="87" t="n">
        <x:f>'01 Base Costs'!$B$28</x:f>
        <x:v>2700</x:v>
      </x:c>
      <x:c r="I759" s="87" t="n">
        <x:f>'01 Base Costs'!$B$16*0.8</x:f>
        <x:v>388</x:v>
      </x:c>
      <x:c r="J759" s="87" t="n">
        <x:f>0</x:f>
        <x:v>0</x:v>
      </x:c>
      <x:c r="K759" s="87" t="n">
        <x:f>D759*(E759-1)*I759</x:f>
        <x:v>9312</x:v>
      </x:c>
      <x:c r="L759" s="87" t="n">
        <x:f>D759*(E759-1)*J759</x:f>
        <x:v>0</x:v>
      </x:c>
      <x:c r="M759" s="87" t="n">
        <x:f>0</x:f>
        <x:v>0</x:v>
      </x:c>
      <x:c r="N759" s="87" t="n">
        <x:f>H759+K759+M759</x:f>
        <x:v>12012</x:v>
      </x:c>
      <x:c r="O759" s="87" t="n">
        <x:f>N759*'01 Base Costs'!$B$7+L759</x:f>
        <x:v>57777720000</x:v>
      </x:c>
      <x:c r="P759" s="87" t="n">
        <x:f>D759*E759</x:f>
        <x:v>36</x:v>
      </x:c>
      <x:c r="Q759" s="87" t="n">
        <x:f>P759*'01 Base Costs'!$B$12</x:f>
        <x:v>69984000</x:v>
      </x:c>
      <x:c r="R759" s="87" t="n">
        <x:f>0</x:f>
        <x:v>0</x:v>
      </x:c>
      <x:c r="S759" s="87" t="n">
        <x:f>Q759+R759</x:f>
        <x:v>69984000</x:v>
      </x:c>
      <x:c r="T759" s="141" t="n">
        <x:f>S759/'01 Base Costs'!$B$14</x:f>
        <x:v>139.968</x:v>
      </x:c>
      <x:c r="U759" s="87" t="n">
        <x:f>INT(T759)</x:f>
        <x:v>139</x:v>
      </x:c>
      <x:c r="V759" s="87" t="n">
        <x:f>S759-U759*'01 Base Costs'!$B$14</x:f>
        <x:v>484000</x:v>
      </x:c>
      <x:c r="W759" s="120" t="n">
        <x:f>'01 Base Costs'!$B$17</x:f>
        <x:v>140</x:v>
      </x:c>
      <x:c r="X759" s="120" t="n">
        <x:f>0</x:f>
        <x:v>0</x:v>
      </x:c>
      <x:c r="Y759" s="87" t="n">
        <x:f>T759*(W759*'01 Base Costs'!$B$7+X759)</x:f>
        <x:v>94254451200</x:v>
      </x:c>
      <x:c r="Z759" s="87" t="n">
        <x:f>T759*'01 Base Costs'!$B$8</x:f>
        <x:v>105381907199.99998</x:v>
      </x:c>
      <x:c r="AA759" s="87" t="n">
        <x:f>Z759*'01 Base Costs'!$B$11</x:f>
        <x:v>5269095360</x:v>
      </x:c>
      <x:c r="AB759" s="87" t="n">
        <x:f>Z759-AA759</x:f>
        <x:v>100112811839.99998</x:v>
      </x:c>
      <x:c r="AC759" s="87" t="n">
        <x:f>O759+Y759</x:f>
        <x:v>152032171200</x:v>
      </x:c>
      <x:c r="AD759" s="87" t="n">
        <x:f>AB759-AC759</x:f>
        <x:v>-51919359360.000015</x:v>
      </x:c>
      <x:c r="AE759" s="87" t="n">
        <x:f>AD759/D759</x:f>
        <x:v>-4326613280.000001</x:v>
      </x:c>
      <x:c r="AF759" s="87" t="n">
        <x:f>AD759/P759</x:f>
        <x:v>-1442204426.666667</x:v>
      </x:c>
      <x:c r="AG759" s="87" t="n">
        <x:f>IF(T759=0,0,AC759/T759/(1-'01 Base Costs'!$B$11))</x:f>
        <x:v>1143360371.0923402</x:v>
      </x:c>
      <x:c r="AH759" s="88" t="str">
        <x:f>IF(AD759&gt;0,"PROFIT","LOSS")</x:f>
        <x:v>LOSS</x:v>
      </x:c>
      <x:c r="AI759" s="89" t="str">
        <x:v>Official 12M Omega sale example. MCT sale 20% off. Base single extractor.</x:v>
      </x:c>
    </x:row>
    <x:row r="760">
      <x:c r="A760" s="86" t="n">
        <x:v>758</x:v>
      </x:c>
      <x:c r="B760" s="88" t="str">
        <x:v>Sale/Event</x:v>
      </x:c>
      <x:c r="C760" s="88" t="str">
        <x:v>Winter 12M Omega sale</x:v>
      </x:c>
      <x:c r="D760" s="88" t="n">
        <x:v>12</x:v>
      </x:c>
      <x:c r="E760" s="88" t="n">
        <x:v>3</x:v>
      </x:c>
      <x:c r="F760" s="88" t="str">
        <x:v>NES MCT 20% sale</x:v>
      </x:c>
      <x:c r="G760" s="88" t="str">
        <x:v>NES 5-pack extractor</x:v>
      </x:c>
      <x:c r="H760" s="87" t="n">
        <x:f>'01 Base Costs'!$B$28</x:f>
        <x:v>2700</x:v>
      </x:c>
      <x:c r="I760" s="87" t="n">
        <x:f>'01 Base Costs'!$B$16*0.8</x:f>
        <x:v>388</x:v>
      </x:c>
      <x:c r="J760" s="87" t="n">
        <x:f>0</x:f>
        <x:v>0</x:v>
      </x:c>
      <x:c r="K760" s="87" t="n">
        <x:f>D760*(E760-1)*I760</x:f>
        <x:v>9312</x:v>
      </x:c>
      <x:c r="L760" s="87" t="n">
        <x:f>D760*(E760-1)*J760</x:f>
        <x:v>0</x:v>
      </x:c>
      <x:c r="M760" s="87" t="n">
        <x:f>0</x:f>
        <x:v>0</x:v>
      </x:c>
      <x:c r="N760" s="87" t="n">
        <x:f>H760+K760+M760</x:f>
        <x:v>12012</x:v>
      </x:c>
      <x:c r="O760" s="87" t="n">
        <x:f>N760*'01 Base Costs'!$B$7+L760</x:f>
        <x:v>57777720000</x:v>
      </x:c>
      <x:c r="P760" s="87" t="n">
        <x:f>D760*E760</x:f>
        <x:v>36</x:v>
      </x:c>
      <x:c r="Q760" s="87" t="n">
        <x:f>P760*'01 Base Costs'!$B$12</x:f>
        <x:v>69984000</x:v>
      </x:c>
      <x:c r="R760" s="87" t="n">
        <x:f>0</x:f>
        <x:v>0</x:v>
      </x:c>
      <x:c r="S760" s="87" t="n">
        <x:f>Q760+R760</x:f>
        <x:v>69984000</x:v>
      </x:c>
      <x:c r="T760" s="141" t="n">
        <x:f>S760/'01 Base Costs'!$B$14</x:f>
        <x:v>139.968</x:v>
      </x:c>
      <x:c r="U760" s="87" t="n">
        <x:f>INT(T760)</x:f>
        <x:v>139</x:v>
      </x:c>
      <x:c r="V760" s="87" t="n">
        <x:f>S760-U760*'01 Base Costs'!$B$14</x:f>
        <x:v>484000</x:v>
      </x:c>
      <x:c r="W760" s="120" t="n">
        <x:f>'01 Base Costs'!$B$18/5</x:f>
        <x:v>126</x:v>
      </x:c>
      <x:c r="X760" s="120" t="n">
        <x:f>0</x:f>
        <x:v>0</x:v>
      </x:c>
      <x:c r="Y760" s="87" t="n">
        <x:f>T760*(W760*'01 Base Costs'!$B$7+X760)</x:f>
        <x:v>84829006080</x:v>
      </x:c>
      <x:c r="Z760" s="87" t="n">
        <x:f>T760*'01 Base Costs'!$B$8</x:f>
        <x:v>105381907199.99998</x:v>
      </x:c>
      <x:c r="AA760" s="87" t="n">
        <x:f>Z760*'01 Base Costs'!$B$11</x:f>
        <x:v>5269095360</x:v>
      </x:c>
      <x:c r="AB760" s="87" t="n">
        <x:f>Z760-AA760</x:f>
        <x:v>100112811839.99998</x:v>
      </x:c>
      <x:c r="AC760" s="87" t="n">
        <x:f>O760+Y760</x:f>
        <x:v>142606726080</x:v>
      </x:c>
      <x:c r="AD760" s="87" t="n">
        <x:f>AB760-AC760</x:f>
        <x:v>-42493914240.000015</x:v>
      </x:c>
      <x:c r="AE760" s="87" t="n">
        <x:f>AD760/D760</x:f>
        <x:v>-3541159520.0000014</x:v>
      </x:c>
      <x:c r="AF760" s="87" t="n">
        <x:f>AD760/P760</x:f>
        <x:v>-1180386506.666667</x:v>
      </x:c>
      <x:c r="AG760" s="87" t="n">
        <x:f>IF(T760=0,0,AC760/T760/(1-'01 Base Costs'!$B$11))</x:f>
        <x:v>1072476160.5660242</x:v>
      </x:c>
      <x:c r="AH760" s="88" t="str">
        <x:f>IF(AD760&gt;0,"PROFIT","LOSS")</x:f>
        <x:v>LOSS</x:v>
      </x:c>
      <x:c r="AI760" s="89" t="str">
        <x:v>Official 12M Omega sale example. MCT sale 20% off. Base 5-pack average.</x:v>
      </x:c>
    </x:row>
    <x:row r="761">
      <x:c r="A761" s="86" t="n">
        <x:v>759</x:v>
      </x:c>
      <x:c r="B761" s="88" t="str">
        <x:v>Sale/Event</x:v>
      </x:c>
      <x:c r="C761" s="88" t="str">
        <x:v>Winter 12M Omega sale</x:v>
      </x:c>
      <x:c r="D761" s="88" t="n">
        <x:v>12</x:v>
      </x:c>
      <x:c r="E761" s="88" t="n">
        <x:v>3</x:v>
      </x:c>
      <x:c r="F761" s="88" t="str">
        <x:v>NES MCT 20% sale</x:v>
      </x:c>
      <x:c r="G761" s="88" t="str">
        <x:v>NES 10-pack extractor</x:v>
      </x:c>
      <x:c r="H761" s="87" t="n">
        <x:f>'01 Base Costs'!$B$28</x:f>
        <x:v>2700</x:v>
      </x:c>
      <x:c r="I761" s="87" t="n">
        <x:f>'01 Base Costs'!$B$16*0.8</x:f>
        <x:v>388</x:v>
      </x:c>
      <x:c r="J761" s="87" t="n">
        <x:f>0</x:f>
        <x:v>0</x:v>
      </x:c>
      <x:c r="K761" s="87" t="n">
        <x:f>D761*(E761-1)*I761</x:f>
        <x:v>9312</x:v>
      </x:c>
      <x:c r="L761" s="87" t="n">
        <x:f>D761*(E761-1)*J761</x:f>
        <x:v>0</x:v>
      </x:c>
      <x:c r="M761" s="87" t="n">
        <x:f>0</x:f>
        <x:v>0</x:v>
      </x:c>
      <x:c r="N761" s="87" t="n">
        <x:f>H761+K761+M761</x:f>
        <x:v>12012</x:v>
      </x:c>
      <x:c r="O761" s="87" t="n">
        <x:f>N761*'01 Base Costs'!$B$7+L761</x:f>
        <x:v>57777720000</x:v>
      </x:c>
      <x:c r="P761" s="87" t="n">
        <x:f>D761*E761</x:f>
        <x:v>36</x:v>
      </x:c>
      <x:c r="Q761" s="87" t="n">
        <x:f>P761*'01 Base Costs'!$B$12</x:f>
        <x:v>69984000</x:v>
      </x:c>
      <x:c r="R761" s="87" t="n">
        <x:f>0</x:f>
        <x:v>0</x:v>
      </x:c>
      <x:c r="S761" s="87" t="n">
        <x:f>Q761+R761</x:f>
        <x:v>69984000</x:v>
      </x:c>
      <x:c r="T761" s="141" t="n">
        <x:f>S761/'01 Base Costs'!$B$14</x:f>
        <x:v>139.968</x:v>
      </x:c>
      <x:c r="U761" s="87" t="n">
        <x:f>INT(T761)</x:f>
        <x:v>139</x:v>
      </x:c>
      <x:c r="V761" s="87" t="n">
        <x:f>S761-U761*'01 Base Costs'!$B$14</x:f>
        <x:v>484000</x:v>
      </x:c>
      <x:c r="W761" s="120" t="n">
        <x:f>'01 Base Costs'!$B$19/10</x:f>
        <x:v>119</x:v>
      </x:c>
      <x:c r="X761" s="120" t="n">
        <x:f>0</x:f>
        <x:v>0</x:v>
      </x:c>
      <x:c r="Y761" s="87" t="n">
        <x:f>T761*(W761*'01 Base Costs'!$B$7+X761)</x:f>
        <x:v>80116283520</x:v>
      </x:c>
      <x:c r="Z761" s="87" t="n">
        <x:f>T761*'01 Base Costs'!$B$8</x:f>
        <x:v>105381907199.99998</x:v>
      </x:c>
      <x:c r="AA761" s="87" t="n">
        <x:f>Z761*'01 Base Costs'!$B$11</x:f>
        <x:v>5269095360</x:v>
      </x:c>
      <x:c r="AB761" s="87" t="n">
        <x:f>Z761-AA761</x:f>
        <x:v>100112811839.99998</x:v>
      </x:c>
      <x:c r="AC761" s="87" t="n">
        <x:f>O761+Y761</x:f>
        <x:v>137894003520</x:v>
      </x:c>
      <x:c r="AD761" s="87" t="n">
        <x:f>AB761-AC761</x:f>
        <x:v>-37781191680.000015</x:v>
      </x:c>
      <x:c r="AE761" s="87" t="n">
        <x:f>AD761/D761</x:f>
        <x:v>-3148432640.0000014</x:v>
      </x:c>
      <x:c r="AF761" s="87" t="n">
        <x:f>AD761/P761</x:f>
        <x:v>-1049477546.6666671</x:v>
      </x:c>
      <x:c r="AG761" s="87" t="n">
        <x:f>IF(T761=0,0,AC761/T761/(1-'01 Base Costs'!$B$11))</x:f>
        <x:v>1037034055.3028663</x:v>
      </x:c>
      <x:c r="AH761" s="88" t="str">
        <x:f>IF(AD761&gt;0,"PROFIT","LOSS")</x:f>
        <x:v>LOSS</x:v>
      </x:c>
      <x:c r="AI761" s="89" t="str">
        <x:v>Official 12M Omega sale example. MCT sale 20% off. Base 10-pack average.</x:v>
      </x:c>
    </x:row>
    <x:row r="762">
      <x:c r="A762" s="86" t="n">
        <x:v>760</x:v>
      </x:c>
      <x:c r="B762" s="88" t="str">
        <x:v>Sale/Event</x:v>
      </x:c>
      <x:c r="C762" s="88" t="str">
        <x:v>Winter 12M Omega sale</x:v>
      </x:c>
      <x:c r="D762" s="88" t="n">
        <x:v>12</x:v>
      </x:c>
      <x:c r="E762" s="88" t="n">
        <x:v>3</x:v>
      </x:c>
      <x:c r="F762" s="88" t="str">
        <x:v>NES MCT 20% sale</x:v>
      </x:c>
      <x:c r="G762" s="88" t="str">
        <x:v>NES 50-pack extractor</x:v>
      </x:c>
      <x:c r="H762" s="87" t="n">
        <x:f>'01 Base Costs'!$B$28</x:f>
        <x:v>2700</x:v>
      </x:c>
      <x:c r="I762" s="87" t="n">
        <x:f>'01 Base Costs'!$B$16*0.8</x:f>
        <x:v>388</x:v>
      </x:c>
      <x:c r="J762" s="87" t="n">
        <x:f>0</x:f>
        <x:v>0</x:v>
      </x:c>
      <x:c r="K762" s="87" t="n">
        <x:f>D762*(E762-1)*I762</x:f>
        <x:v>9312</x:v>
      </x:c>
      <x:c r="L762" s="87" t="n">
        <x:f>D762*(E762-1)*J762</x:f>
        <x:v>0</x:v>
      </x:c>
      <x:c r="M762" s="87" t="n">
        <x:f>0</x:f>
        <x:v>0</x:v>
      </x:c>
      <x:c r="N762" s="87" t="n">
        <x:f>H762+K762+M762</x:f>
        <x:v>12012</x:v>
      </x:c>
      <x:c r="O762" s="87" t="n">
        <x:f>N762*'01 Base Costs'!$B$7+L762</x:f>
        <x:v>57777720000</x:v>
      </x:c>
      <x:c r="P762" s="87" t="n">
        <x:f>D762*E762</x:f>
        <x:v>36</x:v>
      </x:c>
      <x:c r="Q762" s="87" t="n">
        <x:f>P762*'01 Base Costs'!$B$12</x:f>
        <x:v>69984000</x:v>
      </x:c>
      <x:c r="R762" s="87" t="n">
        <x:f>0</x:f>
        <x:v>0</x:v>
      </x:c>
      <x:c r="S762" s="87" t="n">
        <x:f>Q762+R762</x:f>
        <x:v>69984000</x:v>
      </x:c>
      <x:c r="T762" s="141" t="n">
        <x:f>S762/'01 Base Costs'!$B$14</x:f>
        <x:v>139.968</x:v>
      </x:c>
      <x:c r="U762" s="87" t="n">
        <x:f>INT(T762)</x:f>
        <x:v>139</x:v>
      </x:c>
      <x:c r="V762" s="87" t="n">
        <x:f>S762-U762*'01 Base Costs'!$B$14</x:f>
        <x:v>484000</x:v>
      </x:c>
      <x:c r="W762" s="120" t="n">
        <x:f>'01 Base Costs'!$B$20/50</x:f>
        <x:v>112</x:v>
      </x:c>
      <x:c r="X762" s="120" t="n">
        <x:f>0</x:f>
        <x:v>0</x:v>
      </x:c>
      <x:c r="Y762" s="87" t="n">
        <x:f>T762*(W762*'01 Base Costs'!$B$7+X762)</x:f>
        <x:v>75403560960</x:v>
      </x:c>
      <x:c r="Z762" s="87" t="n">
        <x:f>T762*'01 Base Costs'!$B$8</x:f>
        <x:v>105381907199.99998</x:v>
      </x:c>
      <x:c r="AA762" s="87" t="n">
        <x:f>Z762*'01 Base Costs'!$B$11</x:f>
        <x:v>5269095360</x:v>
      </x:c>
      <x:c r="AB762" s="87" t="n">
        <x:f>Z762-AA762</x:f>
        <x:v>100112811839.99998</x:v>
      </x:c>
      <x:c r="AC762" s="87" t="n">
        <x:f>O762+Y762</x:f>
        <x:v>133181280960</x:v>
      </x:c>
      <x:c r="AD762" s="87" t="n">
        <x:f>AB762-AC762</x:f>
        <x:v>-33068469120.000015</x:v>
      </x:c>
      <x:c r="AE762" s="87" t="n">
        <x:f>AD762/D762</x:f>
        <x:v>-2755705760.0000014</x:v>
      </x:c>
      <x:c r="AF762" s="87" t="n">
        <x:f>AD762/P762</x:f>
        <x:v>-918568586.6666671</x:v>
      </x:c>
      <x:c r="AG762" s="87" t="n">
        <x:f>IF(T762=0,0,AC762/T762/(1-'01 Base Costs'!$B$11))</x:f>
        <x:v>1001591950.0397084</x:v>
      </x:c>
      <x:c r="AH762" s="88" t="str">
        <x:f>IF(AD762&gt;0,"PROFIT","LOSS")</x:f>
        <x:v>LOSS</x:v>
      </x:c>
      <x:c r="AI762" s="89" t="str">
        <x:v>Official 12M Omega sale example. MCT sale 20% off. Base 50-pack average.</x:v>
      </x:c>
    </x:row>
    <x:row r="763">
      <x:c r="A763" s="86" t="n">
        <x:v>761</x:v>
      </x:c>
      <x:c r="B763" s="88" t="str">
        <x:v>Sale/Event</x:v>
      </x:c>
      <x:c r="C763" s="88" t="str">
        <x:v>Winter 12M Omega sale</x:v>
      </x:c>
      <x:c r="D763" s="88" t="n">
        <x:v>12</x:v>
      </x:c>
      <x:c r="E763" s="88" t="n">
        <x:v>3</x:v>
      </x:c>
      <x:c r="F763" s="88" t="str">
        <x:v>NES MCT 20% sale</x:v>
      </x:c>
      <x:c r="G763" s="88" t="str">
        <x:v>NES 3-for-2 extractor sale</x:v>
      </x:c>
      <x:c r="H763" s="87" t="n">
        <x:f>'01 Base Costs'!$B$28</x:f>
        <x:v>2700</x:v>
      </x:c>
      <x:c r="I763" s="87" t="n">
        <x:f>'01 Base Costs'!$B$16*0.8</x:f>
        <x:v>388</x:v>
      </x:c>
      <x:c r="J763" s="87" t="n">
        <x:f>0</x:f>
        <x:v>0</x:v>
      </x:c>
      <x:c r="K763" s="87" t="n">
        <x:f>D763*(E763-1)*I763</x:f>
        <x:v>9312</x:v>
      </x:c>
      <x:c r="L763" s="87" t="n">
        <x:f>D763*(E763-1)*J763</x:f>
        <x:v>0</x:v>
      </x:c>
      <x:c r="M763" s="87" t="n">
        <x:f>0</x:f>
        <x:v>0</x:v>
      </x:c>
      <x:c r="N763" s="87" t="n">
        <x:f>H763+K763+M763</x:f>
        <x:v>12012</x:v>
      </x:c>
      <x:c r="O763" s="87" t="n">
        <x:f>N763*'01 Base Costs'!$B$7+L763</x:f>
        <x:v>57777720000</x:v>
      </x:c>
      <x:c r="P763" s="87" t="n">
        <x:f>D763*E763</x:f>
        <x:v>36</x:v>
      </x:c>
      <x:c r="Q763" s="87" t="n">
        <x:f>P763*'01 Base Costs'!$B$12</x:f>
        <x:v>69984000</x:v>
      </x:c>
      <x:c r="R763" s="87" t="n">
        <x:f>0</x:f>
        <x:v>0</x:v>
      </x:c>
      <x:c r="S763" s="87" t="n">
        <x:f>Q763+R763</x:f>
        <x:v>69984000</x:v>
      </x:c>
      <x:c r="T763" s="141" t="n">
        <x:f>S763/'01 Base Costs'!$B$14</x:f>
        <x:v>139.968</x:v>
      </x:c>
      <x:c r="U763" s="87" t="n">
        <x:f>INT(T763)</x:f>
        <x:v>139</x:v>
      </x:c>
      <x:c r="V763" s="87" t="n">
        <x:f>S763-U763*'01 Base Costs'!$B$14</x:f>
        <x:v>484000</x:v>
      </x:c>
      <x:c r="W763" s="120" t="n">
        <x:f>'01 Base Costs'!$B$17*2/3</x:f>
        <x:v>93.33333333333333</x:v>
      </x:c>
      <x:c r="X763" s="120" t="n">
        <x:f>0</x:f>
        <x:v>0</x:v>
      </x:c>
      <x:c r="Y763" s="87" t="n">
        <x:f>T763*(W763*'01 Base Costs'!$B$7+X763)</x:f>
        <x:v>62836300799.99999</x:v>
      </x:c>
      <x:c r="Z763" s="87" t="n">
        <x:f>T763*'01 Base Costs'!$B$8</x:f>
        <x:v>105381907199.99998</x:v>
      </x:c>
      <x:c r="AA763" s="87" t="n">
        <x:f>Z763*'01 Base Costs'!$B$11</x:f>
        <x:v>5269095360</x:v>
      </x:c>
      <x:c r="AB763" s="87" t="n">
        <x:f>Z763-AA763</x:f>
        <x:v>100112811839.99998</x:v>
      </x:c>
      <x:c r="AC763" s="87" t="n">
        <x:f>O763+Y763</x:f>
        <x:v>120614020800</x:v>
      </x:c>
      <x:c r="AD763" s="87" t="n">
        <x:f>AB763-AC763</x:f>
        <x:v>-20501208960.000015</x:v>
      </x:c>
      <x:c r="AE763" s="87" t="n">
        <x:f>AD763/D763</x:f>
        <x:v>-1708434080.0000012</x:v>
      </x:c>
      <x:c r="AF763" s="87" t="n">
        <x:f>AD763/P763</x:f>
        <x:v>-569478026.6666671</x:v>
      </x:c>
      <x:c r="AG763" s="87" t="n">
        <x:f>IF(T763=0,0,AC763/T763/(1-'01 Base Costs'!$B$11))</x:f>
        <x:v>907079669.337954</x:v>
      </x:c>
      <x:c r="AH763" s="88" t="str">
        <x:f>IF(AD763&gt;0,"PROFIT","LOSS")</x:f>
        <x:v>LOSS</x:v>
      </x:c>
      <x:c r="AI763" s="89" t="str">
        <x:v>Official 12M Omega sale example. MCT sale 20% off. Extractor 3-for-2 sale.</x:v>
      </x:c>
    </x:row>
    <x:row r="764">
      <x:c r="A764" s="86" t="n">
        <x:v>762</x:v>
      </x:c>
      <x:c r="B764" s="88" t="str">
        <x:v>Sale/Event</x:v>
      </x:c>
      <x:c r="C764" s="88" t="str">
        <x:v>Winter 12M Omega sale</x:v>
      </x:c>
      <x:c r="D764" s="88" t="n">
        <x:v>12</x:v>
      </x:c>
      <x:c r="E764" s="88" t="n">
        <x:v>3</x:v>
      </x:c>
      <x:c r="F764" s="88" t="str">
        <x:v>NES MCT 20% sale</x:v>
      </x:c>
      <x:c r="G764" s="88" t="str">
        <x:v>NES 2-for-1 extractor sale</x:v>
      </x:c>
      <x:c r="H764" s="87" t="n">
        <x:f>'01 Base Costs'!$B$28</x:f>
        <x:v>2700</x:v>
      </x:c>
      <x:c r="I764" s="87" t="n">
        <x:f>'01 Base Costs'!$B$16*0.8</x:f>
        <x:v>388</x:v>
      </x:c>
      <x:c r="J764" s="87" t="n">
        <x:f>0</x:f>
        <x:v>0</x:v>
      </x:c>
      <x:c r="K764" s="87" t="n">
        <x:f>D764*(E764-1)*I764</x:f>
        <x:v>9312</x:v>
      </x:c>
      <x:c r="L764" s="87" t="n">
        <x:f>D764*(E764-1)*J764</x:f>
        <x:v>0</x:v>
      </x:c>
      <x:c r="M764" s="87" t="n">
        <x:f>0</x:f>
        <x:v>0</x:v>
      </x:c>
      <x:c r="N764" s="87" t="n">
        <x:f>H764+K764+M764</x:f>
        <x:v>12012</x:v>
      </x:c>
      <x:c r="O764" s="87" t="n">
        <x:f>N764*'01 Base Costs'!$B$7+L764</x:f>
        <x:v>57777720000</x:v>
      </x:c>
      <x:c r="P764" s="87" t="n">
        <x:f>D764*E764</x:f>
        <x:v>36</x:v>
      </x:c>
      <x:c r="Q764" s="87" t="n">
        <x:f>P764*'01 Base Costs'!$B$12</x:f>
        <x:v>69984000</x:v>
      </x:c>
      <x:c r="R764" s="87" t="n">
        <x:f>0</x:f>
        <x:v>0</x:v>
      </x:c>
      <x:c r="S764" s="87" t="n">
        <x:f>Q764+R764</x:f>
        <x:v>69984000</x:v>
      </x:c>
      <x:c r="T764" s="141" t="n">
        <x:f>S764/'01 Base Costs'!$B$14</x:f>
        <x:v>139.968</x:v>
      </x:c>
      <x:c r="U764" s="87" t="n">
        <x:f>INT(T764)</x:f>
        <x:v>139</x:v>
      </x:c>
      <x:c r="V764" s="87" t="n">
        <x:f>S764-U764*'01 Base Costs'!$B$14</x:f>
        <x:v>484000</x:v>
      </x:c>
      <x:c r="W764" s="120" t="n">
        <x:f>'01 Base Costs'!$B$17/2</x:f>
        <x:v>70</x:v>
      </x:c>
      <x:c r="X764" s="120" t="n">
        <x:f>0</x:f>
        <x:v>0</x:v>
      </x:c>
      <x:c r="Y764" s="87" t="n">
        <x:f>T764*(W764*'01 Base Costs'!$B$7+X764)</x:f>
        <x:v>47127225600</x:v>
      </x:c>
      <x:c r="Z764" s="87" t="n">
        <x:f>T764*'01 Base Costs'!$B$8</x:f>
        <x:v>105381907199.99998</x:v>
      </x:c>
      <x:c r="AA764" s="87" t="n">
        <x:f>Z764*'01 Base Costs'!$B$11</x:f>
        <x:v>5269095360</x:v>
      </x:c>
      <x:c r="AB764" s="87" t="n">
        <x:f>Z764-AA764</x:f>
        <x:v>100112811839.99998</x:v>
      </x:c>
      <x:c r="AC764" s="87" t="n">
        <x:f>O764+Y764</x:f>
        <x:v>104904945600</x:v>
      </x:c>
      <x:c r="AD764" s="87" t="n">
        <x:f>AB764-AC764</x:f>
        <x:v>-4792133760.000015</x:v>
      </x:c>
      <x:c r="AE764" s="87" t="n">
        <x:f>AD764/D764</x:f>
        <x:v>-399344480.00000125</x:v>
      </x:c>
      <x:c r="AF764" s="87" t="n">
        <x:f>AD764/P764</x:f>
        <x:v>-133114826.66666709</x:v>
      </x:c>
      <x:c r="AG764" s="87" t="n">
        <x:f>IF(T764=0,0,AC764/T764/(1-'01 Base Costs'!$B$11))</x:f>
        <x:v>788939318.4607611</x:v>
      </x:c>
      <x:c r="AH764" s="88" t="str">
        <x:f>IF(AD764&gt;0,"PROFIT","LOSS")</x:f>
        <x:v>LOSS</x:v>
      </x:c>
      <x:c r="AI764" s="89" t="str">
        <x:v>Official 12M Omega sale example. MCT sale 20% off. Extractor 2-for-1 sale.</x:v>
      </x:c>
    </x:row>
    <x:row r="765">
      <x:c r="A765" s="86" t="n">
        <x:v>763</x:v>
      </x:c>
      <x:c r="B765" s="88" t="str">
        <x:v>Sale/Event</x:v>
      </x:c>
      <x:c r="C765" s="88" t="str">
        <x:v>Winter 12M Omega sale</x:v>
      </x:c>
      <x:c r="D765" s="88" t="n">
        <x:v>12</x:v>
      </x:c>
      <x:c r="E765" s="88" t="n">
        <x:v>3</x:v>
      </x:c>
      <x:c r="F765" s="88" t="str">
        <x:v>NES MCT 20% sale</x:v>
      </x:c>
      <x:c r="G765" s="88" t="str">
        <x:v>NES 10-pack extractor 20% sale</x:v>
      </x:c>
      <x:c r="H765" s="87" t="n">
        <x:f>'01 Base Costs'!$B$28</x:f>
        <x:v>2700</x:v>
      </x:c>
      <x:c r="I765" s="87" t="n">
        <x:f>'01 Base Costs'!$B$16*0.8</x:f>
        <x:v>388</x:v>
      </x:c>
      <x:c r="J765" s="87" t="n">
        <x:f>0</x:f>
        <x:v>0</x:v>
      </x:c>
      <x:c r="K765" s="87" t="n">
        <x:f>D765*(E765-1)*I765</x:f>
        <x:v>9312</x:v>
      </x:c>
      <x:c r="L765" s="87" t="n">
        <x:f>D765*(E765-1)*J765</x:f>
        <x:v>0</x:v>
      </x:c>
      <x:c r="M765" s="87" t="n">
        <x:f>0</x:f>
        <x:v>0</x:v>
      </x:c>
      <x:c r="N765" s="87" t="n">
        <x:f>H765+K765+M765</x:f>
        <x:v>12012</x:v>
      </x:c>
      <x:c r="O765" s="87" t="n">
        <x:f>N765*'01 Base Costs'!$B$7+L765</x:f>
        <x:v>57777720000</x:v>
      </x:c>
      <x:c r="P765" s="87" t="n">
        <x:f>D765*E765</x:f>
        <x:v>36</x:v>
      </x:c>
      <x:c r="Q765" s="87" t="n">
        <x:f>P765*'01 Base Costs'!$B$12</x:f>
        <x:v>69984000</x:v>
      </x:c>
      <x:c r="R765" s="87" t="n">
        <x:f>0</x:f>
        <x:v>0</x:v>
      </x:c>
      <x:c r="S765" s="87" t="n">
        <x:f>Q765+R765</x:f>
        <x:v>69984000</x:v>
      </x:c>
      <x:c r="T765" s="141" t="n">
        <x:f>S765/'01 Base Costs'!$B$14</x:f>
        <x:v>139.968</x:v>
      </x:c>
      <x:c r="U765" s="87" t="n">
        <x:f>INT(T765)</x:f>
        <x:v>139</x:v>
      </x:c>
      <x:c r="V765" s="87" t="n">
        <x:f>S765-U765*'01 Base Costs'!$B$14</x:f>
        <x:v>484000</x:v>
      </x:c>
      <x:c r="W765" s="120" t="n">
        <x:f>'01 Base Costs'!$B$19*0.8/10</x:f>
        <x:v>95.2</x:v>
      </x:c>
      <x:c r="X765" s="120" t="n">
        <x:f>0</x:f>
        <x:v>0</x:v>
      </x:c>
      <x:c r="Y765" s="87" t="n">
        <x:f>T765*(W765*'01 Base Costs'!$B$7+X765)</x:f>
        <x:v>64093026815.99999</x:v>
      </x:c>
      <x:c r="Z765" s="87" t="n">
        <x:f>T765*'01 Base Costs'!$B$8</x:f>
        <x:v>105381907199.99998</x:v>
      </x:c>
      <x:c r="AA765" s="87" t="n">
        <x:f>Z765*'01 Base Costs'!$B$11</x:f>
        <x:v>5269095360</x:v>
      </x:c>
      <x:c r="AB765" s="87" t="n">
        <x:f>Z765-AA765</x:f>
        <x:v>100112811839.99998</x:v>
      </x:c>
      <x:c r="AC765" s="87" t="n">
        <x:f>O765+Y765</x:f>
        <x:v>121870746816</x:v>
      </x:c>
      <x:c r="AD765" s="87" t="n">
        <x:f>AB765-AC765</x:f>
        <x:v>-21757934976.000015</x:v>
      </x:c>
      <x:c r="AE765" s="87" t="n">
        <x:f>AD765/D765</x:f>
        <x:v>-1813161248.0000012</x:v>
      </x:c>
      <x:c r="AF765" s="87" t="n">
        <x:f>AD765/P765</x:f>
        <x:v>-604387082.6666671</x:v>
      </x:c>
      <x:c r="AG765" s="87" t="n">
        <x:f>IF(T765=0,0,AC765/T765/(1-'01 Base Costs'!$B$11))</x:f>
        <x:v>916530897.4081295</x:v>
      </x:c>
      <x:c r="AH765" s="88" t="str">
        <x:f>IF(AD765&gt;0,"PROFIT","LOSS")</x:f>
        <x:v>LOSS</x:v>
      </x:c>
      <x:c r="AI765" s="89" t="str">
        <x:v>Official 12M Omega sale example. MCT sale 20% off. 10-pack at 20% off.</x:v>
      </x:c>
    </x:row>
    <x:row r="766">
      <x:c r="A766" s="86" t="n">
        <x:v>764</x:v>
      </x:c>
      <x:c r="B766" s="88" t="str">
        <x:v>Sale/Event</x:v>
      </x:c>
      <x:c r="C766" s="88" t="str">
        <x:v>Winter 12M Omega sale</x:v>
      </x:c>
      <x:c r="D766" s="88" t="n">
        <x:v>12</x:v>
      </x:c>
      <x:c r="E766" s="88" t="n">
        <x:v>3</x:v>
      </x:c>
      <x:c r="F766" s="88" t="str">
        <x:v>NES MCT 20% sale</x:v>
      </x:c>
      <x:c r="G766" s="88" t="str">
        <x:v>NES 50-pack extractor 20% sale</x:v>
      </x:c>
      <x:c r="H766" s="87" t="n">
        <x:f>'01 Base Costs'!$B$28</x:f>
        <x:v>2700</x:v>
      </x:c>
      <x:c r="I766" s="87" t="n">
        <x:f>'01 Base Costs'!$B$16*0.8</x:f>
        <x:v>388</x:v>
      </x:c>
      <x:c r="J766" s="87" t="n">
        <x:f>0</x:f>
        <x:v>0</x:v>
      </x:c>
      <x:c r="K766" s="87" t="n">
        <x:f>D766*(E766-1)*I766</x:f>
        <x:v>9312</x:v>
      </x:c>
      <x:c r="L766" s="87" t="n">
        <x:f>D766*(E766-1)*J766</x:f>
        <x:v>0</x:v>
      </x:c>
      <x:c r="M766" s="87" t="n">
        <x:f>0</x:f>
        <x:v>0</x:v>
      </x:c>
      <x:c r="N766" s="87" t="n">
        <x:f>H766+K766+M766</x:f>
        <x:v>12012</x:v>
      </x:c>
      <x:c r="O766" s="87" t="n">
        <x:f>N766*'01 Base Costs'!$B$7+L766</x:f>
        <x:v>57777720000</x:v>
      </x:c>
      <x:c r="P766" s="87" t="n">
        <x:f>D766*E766</x:f>
        <x:v>36</x:v>
      </x:c>
      <x:c r="Q766" s="87" t="n">
        <x:f>P766*'01 Base Costs'!$B$12</x:f>
        <x:v>69984000</x:v>
      </x:c>
      <x:c r="R766" s="87" t="n">
        <x:f>0</x:f>
        <x:v>0</x:v>
      </x:c>
      <x:c r="S766" s="87" t="n">
        <x:f>Q766+R766</x:f>
        <x:v>69984000</x:v>
      </x:c>
      <x:c r="T766" s="141" t="n">
        <x:f>S766/'01 Base Costs'!$B$14</x:f>
        <x:v>139.968</x:v>
      </x:c>
      <x:c r="U766" s="87" t="n">
        <x:f>INT(T766)</x:f>
        <x:v>139</x:v>
      </x:c>
      <x:c r="V766" s="87" t="n">
        <x:f>S766-U766*'01 Base Costs'!$B$14</x:f>
        <x:v>484000</x:v>
      </x:c>
      <x:c r="W766" s="120" t="n">
        <x:f>'01 Base Costs'!$B$20*0.8/50</x:f>
        <x:v>89.6</x:v>
      </x:c>
      <x:c r="X766" s="120" t="n">
        <x:f>0</x:f>
        <x:v>0</x:v>
      </x:c>
      <x:c r="Y766" s="87" t="n">
        <x:f>T766*(W766*'01 Base Costs'!$B$7+X766)</x:f>
        <x:v>60322848767.99999</x:v>
      </x:c>
      <x:c r="Z766" s="87" t="n">
        <x:f>T766*'01 Base Costs'!$B$8</x:f>
        <x:v>105381907199.99998</x:v>
      </x:c>
      <x:c r="AA766" s="87" t="n">
        <x:f>Z766*'01 Base Costs'!$B$11</x:f>
        <x:v>5269095360</x:v>
      </x:c>
      <x:c r="AB766" s="87" t="n">
        <x:f>Z766-AA766</x:f>
        <x:v>100112811839.99998</x:v>
      </x:c>
      <x:c r="AC766" s="87" t="n">
        <x:f>O766+Y766</x:f>
        <x:v>118100568768</x:v>
      </x:c>
      <x:c r="AD766" s="87" t="n">
        <x:f>AB766-AC766</x:f>
        <x:v>-17987756928.000015</x:v>
      </x:c>
      <x:c r="AE766" s="87" t="n">
        <x:f>AD766/D766</x:f>
        <x:v>-1498979744.0000012</x:v>
      </x:c>
      <x:c r="AF766" s="87" t="n">
        <x:f>AD766/P766</x:f>
        <x:v>-499659914.6666671</x:v>
      </x:c>
      <x:c r="AG766" s="87" t="n">
        <x:f>IF(T766=0,0,AC766/T766/(1-'01 Base Costs'!$B$11))</x:f>
        <x:v>888177213.1976031</x:v>
      </x:c>
      <x:c r="AH766" s="88" t="str">
        <x:f>IF(AD766&gt;0,"PROFIT","LOSS")</x:f>
        <x:v>LOSS</x:v>
      </x:c>
      <x:c r="AI766" s="89" t="str">
        <x:v>Official 12M Omega sale example. MCT sale 20% off. 50-pack at 20% off.</x:v>
      </x:c>
    </x:row>
    <x:row r="767">
      <x:c r="A767" s="86" t="n">
        <x:v>765</x:v>
      </x:c>
      <x:c r="B767" s="88" t="str">
        <x:v>Sale/Event</x:v>
      </x:c>
      <x:c r="C767" s="88" t="str">
        <x:v>Winter 12M Omega sale</x:v>
      </x:c>
      <x:c r="D767" s="88" t="n">
        <x:v>12</x:v>
      </x:c>
      <x:c r="E767" s="88" t="n">
        <x:v>3</x:v>
      </x:c>
      <x:c r="F767" s="88" t="str">
        <x:v>NES MCT 20% sale</x:v>
      </x:c>
      <x:c r="G767" s="88" t="str">
        <x:v>Market Skill Extractor</x:v>
      </x:c>
      <x:c r="H767" s="87" t="n">
        <x:f>'01 Base Costs'!$B$28</x:f>
        <x:v>2700</x:v>
      </x:c>
      <x:c r="I767" s="87" t="n">
        <x:f>'01 Base Costs'!$B$16*0.8</x:f>
        <x:v>388</x:v>
      </x:c>
      <x:c r="J767" s="87" t="n">
        <x:f>0</x:f>
        <x:v>0</x:v>
      </x:c>
      <x:c r="K767" s="87" t="n">
        <x:f>D767*(E767-1)*I767</x:f>
        <x:v>9312</x:v>
      </x:c>
      <x:c r="L767" s="87" t="n">
        <x:f>D767*(E767-1)*J767</x:f>
        <x:v>0</x:v>
      </x:c>
      <x:c r="M767" s="87" t="n">
        <x:f>0</x:f>
        <x:v>0</x:v>
      </x:c>
      <x:c r="N767" s="87" t="n">
        <x:f>H767+K767+M767</x:f>
        <x:v>12012</x:v>
      </x:c>
      <x:c r="O767" s="87" t="n">
        <x:f>N767*'01 Base Costs'!$B$7+L767</x:f>
        <x:v>57777720000</x:v>
      </x:c>
      <x:c r="P767" s="87" t="n">
        <x:f>D767*E767</x:f>
        <x:v>36</x:v>
      </x:c>
      <x:c r="Q767" s="87" t="n">
        <x:f>P767*'01 Base Costs'!$B$12</x:f>
        <x:v>69984000</x:v>
      </x:c>
      <x:c r="R767" s="87" t="n">
        <x:f>0</x:f>
        <x:v>0</x:v>
      </x:c>
      <x:c r="S767" s="87" t="n">
        <x:f>Q767+R767</x:f>
        <x:v>69984000</x:v>
      </x:c>
      <x:c r="T767" s="141" t="n">
        <x:f>S767/'01 Base Costs'!$B$14</x:f>
        <x:v>139.968</x:v>
      </x:c>
      <x:c r="U767" s="87" t="n">
        <x:f>INT(T767)</x:f>
        <x:v>139</x:v>
      </x:c>
      <x:c r="V767" s="87" t="n">
        <x:f>S767-U767*'01 Base Costs'!$B$14</x:f>
        <x:v>484000</x:v>
      </x:c>
      <x:c r="W767" s="120" t="n">
        <x:f>0</x:f>
        <x:v>0</x:v>
      </x:c>
      <x:c r="X767" s="120" t="n">
        <x:f>'01 Base Costs'!$B$9</x:f>
        <x:v>463500000</x:v>
      </x:c>
      <x:c r="Y767" s="87" t="n">
        <x:f>T767*(W767*'01 Base Costs'!$B$7+X767)</x:f>
        <x:v>64875167999.99999</x:v>
      </x:c>
      <x:c r="Z767" s="87" t="n">
        <x:f>T767*'01 Base Costs'!$B$8</x:f>
        <x:v>105381907199.99998</x:v>
      </x:c>
      <x:c r="AA767" s="87" t="n">
        <x:f>Z767*'01 Base Costs'!$B$11</x:f>
        <x:v>5269095360</x:v>
      </x:c>
      <x:c r="AB767" s="87" t="n">
        <x:f>Z767-AA767</x:f>
        <x:v>100112811839.99998</x:v>
      </x:c>
      <x:c r="AC767" s="87" t="n">
        <x:f>O767+Y767</x:f>
        <x:v>122652888000</x:v>
      </x:c>
      <x:c r="AD767" s="87" t="n">
        <x:f>AB767-AC767</x:f>
        <x:v>-22540076160.000015</x:v>
      </x:c>
      <x:c r="AE767" s="87" t="n">
        <x:f>AD767/D767</x:f>
        <x:v>-1878339680.0000012</x:v>
      </x:c>
      <x:c r="AF767" s="87" t="n">
        <x:f>AD767/P767</x:f>
        <x:v>-626113226.6666671</x:v>
      </x:c>
      <x:c r="AG767" s="87" t="n">
        <x:f>IF(T767=0,0,AC767/T767/(1-'01 Base Costs'!$B$11))</x:f>
        <x:v>922413002.6712873</x:v>
      </x:c>
      <x:c r="AH767" s="88" t="str">
        <x:f>IF(AD767&gt;0,"PROFIT","LOSS")</x:f>
        <x:v>LOSS</x:v>
      </x:c>
      <x:c r="AI767" s="89" t="str">
        <x:v>Official 12M Omega sale example. MCT sale 20% off. Extractor bought on market with ISK.</x:v>
      </x:c>
    </x:row>
    <x:row r="768">
      <x:c r="A768" s="86" t="n">
        <x:v>766</x:v>
      </x:c>
      <x:c r="B768" s="88" t="str">
        <x:v>Sale/Event</x:v>
      </x:c>
      <x:c r="C768" s="88" t="str">
        <x:v>Winter 12M Omega sale</x:v>
      </x:c>
      <x:c r="D768" s="88" t="n">
        <x:v>12</x:v>
      </x:c>
      <x:c r="E768" s="88" t="n">
        <x:v>3</x:v>
      </x:c>
      <x:c r="F768" s="88" t="str">
        <x:v>NES MCT 30% sale</x:v>
      </x:c>
      <x:c r="G768" s="88" t="str">
        <x:v>NES single extractor</x:v>
      </x:c>
      <x:c r="H768" s="87" t="n">
        <x:f>'01 Base Costs'!$B$28</x:f>
        <x:v>2700</x:v>
      </x:c>
      <x:c r="I768" s="87" t="n">
        <x:f>'01 Base Costs'!$B$16*0.7</x:f>
        <x:v>339.5</x:v>
      </x:c>
      <x:c r="J768" s="87" t="n">
        <x:f>0</x:f>
        <x:v>0</x:v>
      </x:c>
      <x:c r="K768" s="87" t="n">
        <x:f>D768*(E768-1)*I768</x:f>
        <x:v>8148</x:v>
      </x:c>
      <x:c r="L768" s="87" t="n">
        <x:f>D768*(E768-1)*J768</x:f>
        <x:v>0</x:v>
      </x:c>
      <x:c r="M768" s="87" t="n">
        <x:f>0</x:f>
        <x:v>0</x:v>
      </x:c>
      <x:c r="N768" s="87" t="n">
        <x:f>H768+K768+M768</x:f>
        <x:v>10848</x:v>
      </x:c>
      <x:c r="O768" s="87" t="n">
        <x:f>N768*'01 Base Costs'!$B$7+L768</x:f>
        <x:v>52178880000</x:v>
      </x:c>
      <x:c r="P768" s="87" t="n">
        <x:f>D768*E768</x:f>
        <x:v>36</x:v>
      </x:c>
      <x:c r="Q768" s="87" t="n">
        <x:f>P768*'01 Base Costs'!$B$12</x:f>
        <x:v>69984000</x:v>
      </x:c>
      <x:c r="R768" s="87" t="n">
        <x:f>0</x:f>
        <x:v>0</x:v>
      </x:c>
      <x:c r="S768" s="87" t="n">
        <x:f>Q768+R768</x:f>
        <x:v>69984000</x:v>
      </x:c>
      <x:c r="T768" s="141" t="n">
        <x:f>S768/'01 Base Costs'!$B$14</x:f>
        <x:v>139.968</x:v>
      </x:c>
      <x:c r="U768" s="87" t="n">
        <x:f>INT(T768)</x:f>
        <x:v>139</x:v>
      </x:c>
      <x:c r="V768" s="87" t="n">
        <x:f>S768-U768*'01 Base Costs'!$B$14</x:f>
        <x:v>484000</x:v>
      </x:c>
      <x:c r="W768" s="120" t="n">
        <x:f>'01 Base Costs'!$B$17</x:f>
        <x:v>140</x:v>
      </x:c>
      <x:c r="X768" s="120" t="n">
        <x:f>0</x:f>
        <x:v>0</x:v>
      </x:c>
      <x:c r="Y768" s="87" t="n">
        <x:f>T768*(W768*'01 Base Costs'!$B$7+X768)</x:f>
        <x:v>94254451200</x:v>
      </x:c>
      <x:c r="Z768" s="87" t="n">
        <x:f>T768*'01 Base Costs'!$B$8</x:f>
        <x:v>105381907199.99998</x:v>
      </x:c>
      <x:c r="AA768" s="87" t="n">
        <x:f>Z768*'01 Base Costs'!$B$11</x:f>
        <x:v>5269095360</x:v>
      </x:c>
      <x:c r="AB768" s="87" t="n">
        <x:f>Z768-AA768</x:f>
        <x:v>100112811839.99998</x:v>
      </x:c>
      <x:c r="AC768" s="87" t="n">
        <x:f>O768+Y768</x:f>
        <x:v>146433331200</x:v>
      </x:c>
      <x:c r="AD768" s="87" t="n">
        <x:f>AB768-AC768</x:f>
        <x:v>-46320519360.000015</x:v>
      </x:c>
      <x:c r="AE768" s="87" t="n">
        <x:f>AD768/D768</x:f>
        <x:v>-3860043280.0000014</x:v>
      </x:c>
      <x:c r="AF768" s="87" t="n">
        <x:f>AD768/P768</x:f>
        <x:v>-1286681093.3333337</x:v>
      </x:c>
      <x:c r="AG768" s="87" t="n">
        <x:f>IF(T768=0,0,AC768/T768/(1-'01 Base Costs'!$B$11))</x:f>
        <x:v>1101254205.4725292</x:v>
      </x:c>
      <x:c r="AH768" s="88" t="str">
        <x:f>IF(AD768&gt;0,"PROFIT","LOSS")</x:f>
        <x:v>LOSS</x:v>
      </x:c>
      <x:c r="AI768" s="89" t="str">
        <x:v>Official 12M Omega sale example. MCT sale 30% off. Base single extractor.</x:v>
      </x:c>
    </x:row>
    <x:row r="769">
      <x:c r="A769" s="86" t="n">
        <x:v>767</x:v>
      </x:c>
      <x:c r="B769" s="88" t="str">
        <x:v>Sale/Event</x:v>
      </x:c>
      <x:c r="C769" s="88" t="str">
        <x:v>Winter 12M Omega sale</x:v>
      </x:c>
      <x:c r="D769" s="88" t="n">
        <x:v>12</x:v>
      </x:c>
      <x:c r="E769" s="88" t="n">
        <x:v>3</x:v>
      </x:c>
      <x:c r="F769" s="88" t="str">
        <x:v>NES MCT 30% sale</x:v>
      </x:c>
      <x:c r="G769" s="88" t="str">
        <x:v>NES 5-pack extractor</x:v>
      </x:c>
      <x:c r="H769" s="87" t="n">
        <x:f>'01 Base Costs'!$B$28</x:f>
        <x:v>2700</x:v>
      </x:c>
      <x:c r="I769" s="87" t="n">
        <x:f>'01 Base Costs'!$B$16*0.7</x:f>
        <x:v>339.5</x:v>
      </x:c>
      <x:c r="J769" s="87" t="n">
        <x:f>0</x:f>
        <x:v>0</x:v>
      </x:c>
      <x:c r="K769" s="87" t="n">
        <x:f>D769*(E769-1)*I769</x:f>
        <x:v>8148</x:v>
      </x:c>
      <x:c r="L769" s="87" t="n">
        <x:f>D769*(E769-1)*J769</x:f>
        <x:v>0</x:v>
      </x:c>
      <x:c r="M769" s="87" t="n">
        <x:f>0</x:f>
        <x:v>0</x:v>
      </x:c>
      <x:c r="N769" s="87" t="n">
        <x:f>H769+K769+M769</x:f>
        <x:v>10848</x:v>
      </x:c>
      <x:c r="O769" s="87" t="n">
        <x:f>N769*'01 Base Costs'!$B$7+L769</x:f>
        <x:v>52178880000</x:v>
      </x:c>
      <x:c r="P769" s="87" t="n">
        <x:f>D769*E769</x:f>
        <x:v>36</x:v>
      </x:c>
      <x:c r="Q769" s="87" t="n">
        <x:f>P769*'01 Base Costs'!$B$12</x:f>
        <x:v>69984000</x:v>
      </x:c>
      <x:c r="R769" s="87" t="n">
        <x:f>0</x:f>
        <x:v>0</x:v>
      </x:c>
      <x:c r="S769" s="87" t="n">
        <x:f>Q769+R769</x:f>
        <x:v>69984000</x:v>
      </x:c>
      <x:c r="T769" s="141" t="n">
        <x:f>S769/'01 Base Costs'!$B$14</x:f>
        <x:v>139.968</x:v>
      </x:c>
      <x:c r="U769" s="87" t="n">
        <x:f>INT(T769)</x:f>
        <x:v>139</x:v>
      </x:c>
      <x:c r="V769" s="87" t="n">
        <x:f>S769-U769*'01 Base Costs'!$B$14</x:f>
        <x:v>484000</x:v>
      </x:c>
      <x:c r="W769" s="120" t="n">
        <x:f>'01 Base Costs'!$B$18/5</x:f>
        <x:v>126</x:v>
      </x:c>
      <x:c r="X769" s="120" t="n">
        <x:f>0</x:f>
        <x:v>0</x:v>
      </x:c>
      <x:c r="Y769" s="87" t="n">
        <x:f>T769*(W769*'01 Base Costs'!$B$7+X769)</x:f>
        <x:v>84829006080</x:v>
      </x:c>
      <x:c r="Z769" s="87" t="n">
        <x:f>T769*'01 Base Costs'!$B$8</x:f>
        <x:v>105381907199.99998</x:v>
      </x:c>
      <x:c r="AA769" s="87" t="n">
        <x:f>Z769*'01 Base Costs'!$B$11</x:f>
        <x:v>5269095360</x:v>
      </x:c>
      <x:c r="AB769" s="87" t="n">
        <x:f>Z769-AA769</x:f>
        <x:v>100112811839.99998</x:v>
      </x:c>
      <x:c r="AC769" s="87" t="n">
        <x:f>O769+Y769</x:f>
        <x:v>137007886080</x:v>
      </x:c>
      <x:c r="AD769" s="87" t="n">
        <x:f>AB769-AC769</x:f>
        <x:v>-36895074240.000015</x:v>
      </x:c>
      <x:c r="AE769" s="87" t="n">
        <x:f>AD769/D769</x:f>
        <x:v>-3074589520.0000014</x:v>
      </x:c>
      <x:c r="AF769" s="87" t="n">
        <x:f>AD769/P769</x:f>
        <x:v>-1024863173.3333337</x:v>
      </x:c>
      <x:c r="AG769" s="87" t="n">
        <x:f>IF(T769=0,0,AC769/T769/(1-'01 Base Costs'!$B$11))</x:f>
        <x:v>1030369994.9462135</x:v>
      </x:c>
      <x:c r="AH769" s="88" t="str">
        <x:f>IF(AD769&gt;0,"PROFIT","LOSS")</x:f>
        <x:v>LOSS</x:v>
      </x:c>
      <x:c r="AI769" s="89" t="str">
        <x:v>Official 12M Omega sale example. MCT sale 30% off. Base 5-pack average.</x:v>
      </x:c>
    </x:row>
    <x:row r="770">
      <x:c r="A770" s="86" t="n">
        <x:v>768</x:v>
      </x:c>
      <x:c r="B770" s="88" t="str">
        <x:v>Sale/Event</x:v>
      </x:c>
      <x:c r="C770" s="88" t="str">
        <x:v>Winter 12M Omega sale</x:v>
      </x:c>
      <x:c r="D770" s="88" t="n">
        <x:v>12</x:v>
      </x:c>
      <x:c r="E770" s="88" t="n">
        <x:v>3</x:v>
      </x:c>
      <x:c r="F770" s="88" t="str">
        <x:v>NES MCT 30% sale</x:v>
      </x:c>
      <x:c r="G770" s="88" t="str">
        <x:v>NES 10-pack extractor</x:v>
      </x:c>
      <x:c r="H770" s="87" t="n">
        <x:f>'01 Base Costs'!$B$28</x:f>
        <x:v>2700</x:v>
      </x:c>
      <x:c r="I770" s="87" t="n">
        <x:f>'01 Base Costs'!$B$16*0.7</x:f>
        <x:v>339.5</x:v>
      </x:c>
      <x:c r="J770" s="87" t="n">
        <x:f>0</x:f>
        <x:v>0</x:v>
      </x:c>
      <x:c r="K770" s="87" t="n">
        <x:f>D770*(E770-1)*I770</x:f>
        <x:v>8148</x:v>
      </x:c>
      <x:c r="L770" s="87" t="n">
        <x:f>D770*(E770-1)*J770</x:f>
        <x:v>0</x:v>
      </x:c>
      <x:c r="M770" s="87" t="n">
        <x:f>0</x:f>
        <x:v>0</x:v>
      </x:c>
      <x:c r="N770" s="87" t="n">
        <x:f>H770+K770+M770</x:f>
        <x:v>10848</x:v>
      </x:c>
      <x:c r="O770" s="87" t="n">
        <x:f>N770*'01 Base Costs'!$B$7+L770</x:f>
        <x:v>52178880000</x:v>
      </x:c>
      <x:c r="P770" s="87" t="n">
        <x:f>D770*E770</x:f>
        <x:v>36</x:v>
      </x:c>
      <x:c r="Q770" s="87" t="n">
        <x:f>P770*'01 Base Costs'!$B$12</x:f>
        <x:v>69984000</x:v>
      </x:c>
      <x:c r="R770" s="87" t="n">
        <x:f>0</x:f>
        <x:v>0</x:v>
      </x:c>
      <x:c r="S770" s="87" t="n">
        <x:f>Q770+R770</x:f>
        <x:v>69984000</x:v>
      </x:c>
      <x:c r="T770" s="141" t="n">
        <x:f>S770/'01 Base Costs'!$B$14</x:f>
        <x:v>139.968</x:v>
      </x:c>
      <x:c r="U770" s="87" t="n">
        <x:f>INT(T770)</x:f>
        <x:v>139</x:v>
      </x:c>
      <x:c r="V770" s="87" t="n">
        <x:f>S770-U770*'01 Base Costs'!$B$14</x:f>
        <x:v>484000</x:v>
      </x:c>
      <x:c r="W770" s="120" t="n">
        <x:f>'01 Base Costs'!$B$19/10</x:f>
        <x:v>119</x:v>
      </x:c>
      <x:c r="X770" s="120" t="n">
        <x:f>0</x:f>
        <x:v>0</x:v>
      </x:c>
      <x:c r="Y770" s="87" t="n">
        <x:f>T770*(W770*'01 Base Costs'!$B$7+X770)</x:f>
        <x:v>80116283520</x:v>
      </x:c>
      <x:c r="Z770" s="87" t="n">
        <x:f>T770*'01 Base Costs'!$B$8</x:f>
        <x:v>105381907199.99998</x:v>
      </x:c>
      <x:c r="AA770" s="87" t="n">
        <x:f>Z770*'01 Base Costs'!$B$11</x:f>
        <x:v>5269095360</x:v>
      </x:c>
      <x:c r="AB770" s="87" t="n">
        <x:f>Z770-AA770</x:f>
        <x:v>100112811839.99998</x:v>
      </x:c>
      <x:c r="AC770" s="87" t="n">
        <x:f>O770+Y770</x:f>
        <x:v>132295163520</x:v>
      </x:c>
      <x:c r="AD770" s="87" t="n">
        <x:f>AB770-AC770</x:f>
        <x:v>-32182351680.000015</x:v>
      </x:c>
      <x:c r="AE770" s="87" t="n">
        <x:f>AD770/D770</x:f>
        <x:v>-2681862640.0000014</x:v>
      </x:c>
      <x:c r="AF770" s="87" t="n">
        <x:f>AD770/P770</x:f>
        <x:v>-893954213.3333337</x:v>
      </x:c>
      <x:c r="AG770" s="87" t="n">
        <x:f>IF(T770=0,0,AC770/T770/(1-'01 Base Costs'!$B$11))</x:f>
        <x:v>994927889.6830555</x:v>
      </x:c>
      <x:c r="AH770" s="88" t="str">
        <x:f>IF(AD770&gt;0,"PROFIT","LOSS")</x:f>
        <x:v>LOSS</x:v>
      </x:c>
      <x:c r="AI770" s="89" t="str">
        <x:v>Official 12M Omega sale example. MCT sale 30% off. Base 10-pack average.</x:v>
      </x:c>
    </x:row>
    <x:row r="771">
      <x:c r="A771" s="86" t="n">
        <x:v>769</x:v>
      </x:c>
      <x:c r="B771" s="88" t="str">
        <x:v>Sale/Event</x:v>
      </x:c>
      <x:c r="C771" s="88" t="str">
        <x:v>Winter 12M Omega sale</x:v>
      </x:c>
      <x:c r="D771" s="88" t="n">
        <x:v>12</x:v>
      </x:c>
      <x:c r="E771" s="88" t="n">
        <x:v>3</x:v>
      </x:c>
      <x:c r="F771" s="88" t="str">
        <x:v>NES MCT 30% sale</x:v>
      </x:c>
      <x:c r="G771" s="88" t="str">
        <x:v>NES 50-pack extractor</x:v>
      </x:c>
      <x:c r="H771" s="87" t="n">
        <x:f>'01 Base Costs'!$B$28</x:f>
        <x:v>2700</x:v>
      </x:c>
      <x:c r="I771" s="87" t="n">
        <x:f>'01 Base Costs'!$B$16*0.7</x:f>
        <x:v>339.5</x:v>
      </x:c>
      <x:c r="J771" s="87" t="n">
        <x:f>0</x:f>
        <x:v>0</x:v>
      </x:c>
      <x:c r="K771" s="87" t="n">
        <x:f>D771*(E771-1)*I771</x:f>
        <x:v>8148</x:v>
      </x:c>
      <x:c r="L771" s="87" t="n">
        <x:f>D771*(E771-1)*J771</x:f>
        <x:v>0</x:v>
      </x:c>
      <x:c r="M771" s="87" t="n">
        <x:f>0</x:f>
        <x:v>0</x:v>
      </x:c>
      <x:c r="N771" s="87" t="n">
        <x:f>H771+K771+M771</x:f>
        <x:v>10848</x:v>
      </x:c>
      <x:c r="O771" s="87" t="n">
        <x:f>N771*'01 Base Costs'!$B$7+L771</x:f>
        <x:v>52178880000</x:v>
      </x:c>
      <x:c r="P771" s="87" t="n">
        <x:f>D771*E771</x:f>
        <x:v>36</x:v>
      </x:c>
      <x:c r="Q771" s="87" t="n">
        <x:f>P771*'01 Base Costs'!$B$12</x:f>
        <x:v>69984000</x:v>
      </x:c>
      <x:c r="R771" s="87" t="n">
        <x:f>0</x:f>
        <x:v>0</x:v>
      </x:c>
      <x:c r="S771" s="87" t="n">
        <x:f>Q771+R771</x:f>
        <x:v>69984000</x:v>
      </x:c>
      <x:c r="T771" s="141" t="n">
        <x:f>S771/'01 Base Costs'!$B$14</x:f>
        <x:v>139.968</x:v>
      </x:c>
      <x:c r="U771" s="87" t="n">
        <x:f>INT(T771)</x:f>
        <x:v>139</x:v>
      </x:c>
      <x:c r="V771" s="87" t="n">
        <x:f>S771-U771*'01 Base Costs'!$B$14</x:f>
        <x:v>484000</x:v>
      </x:c>
      <x:c r="W771" s="120" t="n">
        <x:f>'01 Base Costs'!$B$20/50</x:f>
        <x:v>112</x:v>
      </x:c>
      <x:c r="X771" s="120" t="n">
        <x:f>0</x:f>
        <x:v>0</x:v>
      </x:c>
      <x:c r="Y771" s="87" t="n">
        <x:f>T771*(W771*'01 Base Costs'!$B$7+X771)</x:f>
        <x:v>75403560960</x:v>
      </x:c>
      <x:c r="Z771" s="87" t="n">
        <x:f>T771*'01 Base Costs'!$B$8</x:f>
        <x:v>105381907199.99998</x:v>
      </x:c>
      <x:c r="AA771" s="87" t="n">
        <x:f>Z771*'01 Base Costs'!$B$11</x:f>
        <x:v>5269095360</x:v>
      </x:c>
      <x:c r="AB771" s="87" t="n">
        <x:f>Z771-AA771</x:f>
        <x:v>100112811839.99998</x:v>
      </x:c>
      <x:c r="AC771" s="87" t="n">
        <x:f>O771+Y771</x:f>
        <x:v>127582440960</x:v>
      </x:c>
      <x:c r="AD771" s="87" t="n">
        <x:f>AB771-AC771</x:f>
        <x:v>-27469629120.000015</x:v>
      </x:c>
      <x:c r="AE771" s="87" t="n">
        <x:f>AD771/D771</x:f>
        <x:v>-2289135760.0000014</x:v>
      </x:c>
      <x:c r="AF771" s="87" t="n">
        <x:f>AD771/P771</x:f>
        <x:v>-763045253.3333337</x:v>
      </x:c>
      <x:c r="AG771" s="87" t="n">
        <x:f>IF(T771=0,0,AC771/T771/(1-'01 Base Costs'!$B$11))</x:f>
        <x:v>959485784.4198977</x:v>
      </x:c>
      <x:c r="AH771" s="88" t="str">
        <x:f>IF(AD771&gt;0,"PROFIT","LOSS")</x:f>
        <x:v>LOSS</x:v>
      </x:c>
      <x:c r="AI771" s="89" t="str">
        <x:v>Official 12M Omega sale example. MCT sale 30% off. Base 50-pack average.</x:v>
      </x:c>
    </x:row>
    <x:row r="772">
      <x:c r="A772" s="86" t="n">
        <x:v>770</x:v>
      </x:c>
      <x:c r="B772" s="88" t="str">
        <x:v>Sale/Event</x:v>
      </x:c>
      <x:c r="C772" s="88" t="str">
        <x:v>Winter 12M Omega sale</x:v>
      </x:c>
      <x:c r="D772" s="88" t="n">
        <x:v>12</x:v>
      </x:c>
      <x:c r="E772" s="88" t="n">
        <x:v>3</x:v>
      </x:c>
      <x:c r="F772" s="88" t="str">
        <x:v>NES MCT 30% sale</x:v>
      </x:c>
      <x:c r="G772" s="88" t="str">
        <x:v>NES 3-for-2 extractor sale</x:v>
      </x:c>
      <x:c r="H772" s="87" t="n">
        <x:f>'01 Base Costs'!$B$28</x:f>
        <x:v>2700</x:v>
      </x:c>
      <x:c r="I772" s="87" t="n">
        <x:f>'01 Base Costs'!$B$16*0.7</x:f>
        <x:v>339.5</x:v>
      </x:c>
      <x:c r="J772" s="87" t="n">
        <x:f>0</x:f>
        <x:v>0</x:v>
      </x:c>
      <x:c r="K772" s="87" t="n">
        <x:f>D772*(E772-1)*I772</x:f>
        <x:v>8148</x:v>
      </x:c>
      <x:c r="L772" s="87" t="n">
        <x:f>D772*(E772-1)*J772</x:f>
        <x:v>0</x:v>
      </x:c>
      <x:c r="M772" s="87" t="n">
        <x:f>0</x:f>
        <x:v>0</x:v>
      </x:c>
      <x:c r="N772" s="87" t="n">
        <x:f>H772+K772+M772</x:f>
        <x:v>10848</x:v>
      </x:c>
      <x:c r="O772" s="87" t="n">
        <x:f>N772*'01 Base Costs'!$B$7+L772</x:f>
        <x:v>52178880000</x:v>
      </x:c>
      <x:c r="P772" s="87" t="n">
        <x:f>D772*E772</x:f>
        <x:v>36</x:v>
      </x:c>
      <x:c r="Q772" s="87" t="n">
        <x:f>P772*'01 Base Costs'!$B$12</x:f>
        <x:v>69984000</x:v>
      </x:c>
      <x:c r="R772" s="87" t="n">
        <x:f>0</x:f>
        <x:v>0</x:v>
      </x:c>
      <x:c r="S772" s="87" t="n">
        <x:f>Q772+R772</x:f>
        <x:v>69984000</x:v>
      </x:c>
      <x:c r="T772" s="141" t="n">
        <x:f>S772/'01 Base Costs'!$B$14</x:f>
        <x:v>139.968</x:v>
      </x:c>
      <x:c r="U772" s="87" t="n">
        <x:f>INT(T772)</x:f>
        <x:v>139</x:v>
      </x:c>
      <x:c r="V772" s="87" t="n">
        <x:f>S772-U772*'01 Base Costs'!$B$14</x:f>
        <x:v>484000</x:v>
      </x:c>
      <x:c r="W772" s="120" t="n">
        <x:f>'01 Base Costs'!$B$17*2/3</x:f>
        <x:v>93.33333333333333</x:v>
      </x:c>
      <x:c r="X772" s="120" t="n">
        <x:f>0</x:f>
        <x:v>0</x:v>
      </x:c>
      <x:c r="Y772" s="87" t="n">
        <x:f>T772*(W772*'01 Base Costs'!$B$7+X772)</x:f>
        <x:v>62836300799.99999</x:v>
      </x:c>
      <x:c r="Z772" s="87" t="n">
        <x:f>T772*'01 Base Costs'!$B$8</x:f>
        <x:v>105381907199.99998</x:v>
      </x:c>
      <x:c r="AA772" s="87" t="n">
        <x:f>Z772*'01 Base Costs'!$B$11</x:f>
        <x:v>5269095360</x:v>
      </x:c>
      <x:c r="AB772" s="87" t="n">
        <x:f>Z772-AA772</x:f>
        <x:v>100112811839.99998</x:v>
      </x:c>
      <x:c r="AC772" s="87" t="n">
        <x:f>O772+Y772</x:f>
        <x:v>115015180800</x:v>
      </x:c>
      <x:c r="AD772" s="87" t="n">
        <x:f>AB772-AC772</x:f>
        <x:v>-14902368960.000015</x:v>
      </x:c>
      <x:c r="AE772" s="87" t="n">
        <x:f>AD772/D772</x:f>
        <x:v>-1241864080.0000012</x:v>
      </x:c>
      <x:c r="AF772" s="87" t="n">
        <x:f>AD772/P772</x:f>
        <x:v>-413954693.33333373</x:v>
      </x:c>
      <x:c r="AG772" s="87" t="n">
        <x:f>IF(T772=0,0,AC772/T772/(1-'01 Base Costs'!$B$11))</x:f>
        <x:v>864973503.7181432</x:v>
      </x:c>
      <x:c r="AH772" s="88" t="str">
        <x:f>IF(AD772&gt;0,"PROFIT","LOSS")</x:f>
        <x:v>LOSS</x:v>
      </x:c>
      <x:c r="AI772" s="89" t="str">
        <x:v>Official 12M Omega sale example. MCT sale 30% off. Extractor 3-for-2 sale.</x:v>
      </x:c>
    </x:row>
    <x:row r="773">
      <x:c r="A773" s="86" t="n">
        <x:v>771</x:v>
      </x:c>
      <x:c r="B773" s="88" t="str">
        <x:v>Sale/Event</x:v>
      </x:c>
      <x:c r="C773" s="88" t="str">
        <x:v>Winter 12M Omega sale</x:v>
      </x:c>
      <x:c r="D773" s="88" t="n">
        <x:v>12</x:v>
      </x:c>
      <x:c r="E773" s="88" t="n">
        <x:v>3</x:v>
      </x:c>
      <x:c r="F773" s="88" t="str">
        <x:v>NES MCT 30% sale</x:v>
      </x:c>
      <x:c r="G773" s="88" t="str">
        <x:v>NES 2-for-1 extractor sale</x:v>
      </x:c>
      <x:c r="H773" s="87" t="n">
        <x:f>'01 Base Costs'!$B$28</x:f>
        <x:v>2700</x:v>
      </x:c>
      <x:c r="I773" s="87" t="n">
        <x:f>'01 Base Costs'!$B$16*0.7</x:f>
        <x:v>339.5</x:v>
      </x:c>
      <x:c r="J773" s="87" t="n">
        <x:f>0</x:f>
        <x:v>0</x:v>
      </x:c>
      <x:c r="K773" s="87" t="n">
        <x:f>D773*(E773-1)*I773</x:f>
        <x:v>8148</x:v>
      </x:c>
      <x:c r="L773" s="87" t="n">
        <x:f>D773*(E773-1)*J773</x:f>
        <x:v>0</x:v>
      </x:c>
      <x:c r="M773" s="87" t="n">
        <x:f>0</x:f>
        <x:v>0</x:v>
      </x:c>
      <x:c r="N773" s="87" t="n">
        <x:f>H773+K773+M773</x:f>
        <x:v>10848</x:v>
      </x:c>
      <x:c r="O773" s="87" t="n">
        <x:f>N773*'01 Base Costs'!$B$7+L773</x:f>
        <x:v>52178880000</x:v>
      </x:c>
      <x:c r="P773" s="87" t="n">
        <x:f>D773*E773</x:f>
        <x:v>36</x:v>
      </x:c>
      <x:c r="Q773" s="87" t="n">
        <x:f>P773*'01 Base Costs'!$B$12</x:f>
        <x:v>69984000</x:v>
      </x:c>
      <x:c r="R773" s="87" t="n">
        <x:f>0</x:f>
        <x:v>0</x:v>
      </x:c>
      <x:c r="S773" s="87" t="n">
        <x:f>Q773+R773</x:f>
        <x:v>69984000</x:v>
      </x:c>
      <x:c r="T773" s="141" t="n">
        <x:f>S773/'01 Base Costs'!$B$14</x:f>
        <x:v>139.968</x:v>
      </x:c>
      <x:c r="U773" s="87" t="n">
        <x:f>INT(T773)</x:f>
        <x:v>139</x:v>
      </x:c>
      <x:c r="V773" s="87" t="n">
        <x:f>S773-U773*'01 Base Costs'!$B$14</x:f>
        <x:v>484000</x:v>
      </x:c>
      <x:c r="W773" s="120" t="n">
        <x:f>'01 Base Costs'!$B$17/2</x:f>
        <x:v>70</x:v>
      </x:c>
      <x:c r="X773" s="120" t="n">
        <x:f>0</x:f>
        <x:v>0</x:v>
      </x:c>
      <x:c r="Y773" s="87" t="n">
        <x:f>T773*(W773*'01 Base Costs'!$B$7+X773)</x:f>
        <x:v>47127225600</x:v>
      </x:c>
      <x:c r="Z773" s="87" t="n">
        <x:f>T773*'01 Base Costs'!$B$8</x:f>
        <x:v>105381907199.99998</x:v>
      </x:c>
      <x:c r="AA773" s="87" t="n">
        <x:f>Z773*'01 Base Costs'!$B$11</x:f>
        <x:v>5269095360</x:v>
      </x:c>
      <x:c r="AB773" s="87" t="n">
        <x:f>Z773-AA773</x:f>
        <x:v>100112811839.99998</x:v>
      </x:c>
      <x:c r="AC773" s="87" t="n">
        <x:f>O773+Y773</x:f>
        <x:v>99306105600</x:v>
      </x:c>
      <x:c r="AD773" s="87" t="n">
        <x:f>AB773-AC773</x:f>
        <x:v>806706239.9999847</x:v>
      </x:c>
      <x:c r="AE773" s="87" t="n">
        <x:f>AD773/D773</x:f>
        <x:v>67225519.99999873</x:v>
      </x:c>
      <x:c r="AF773" s="87" t="n">
        <x:f>AD773/P773</x:f>
        <x:v>22408506.666666243</x:v>
      </x:c>
      <x:c r="AG773" s="87" t="n">
        <x:f>IF(T773=0,0,AC773/T773/(1-'01 Base Costs'!$B$11))</x:f>
        <x:v>746833152.8409501</x:v>
      </x:c>
      <x:c r="AH773" s="88" t="str">
        <x:f>IF(AD773&gt;0,"PROFIT","LOSS")</x:f>
        <x:v>PROFIT</x:v>
      </x:c>
      <x:c r="AI773" s="89" t="str">
        <x:v>Official 12M Omega sale example. MCT sale 30% off. Extractor 2-for-1 sale.</x:v>
      </x:c>
    </x:row>
    <x:row r="774">
      <x:c r="A774" s="86" t="n">
        <x:v>772</x:v>
      </x:c>
      <x:c r="B774" s="88" t="str">
        <x:v>Sale/Event</x:v>
      </x:c>
      <x:c r="C774" s="88" t="str">
        <x:v>Winter 12M Omega sale</x:v>
      </x:c>
      <x:c r="D774" s="88" t="n">
        <x:v>12</x:v>
      </x:c>
      <x:c r="E774" s="88" t="n">
        <x:v>3</x:v>
      </x:c>
      <x:c r="F774" s="88" t="str">
        <x:v>NES MCT 30% sale</x:v>
      </x:c>
      <x:c r="G774" s="88" t="str">
        <x:v>NES 10-pack extractor 20% sale</x:v>
      </x:c>
      <x:c r="H774" s="87" t="n">
        <x:f>'01 Base Costs'!$B$28</x:f>
        <x:v>2700</x:v>
      </x:c>
      <x:c r="I774" s="87" t="n">
        <x:f>'01 Base Costs'!$B$16*0.7</x:f>
        <x:v>339.5</x:v>
      </x:c>
      <x:c r="J774" s="87" t="n">
        <x:f>0</x:f>
        <x:v>0</x:v>
      </x:c>
      <x:c r="K774" s="87" t="n">
        <x:f>D774*(E774-1)*I774</x:f>
        <x:v>8148</x:v>
      </x:c>
      <x:c r="L774" s="87" t="n">
        <x:f>D774*(E774-1)*J774</x:f>
        <x:v>0</x:v>
      </x:c>
      <x:c r="M774" s="87" t="n">
        <x:f>0</x:f>
        <x:v>0</x:v>
      </x:c>
      <x:c r="N774" s="87" t="n">
        <x:f>H774+K774+M774</x:f>
        <x:v>10848</x:v>
      </x:c>
      <x:c r="O774" s="87" t="n">
        <x:f>N774*'01 Base Costs'!$B$7+L774</x:f>
        <x:v>52178880000</x:v>
      </x:c>
      <x:c r="P774" s="87" t="n">
        <x:f>D774*E774</x:f>
        <x:v>36</x:v>
      </x:c>
      <x:c r="Q774" s="87" t="n">
        <x:f>P774*'01 Base Costs'!$B$12</x:f>
        <x:v>69984000</x:v>
      </x:c>
      <x:c r="R774" s="87" t="n">
        <x:f>0</x:f>
        <x:v>0</x:v>
      </x:c>
      <x:c r="S774" s="87" t="n">
        <x:f>Q774+R774</x:f>
        <x:v>69984000</x:v>
      </x:c>
      <x:c r="T774" s="141" t="n">
        <x:f>S774/'01 Base Costs'!$B$14</x:f>
        <x:v>139.968</x:v>
      </x:c>
      <x:c r="U774" s="87" t="n">
        <x:f>INT(T774)</x:f>
        <x:v>139</x:v>
      </x:c>
      <x:c r="V774" s="87" t="n">
        <x:f>S774-U774*'01 Base Costs'!$B$14</x:f>
        <x:v>484000</x:v>
      </x:c>
      <x:c r="W774" s="120" t="n">
        <x:f>'01 Base Costs'!$B$19*0.8/10</x:f>
        <x:v>95.2</x:v>
      </x:c>
      <x:c r="X774" s="120" t="n">
        <x:f>0</x:f>
        <x:v>0</x:v>
      </x:c>
      <x:c r="Y774" s="87" t="n">
        <x:f>T774*(W774*'01 Base Costs'!$B$7+X774)</x:f>
        <x:v>64093026815.99999</x:v>
      </x:c>
      <x:c r="Z774" s="87" t="n">
        <x:f>T774*'01 Base Costs'!$B$8</x:f>
        <x:v>105381907199.99998</x:v>
      </x:c>
      <x:c r="AA774" s="87" t="n">
        <x:f>Z774*'01 Base Costs'!$B$11</x:f>
        <x:v>5269095360</x:v>
      </x:c>
      <x:c r="AB774" s="87" t="n">
        <x:f>Z774-AA774</x:f>
        <x:v>100112811839.99998</x:v>
      </x:c>
      <x:c r="AC774" s="87" t="n">
        <x:f>O774+Y774</x:f>
        <x:v>116271906816</x:v>
      </x:c>
      <x:c r="AD774" s="87" t="n">
        <x:f>AB774-AC774</x:f>
        <x:v>-16159094976.000015</x:v>
      </x:c>
      <x:c r="AE774" s="87" t="n">
        <x:f>AD774/D774</x:f>
        <x:v>-1346591248.0000012</x:v>
      </x:c>
      <x:c r="AF774" s="87" t="n">
        <x:f>AD774/P774</x:f>
        <x:v>-448863749.33333373</x:v>
      </x:c>
      <x:c r="AG774" s="87" t="n">
        <x:f>IF(T774=0,0,AC774/T774/(1-'01 Base Costs'!$B$11))</x:f>
        <x:v>874424731.7883188</x:v>
      </x:c>
      <x:c r="AH774" s="88" t="str">
        <x:f>IF(AD774&gt;0,"PROFIT","LOSS")</x:f>
        <x:v>LOSS</x:v>
      </x:c>
      <x:c r="AI774" s="89" t="str">
        <x:v>Official 12M Omega sale example. MCT sale 30% off. 10-pack at 20% off.</x:v>
      </x:c>
    </x:row>
    <x:row r="775">
      <x:c r="A775" s="86" t="n">
        <x:v>773</x:v>
      </x:c>
      <x:c r="B775" s="88" t="str">
        <x:v>Sale/Event</x:v>
      </x:c>
      <x:c r="C775" s="88" t="str">
        <x:v>Winter 12M Omega sale</x:v>
      </x:c>
      <x:c r="D775" s="88" t="n">
        <x:v>12</x:v>
      </x:c>
      <x:c r="E775" s="88" t="n">
        <x:v>3</x:v>
      </x:c>
      <x:c r="F775" s="88" t="str">
        <x:v>NES MCT 30% sale</x:v>
      </x:c>
      <x:c r="G775" s="88" t="str">
        <x:v>NES 50-pack extractor 20% sale</x:v>
      </x:c>
      <x:c r="H775" s="87" t="n">
        <x:f>'01 Base Costs'!$B$28</x:f>
        <x:v>2700</x:v>
      </x:c>
      <x:c r="I775" s="87" t="n">
        <x:f>'01 Base Costs'!$B$16*0.7</x:f>
        <x:v>339.5</x:v>
      </x:c>
      <x:c r="J775" s="87" t="n">
        <x:f>0</x:f>
        <x:v>0</x:v>
      </x:c>
      <x:c r="K775" s="87" t="n">
        <x:f>D775*(E775-1)*I775</x:f>
        <x:v>8148</x:v>
      </x:c>
      <x:c r="L775" s="87" t="n">
        <x:f>D775*(E775-1)*J775</x:f>
        <x:v>0</x:v>
      </x:c>
      <x:c r="M775" s="87" t="n">
        <x:f>0</x:f>
        <x:v>0</x:v>
      </x:c>
      <x:c r="N775" s="87" t="n">
        <x:f>H775+K775+M775</x:f>
        <x:v>10848</x:v>
      </x:c>
      <x:c r="O775" s="87" t="n">
        <x:f>N775*'01 Base Costs'!$B$7+L775</x:f>
        <x:v>52178880000</x:v>
      </x:c>
      <x:c r="P775" s="87" t="n">
        <x:f>D775*E775</x:f>
        <x:v>36</x:v>
      </x:c>
      <x:c r="Q775" s="87" t="n">
        <x:f>P775*'01 Base Costs'!$B$12</x:f>
        <x:v>69984000</x:v>
      </x:c>
      <x:c r="R775" s="87" t="n">
        <x:f>0</x:f>
        <x:v>0</x:v>
      </x:c>
      <x:c r="S775" s="87" t="n">
        <x:f>Q775+R775</x:f>
        <x:v>69984000</x:v>
      </x:c>
      <x:c r="T775" s="141" t="n">
        <x:f>S775/'01 Base Costs'!$B$14</x:f>
        <x:v>139.968</x:v>
      </x:c>
      <x:c r="U775" s="87" t="n">
        <x:f>INT(T775)</x:f>
        <x:v>139</x:v>
      </x:c>
      <x:c r="V775" s="87" t="n">
        <x:f>S775-U775*'01 Base Costs'!$B$14</x:f>
        <x:v>484000</x:v>
      </x:c>
      <x:c r="W775" s="120" t="n">
        <x:f>'01 Base Costs'!$B$20*0.8/50</x:f>
        <x:v>89.6</x:v>
      </x:c>
      <x:c r="X775" s="120" t="n">
        <x:f>0</x:f>
        <x:v>0</x:v>
      </x:c>
      <x:c r="Y775" s="87" t="n">
        <x:f>T775*(W775*'01 Base Costs'!$B$7+X775)</x:f>
        <x:v>60322848767.99999</x:v>
      </x:c>
      <x:c r="Z775" s="87" t="n">
        <x:f>T775*'01 Base Costs'!$B$8</x:f>
        <x:v>105381907199.99998</x:v>
      </x:c>
      <x:c r="AA775" s="87" t="n">
        <x:f>Z775*'01 Base Costs'!$B$11</x:f>
        <x:v>5269095360</x:v>
      </x:c>
      <x:c r="AB775" s="87" t="n">
        <x:f>Z775-AA775</x:f>
        <x:v>100112811839.99998</x:v>
      </x:c>
      <x:c r="AC775" s="87" t="n">
        <x:f>O775+Y775</x:f>
        <x:v>112501728768</x:v>
      </x:c>
      <x:c r="AD775" s="87" t="n">
        <x:f>AB775-AC775</x:f>
        <x:v>-12388916928.000015</x:v>
      </x:c>
      <x:c r="AE775" s="87" t="n">
        <x:f>AD775/D775</x:f>
        <x:v>-1032409744.0000013</x:v>
      </x:c>
      <x:c r="AF775" s="87" t="n">
        <x:f>AD775/P775</x:f>
        <x:v>-344136581.33333373</x:v>
      </x:c>
      <x:c r="AG775" s="87" t="n">
        <x:f>IF(T775=0,0,AC775/T775/(1-'01 Base Costs'!$B$11))</x:f>
        <x:v>846071047.5777924</x:v>
      </x:c>
      <x:c r="AH775" s="88" t="str">
        <x:f>IF(AD775&gt;0,"PROFIT","LOSS")</x:f>
        <x:v>LOSS</x:v>
      </x:c>
      <x:c r="AI775" s="89" t="str">
        <x:v>Official 12M Omega sale example. MCT sale 30% off. 50-pack at 20% off.</x:v>
      </x:c>
    </x:row>
    <x:row r="776">
      <x:c r="A776" s="86" t="n">
        <x:v>774</x:v>
      </x:c>
      <x:c r="B776" s="88" t="str">
        <x:v>Sale/Event</x:v>
      </x:c>
      <x:c r="C776" s="88" t="str">
        <x:v>Winter 12M Omega sale</x:v>
      </x:c>
      <x:c r="D776" s="88" t="n">
        <x:v>12</x:v>
      </x:c>
      <x:c r="E776" s="88" t="n">
        <x:v>3</x:v>
      </x:c>
      <x:c r="F776" s="88" t="str">
        <x:v>NES MCT 30% sale</x:v>
      </x:c>
      <x:c r="G776" s="88" t="str">
        <x:v>Market Skill Extractor</x:v>
      </x:c>
      <x:c r="H776" s="87" t="n">
        <x:f>'01 Base Costs'!$B$28</x:f>
        <x:v>2700</x:v>
      </x:c>
      <x:c r="I776" s="87" t="n">
        <x:f>'01 Base Costs'!$B$16*0.7</x:f>
        <x:v>339.5</x:v>
      </x:c>
      <x:c r="J776" s="87" t="n">
        <x:f>0</x:f>
        <x:v>0</x:v>
      </x:c>
      <x:c r="K776" s="87" t="n">
        <x:f>D776*(E776-1)*I776</x:f>
        <x:v>8148</x:v>
      </x:c>
      <x:c r="L776" s="87" t="n">
        <x:f>D776*(E776-1)*J776</x:f>
        <x:v>0</x:v>
      </x:c>
      <x:c r="M776" s="87" t="n">
        <x:f>0</x:f>
        <x:v>0</x:v>
      </x:c>
      <x:c r="N776" s="87" t="n">
        <x:f>H776+K776+M776</x:f>
        <x:v>10848</x:v>
      </x:c>
      <x:c r="O776" s="87" t="n">
        <x:f>N776*'01 Base Costs'!$B$7+L776</x:f>
        <x:v>52178880000</x:v>
      </x:c>
      <x:c r="P776" s="87" t="n">
        <x:f>D776*E776</x:f>
        <x:v>36</x:v>
      </x:c>
      <x:c r="Q776" s="87" t="n">
        <x:f>P776*'01 Base Costs'!$B$12</x:f>
        <x:v>69984000</x:v>
      </x:c>
      <x:c r="R776" s="87" t="n">
        <x:f>0</x:f>
        <x:v>0</x:v>
      </x:c>
      <x:c r="S776" s="87" t="n">
        <x:f>Q776+R776</x:f>
        <x:v>69984000</x:v>
      </x:c>
      <x:c r="T776" s="141" t="n">
        <x:f>S776/'01 Base Costs'!$B$14</x:f>
        <x:v>139.968</x:v>
      </x:c>
      <x:c r="U776" s="87" t="n">
        <x:f>INT(T776)</x:f>
        <x:v>139</x:v>
      </x:c>
      <x:c r="V776" s="87" t="n">
        <x:f>S776-U776*'01 Base Costs'!$B$14</x:f>
        <x:v>484000</x:v>
      </x:c>
      <x:c r="W776" s="120" t="n">
        <x:f>0</x:f>
        <x:v>0</x:v>
      </x:c>
      <x:c r="X776" s="120" t="n">
        <x:f>'01 Base Costs'!$B$9</x:f>
        <x:v>463500000</x:v>
      </x:c>
      <x:c r="Y776" s="87" t="n">
        <x:f>T776*(W776*'01 Base Costs'!$B$7+X776)</x:f>
        <x:v>64875167999.99999</x:v>
      </x:c>
      <x:c r="Z776" s="87" t="n">
        <x:f>T776*'01 Base Costs'!$B$8</x:f>
        <x:v>105381907199.99998</x:v>
      </x:c>
      <x:c r="AA776" s="87" t="n">
        <x:f>Z776*'01 Base Costs'!$B$11</x:f>
        <x:v>5269095360</x:v>
      </x:c>
      <x:c r="AB776" s="87" t="n">
        <x:f>Z776-AA776</x:f>
        <x:v>100112811839.99998</x:v>
      </x:c>
      <x:c r="AC776" s="87" t="n">
        <x:f>O776+Y776</x:f>
        <x:v>117054048000</x:v>
      </x:c>
      <x:c r="AD776" s="87" t="n">
        <x:f>AB776-AC776</x:f>
        <x:v>-16941236160.000015</x:v>
      </x:c>
      <x:c r="AE776" s="87" t="n">
        <x:f>AD776/D776</x:f>
        <x:v>-1411769680.0000012</x:v>
      </x:c>
      <x:c r="AF776" s="87" t="n">
        <x:f>AD776/P776</x:f>
        <x:v>-470589893.33333373</x:v>
      </x:c>
      <x:c r="AG776" s="87" t="n">
        <x:f>IF(T776=0,0,AC776/T776/(1-'01 Base Costs'!$B$11))</x:f>
        <x:v>880306837.0514766</x:v>
      </x:c>
      <x:c r="AH776" s="88" t="str">
        <x:f>IF(AD776&gt;0,"PROFIT","LOSS")</x:f>
        <x:v>LOSS</x:v>
      </x:c>
      <x:c r="AI776" s="89" t="str">
        <x:v>Official 12M Omega sale example. MCT sale 30% off. Extractor bought on market with ISK.</x:v>
      </x:c>
    </x:row>
    <x:row r="777">
      <x:c r="A777" s="86" t="n">
        <x:v>775</x:v>
      </x:c>
      <x:c r="B777" s="88" t="str">
        <x:v>Sale/Event</x:v>
      </x:c>
      <x:c r="C777" s="88" t="str">
        <x:v>Winter 12M Omega sale</x:v>
      </x:c>
      <x:c r="D777" s="88" t="n">
        <x:v>12</x:v>
      </x:c>
      <x:c r="E777" s="88" t="n">
        <x:v>3</x:v>
      </x:c>
      <x:c r="F777" s="88" t="str">
        <x:v>NES MCT 40% sale</x:v>
      </x:c>
      <x:c r="G777" s="88" t="str">
        <x:v>NES single extractor</x:v>
      </x:c>
      <x:c r="H777" s="87" t="n">
        <x:f>'01 Base Costs'!$B$28</x:f>
        <x:v>2700</x:v>
      </x:c>
      <x:c r="I777" s="87" t="n">
        <x:f>'01 Base Costs'!$B$16*0.6</x:f>
        <x:v>291</x:v>
      </x:c>
      <x:c r="J777" s="87" t="n">
        <x:f>0</x:f>
        <x:v>0</x:v>
      </x:c>
      <x:c r="K777" s="87" t="n">
        <x:f>D777*(E777-1)*I777</x:f>
        <x:v>6984</x:v>
      </x:c>
      <x:c r="L777" s="87" t="n">
        <x:f>D777*(E777-1)*J777</x:f>
        <x:v>0</x:v>
      </x:c>
      <x:c r="M777" s="87" t="n">
        <x:f>0</x:f>
        <x:v>0</x:v>
      </x:c>
      <x:c r="N777" s="87" t="n">
        <x:f>H777+K777+M777</x:f>
        <x:v>9684</x:v>
      </x:c>
      <x:c r="O777" s="87" t="n">
        <x:f>N777*'01 Base Costs'!$B$7+L777</x:f>
        <x:v>46580040000</x:v>
      </x:c>
      <x:c r="P777" s="87" t="n">
        <x:f>D777*E777</x:f>
        <x:v>36</x:v>
      </x:c>
      <x:c r="Q777" s="87" t="n">
        <x:f>P777*'01 Base Costs'!$B$12</x:f>
        <x:v>69984000</x:v>
      </x:c>
      <x:c r="R777" s="87" t="n">
        <x:f>0</x:f>
        <x:v>0</x:v>
      </x:c>
      <x:c r="S777" s="87" t="n">
        <x:f>Q777+R777</x:f>
        <x:v>69984000</x:v>
      </x:c>
      <x:c r="T777" s="141" t="n">
        <x:f>S777/'01 Base Costs'!$B$14</x:f>
        <x:v>139.968</x:v>
      </x:c>
      <x:c r="U777" s="87" t="n">
        <x:f>INT(T777)</x:f>
        <x:v>139</x:v>
      </x:c>
      <x:c r="V777" s="87" t="n">
        <x:f>S777-U777*'01 Base Costs'!$B$14</x:f>
        <x:v>484000</x:v>
      </x:c>
      <x:c r="W777" s="120" t="n">
        <x:f>'01 Base Costs'!$B$17</x:f>
        <x:v>140</x:v>
      </x:c>
      <x:c r="X777" s="120" t="n">
        <x:f>0</x:f>
        <x:v>0</x:v>
      </x:c>
      <x:c r="Y777" s="87" t="n">
        <x:f>T777*(W777*'01 Base Costs'!$B$7+X777)</x:f>
        <x:v>94254451200</x:v>
      </x:c>
      <x:c r="Z777" s="87" t="n">
        <x:f>T777*'01 Base Costs'!$B$8</x:f>
        <x:v>105381907199.99998</x:v>
      </x:c>
      <x:c r="AA777" s="87" t="n">
        <x:f>Z777*'01 Base Costs'!$B$11</x:f>
        <x:v>5269095360</x:v>
      </x:c>
      <x:c r="AB777" s="87" t="n">
        <x:f>Z777-AA777</x:f>
        <x:v>100112811839.99998</x:v>
      </x:c>
      <x:c r="AC777" s="87" t="n">
        <x:f>O777+Y777</x:f>
        <x:v>140834491200</x:v>
      </x:c>
      <x:c r="AD777" s="87" t="n">
        <x:f>AB777-AC777</x:f>
        <x:v>-40721679360.000015</x:v>
      </x:c>
      <x:c r="AE777" s="87" t="n">
        <x:f>AD777/D777</x:f>
        <x:v>-3393473280.0000014</x:v>
      </x:c>
      <x:c r="AF777" s="87" t="n">
        <x:f>AD777/P777</x:f>
        <x:v>-1131157760.0000005</x:v>
      </x:c>
      <x:c r="AG777" s="87" t="n">
        <x:f>IF(T777=0,0,AC777/T777/(1-'01 Base Costs'!$B$11))</x:f>
        <x:v>1059148039.8527184</x:v>
      </x:c>
      <x:c r="AH777" s="88" t="str">
        <x:f>IF(AD777&gt;0,"PROFIT","LOSS")</x:f>
        <x:v>LOSS</x:v>
      </x:c>
      <x:c r="AI777" s="89" t="str">
        <x:v>Official 12M Omega sale example. MCT sale 40% off. Base single extractor.</x:v>
      </x:c>
    </x:row>
    <x:row r="778">
      <x:c r="A778" s="86" t="n">
        <x:v>776</x:v>
      </x:c>
      <x:c r="B778" s="88" t="str">
        <x:v>Sale/Event</x:v>
      </x:c>
      <x:c r="C778" s="88" t="str">
        <x:v>Winter 12M Omega sale</x:v>
      </x:c>
      <x:c r="D778" s="88" t="n">
        <x:v>12</x:v>
      </x:c>
      <x:c r="E778" s="88" t="n">
        <x:v>3</x:v>
      </x:c>
      <x:c r="F778" s="88" t="str">
        <x:v>NES MCT 40% sale</x:v>
      </x:c>
      <x:c r="G778" s="88" t="str">
        <x:v>NES 5-pack extractor</x:v>
      </x:c>
      <x:c r="H778" s="87" t="n">
        <x:f>'01 Base Costs'!$B$28</x:f>
        <x:v>2700</x:v>
      </x:c>
      <x:c r="I778" s="87" t="n">
        <x:f>'01 Base Costs'!$B$16*0.6</x:f>
        <x:v>291</x:v>
      </x:c>
      <x:c r="J778" s="87" t="n">
        <x:f>0</x:f>
        <x:v>0</x:v>
      </x:c>
      <x:c r="K778" s="87" t="n">
        <x:f>D778*(E778-1)*I778</x:f>
        <x:v>6984</x:v>
      </x:c>
      <x:c r="L778" s="87" t="n">
        <x:f>D778*(E778-1)*J778</x:f>
        <x:v>0</x:v>
      </x:c>
      <x:c r="M778" s="87" t="n">
        <x:f>0</x:f>
        <x:v>0</x:v>
      </x:c>
      <x:c r="N778" s="87" t="n">
        <x:f>H778+K778+M778</x:f>
        <x:v>9684</x:v>
      </x:c>
      <x:c r="O778" s="87" t="n">
        <x:f>N778*'01 Base Costs'!$B$7+L778</x:f>
        <x:v>46580040000</x:v>
      </x:c>
      <x:c r="P778" s="87" t="n">
        <x:f>D778*E778</x:f>
        <x:v>36</x:v>
      </x:c>
      <x:c r="Q778" s="87" t="n">
        <x:f>P778*'01 Base Costs'!$B$12</x:f>
        <x:v>69984000</x:v>
      </x:c>
      <x:c r="R778" s="87" t="n">
        <x:f>0</x:f>
        <x:v>0</x:v>
      </x:c>
      <x:c r="S778" s="87" t="n">
        <x:f>Q778+R778</x:f>
        <x:v>69984000</x:v>
      </x:c>
      <x:c r="T778" s="141" t="n">
        <x:f>S778/'01 Base Costs'!$B$14</x:f>
        <x:v>139.968</x:v>
      </x:c>
      <x:c r="U778" s="87" t="n">
        <x:f>INT(T778)</x:f>
        <x:v>139</x:v>
      </x:c>
      <x:c r="V778" s="87" t="n">
        <x:f>S778-U778*'01 Base Costs'!$B$14</x:f>
        <x:v>484000</x:v>
      </x:c>
      <x:c r="W778" s="120" t="n">
        <x:f>'01 Base Costs'!$B$18/5</x:f>
        <x:v>126</x:v>
      </x:c>
      <x:c r="X778" s="120" t="n">
        <x:f>0</x:f>
        <x:v>0</x:v>
      </x:c>
      <x:c r="Y778" s="87" t="n">
        <x:f>T778*(W778*'01 Base Costs'!$B$7+X778)</x:f>
        <x:v>84829006080</x:v>
      </x:c>
      <x:c r="Z778" s="87" t="n">
        <x:f>T778*'01 Base Costs'!$B$8</x:f>
        <x:v>105381907199.99998</x:v>
      </x:c>
      <x:c r="AA778" s="87" t="n">
        <x:f>Z778*'01 Base Costs'!$B$11</x:f>
        <x:v>5269095360</x:v>
      </x:c>
      <x:c r="AB778" s="87" t="n">
        <x:f>Z778-AA778</x:f>
        <x:v>100112811839.99998</x:v>
      </x:c>
      <x:c r="AC778" s="87" t="n">
        <x:f>O778+Y778</x:f>
        <x:v>131409046080</x:v>
      </x:c>
      <x:c r="AD778" s="87" t="n">
        <x:f>AB778-AC778</x:f>
        <x:v>-31296234240.000015</x:v>
      </x:c>
      <x:c r="AE778" s="87" t="n">
        <x:f>AD778/D778</x:f>
        <x:v>-2608019520.0000014</x:v>
      </x:c>
      <x:c r="AF778" s="87" t="n">
        <x:f>AD778/P778</x:f>
        <x:v>-869339840.0000005</x:v>
      </x:c>
      <x:c r="AG778" s="87" t="n">
        <x:f>IF(T778=0,0,AC778/T778/(1-'01 Base Costs'!$B$11))</x:f>
        <x:v>988263829.3264025</x:v>
      </x:c>
      <x:c r="AH778" s="88" t="str">
        <x:f>IF(AD778&gt;0,"PROFIT","LOSS")</x:f>
        <x:v>LOSS</x:v>
      </x:c>
      <x:c r="AI778" s="89" t="str">
        <x:v>Official 12M Omega sale example. MCT sale 40% off. Base 5-pack average.</x:v>
      </x:c>
    </x:row>
    <x:row r="779">
      <x:c r="A779" s="86" t="n">
        <x:v>777</x:v>
      </x:c>
      <x:c r="B779" s="88" t="str">
        <x:v>Sale/Event</x:v>
      </x:c>
      <x:c r="C779" s="88" t="str">
        <x:v>Winter 12M Omega sale</x:v>
      </x:c>
      <x:c r="D779" s="88" t="n">
        <x:v>12</x:v>
      </x:c>
      <x:c r="E779" s="88" t="n">
        <x:v>3</x:v>
      </x:c>
      <x:c r="F779" s="88" t="str">
        <x:v>NES MCT 40% sale</x:v>
      </x:c>
      <x:c r="G779" s="88" t="str">
        <x:v>NES 10-pack extractor</x:v>
      </x:c>
      <x:c r="H779" s="87" t="n">
        <x:f>'01 Base Costs'!$B$28</x:f>
        <x:v>2700</x:v>
      </x:c>
      <x:c r="I779" s="87" t="n">
        <x:f>'01 Base Costs'!$B$16*0.6</x:f>
        <x:v>291</x:v>
      </x:c>
      <x:c r="J779" s="87" t="n">
        <x:f>0</x:f>
        <x:v>0</x:v>
      </x:c>
      <x:c r="K779" s="87" t="n">
        <x:f>D779*(E779-1)*I779</x:f>
        <x:v>6984</x:v>
      </x:c>
      <x:c r="L779" s="87" t="n">
        <x:f>D779*(E779-1)*J779</x:f>
        <x:v>0</x:v>
      </x:c>
      <x:c r="M779" s="87" t="n">
        <x:f>0</x:f>
        <x:v>0</x:v>
      </x:c>
      <x:c r="N779" s="87" t="n">
        <x:f>H779+K779+M779</x:f>
        <x:v>9684</x:v>
      </x:c>
      <x:c r="O779" s="87" t="n">
        <x:f>N779*'01 Base Costs'!$B$7+L779</x:f>
        <x:v>46580040000</x:v>
      </x:c>
      <x:c r="P779" s="87" t="n">
        <x:f>D779*E779</x:f>
        <x:v>36</x:v>
      </x:c>
      <x:c r="Q779" s="87" t="n">
        <x:f>P779*'01 Base Costs'!$B$12</x:f>
        <x:v>69984000</x:v>
      </x:c>
      <x:c r="R779" s="87" t="n">
        <x:f>0</x:f>
        <x:v>0</x:v>
      </x:c>
      <x:c r="S779" s="87" t="n">
        <x:f>Q779+R779</x:f>
        <x:v>69984000</x:v>
      </x:c>
      <x:c r="T779" s="141" t="n">
        <x:f>S779/'01 Base Costs'!$B$14</x:f>
        <x:v>139.968</x:v>
      </x:c>
      <x:c r="U779" s="87" t="n">
        <x:f>INT(T779)</x:f>
        <x:v>139</x:v>
      </x:c>
      <x:c r="V779" s="87" t="n">
        <x:f>S779-U779*'01 Base Costs'!$B$14</x:f>
        <x:v>484000</x:v>
      </x:c>
      <x:c r="W779" s="120" t="n">
        <x:f>'01 Base Costs'!$B$19/10</x:f>
        <x:v>119</x:v>
      </x:c>
      <x:c r="X779" s="120" t="n">
        <x:f>0</x:f>
        <x:v>0</x:v>
      </x:c>
      <x:c r="Y779" s="87" t="n">
        <x:f>T779*(W779*'01 Base Costs'!$B$7+X779)</x:f>
        <x:v>80116283520</x:v>
      </x:c>
      <x:c r="Z779" s="87" t="n">
        <x:f>T779*'01 Base Costs'!$B$8</x:f>
        <x:v>105381907199.99998</x:v>
      </x:c>
      <x:c r="AA779" s="87" t="n">
        <x:f>Z779*'01 Base Costs'!$B$11</x:f>
        <x:v>5269095360</x:v>
      </x:c>
      <x:c r="AB779" s="87" t="n">
        <x:f>Z779-AA779</x:f>
        <x:v>100112811839.99998</x:v>
      </x:c>
      <x:c r="AC779" s="87" t="n">
        <x:f>O779+Y779</x:f>
        <x:v>126696323520</x:v>
      </x:c>
      <x:c r="AD779" s="87" t="n">
        <x:f>AB779-AC779</x:f>
        <x:v>-26583511680.000015</x:v>
      </x:c>
      <x:c r="AE779" s="87" t="n">
        <x:f>AD779/D779</x:f>
        <x:v>-2215292640.0000014</x:v>
      </x:c>
      <x:c r="AF779" s="87" t="n">
        <x:f>AD779/P779</x:f>
        <x:v>-738430880.0000005</x:v>
      </x:c>
      <x:c r="AG779" s="87" t="n">
        <x:f>IF(T779=0,0,AC779/T779/(1-'01 Base Costs'!$B$11))</x:f>
        <x:v>952821724.0632447</x:v>
      </x:c>
      <x:c r="AH779" s="88" t="str">
        <x:f>IF(AD779&gt;0,"PROFIT","LOSS")</x:f>
        <x:v>LOSS</x:v>
      </x:c>
      <x:c r="AI779" s="89" t="str">
        <x:v>Official 12M Omega sale example. MCT sale 40% off. Base 10-pack average.</x:v>
      </x:c>
    </x:row>
    <x:row r="780">
      <x:c r="A780" s="86" t="n">
        <x:v>778</x:v>
      </x:c>
      <x:c r="B780" s="88" t="str">
        <x:v>Sale/Event</x:v>
      </x:c>
      <x:c r="C780" s="88" t="str">
        <x:v>Winter 12M Omega sale</x:v>
      </x:c>
      <x:c r="D780" s="88" t="n">
        <x:v>12</x:v>
      </x:c>
      <x:c r="E780" s="88" t="n">
        <x:v>3</x:v>
      </x:c>
      <x:c r="F780" s="88" t="str">
        <x:v>NES MCT 40% sale</x:v>
      </x:c>
      <x:c r="G780" s="88" t="str">
        <x:v>NES 50-pack extractor</x:v>
      </x:c>
      <x:c r="H780" s="87" t="n">
        <x:f>'01 Base Costs'!$B$28</x:f>
        <x:v>2700</x:v>
      </x:c>
      <x:c r="I780" s="87" t="n">
        <x:f>'01 Base Costs'!$B$16*0.6</x:f>
        <x:v>291</x:v>
      </x:c>
      <x:c r="J780" s="87" t="n">
        <x:f>0</x:f>
        <x:v>0</x:v>
      </x:c>
      <x:c r="K780" s="87" t="n">
        <x:f>D780*(E780-1)*I780</x:f>
        <x:v>6984</x:v>
      </x:c>
      <x:c r="L780" s="87" t="n">
        <x:f>D780*(E780-1)*J780</x:f>
        <x:v>0</x:v>
      </x:c>
      <x:c r="M780" s="87" t="n">
        <x:f>0</x:f>
        <x:v>0</x:v>
      </x:c>
      <x:c r="N780" s="87" t="n">
        <x:f>H780+K780+M780</x:f>
        <x:v>9684</x:v>
      </x:c>
      <x:c r="O780" s="87" t="n">
        <x:f>N780*'01 Base Costs'!$B$7+L780</x:f>
        <x:v>46580040000</x:v>
      </x:c>
      <x:c r="P780" s="87" t="n">
        <x:f>D780*E780</x:f>
        <x:v>36</x:v>
      </x:c>
      <x:c r="Q780" s="87" t="n">
        <x:f>P780*'01 Base Costs'!$B$12</x:f>
        <x:v>69984000</x:v>
      </x:c>
      <x:c r="R780" s="87" t="n">
        <x:f>0</x:f>
        <x:v>0</x:v>
      </x:c>
      <x:c r="S780" s="87" t="n">
        <x:f>Q780+R780</x:f>
        <x:v>69984000</x:v>
      </x:c>
      <x:c r="T780" s="141" t="n">
        <x:f>S780/'01 Base Costs'!$B$14</x:f>
        <x:v>139.968</x:v>
      </x:c>
      <x:c r="U780" s="87" t="n">
        <x:f>INT(T780)</x:f>
        <x:v>139</x:v>
      </x:c>
      <x:c r="V780" s="87" t="n">
        <x:f>S780-U780*'01 Base Costs'!$B$14</x:f>
        <x:v>484000</x:v>
      </x:c>
      <x:c r="W780" s="120" t="n">
        <x:f>'01 Base Costs'!$B$20/50</x:f>
        <x:v>112</x:v>
      </x:c>
      <x:c r="X780" s="120" t="n">
        <x:f>0</x:f>
        <x:v>0</x:v>
      </x:c>
      <x:c r="Y780" s="87" t="n">
        <x:f>T780*(W780*'01 Base Costs'!$B$7+X780)</x:f>
        <x:v>75403560960</x:v>
      </x:c>
      <x:c r="Z780" s="87" t="n">
        <x:f>T780*'01 Base Costs'!$B$8</x:f>
        <x:v>105381907199.99998</x:v>
      </x:c>
      <x:c r="AA780" s="87" t="n">
        <x:f>Z780*'01 Base Costs'!$B$11</x:f>
        <x:v>5269095360</x:v>
      </x:c>
      <x:c r="AB780" s="87" t="n">
        <x:f>Z780-AA780</x:f>
        <x:v>100112811839.99998</x:v>
      </x:c>
      <x:c r="AC780" s="87" t="n">
        <x:f>O780+Y780</x:f>
        <x:v>121983600960</x:v>
      </x:c>
      <x:c r="AD780" s="87" t="n">
        <x:f>AB780-AC780</x:f>
        <x:v>-21870789120.000015</x:v>
      </x:c>
      <x:c r="AE780" s="87" t="n">
        <x:f>AD780/D780</x:f>
        <x:v>-1822565760.0000012</x:v>
      </x:c>
      <x:c r="AF780" s="87" t="n">
        <x:f>AD780/P780</x:f>
        <x:v>-607521920.0000005</x:v>
      </x:c>
      <x:c r="AG780" s="87" t="n">
        <x:f>IF(T780=0,0,AC780/T780/(1-'01 Base Costs'!$B$11))</x:f>
        <x:v>917379618.8000867</x:v>
      </x:c>
      <x:c r="AH780" s="88" t="str">
        <x:f>IF(AD780&gt;0,"PROFIT","LOSS")</x:f>
        <x:v>LOSS</x:v>
      </x:c>
      <x:c r="AI780" s="89" t="str">
        <x:v>Official 12M Omega sale example. MCT sale 40% off. Base 50-pack average.</x:v>
      </x:c>
    </x:row>
    <x:row r="781">
      <x:c r="A781" s="86" t="n">
        <x:v>779</x:v>
      </x:c>
      <x:c r="B781" s="88" t="str">
        <x:v>Sale/Event</x:v>
      </x:c>
      <x:c r="C781" s="88" t="str">
        <x:v>Winter 12M Omega sale</x:v>
      </x:c>
      <x:c r="D781" s="88" t="n">
        <x:v>12</x:v>
      </x:c>
      <x:c r="E781" s="88" t="n">
        <x:v>3</x:v>
      </x:c>
      <x:c r="F781" s="88" t="str">
        <x:v>NES MCT 40% sale</x:v>
      </x:c>
      <x:c r="G781" s="88" t="str">
        <x:v>NES 3-for-2 extractor sale</x:v>
      </x:c>
      <x:c r="H781" s="87" t="n">
        <x:f>'01 Base Costs'!$B$28</x:f>
        <x:v>2700</x:v>
      </x:c>
      <x:c r="I781" s="87" t="n">
        <x:f>'01 Base Costs'!$B$16*0.6</x:f>
        <x:v>291</x:v>
      </x:c>
      <x:c r="J781" s="87" t="n">
        <x:f>0</x:f>
        <x:v>0</x:v>
      </x:c>
      <x:c r="K781" s="87" t="n">
        <x:f>D781*(E781-1)*I781</x:f>
        <x:v>6984</x:v>
      </x:c>
      <x:c r="L781" s="87" t="n">
        <x:f>D781*(E781-1)*J781</x:f>
        <x:v>0</x:v>
      </x:c>
      <x:c r="M781" s="87" t="n">
        <x:f>0</x:f>
        <x:v>0</x:v>
      </x:c>
      <x:c r="N781" s="87" t="n">
        <x:f>H781+K781+M781</x:f>
        <x:v>9684</x:v>
      </x:c>
      <x:c r="O781" s="87" t="n">
        <x:f>N781*'01 Base Costs'!$B$7+L781</x:f>
        <x:v>46580040000</x:v>
      </x:c>
      <x:c r="P781" s="87" t="n">
        <x:f>D781*E781</x:f>
        <x:v>36</x:v>
      </x:c>
      <x:c r="Q781" s="87" t="n">
        <x:f>P781*'01 Base Costs'!$B$12</x:f>
        <x:v>69984000</x:v>
      </x:c>
      <x:c r="R781" s="87" t="n">
        <x:f>0</x:f>
        <x:v>0</x:v>
      </x:c>
      <x:c r="S781" s="87" t="n">
        <x:f>Q781+R781</x:f>
        <x:v>69984000</x:v>
      </x:c>
      <x:c r="T781" s="141" t="n">
        <x:f>S781/'01 Base Costs'!$B$14</x:f>
        <x:v>139.968</x:v>
      </x:c>
      <x:c r="U781" s="87" t="n">
        <x:f>INT(T781)</x:f>
        <x:v>139</x:v>
      </x:c>
      <x:c r="V781" s="87" t="n">
        <x:f>S781-U781*'01 Base Costs'!$B$14</x:f>
        <x:v>484000</x:v>
      </x:c>
      <x:c r="W781" s="120" t="n">
        <x:f>'01 Base Costs'!$B$17*2/3</x:f>
        <x:v>93.33333333333333</x:v>
      </x:c>
      <x:c r="X781" s="120" t="n">
        <x:f>0</x:f>
        <x:v>0</x:v>
      </x:c>
      <x:c r="Y781" s="87" t="n">
        <x:f>T781*(W781*'01 Base Costs'!$B$7+X781)</x:f>
        <x:v>62836300799.99999</x:v>
      </x:c>
      <x:c r="Z781" s="87" t="n">
        <x:f>T781*'01 Base Costs'!$B$8</x:f>
        <x:v>105381907199.99998</x:v>
      </x:c>
      <x:c r="AA781" s="87" t="n">
        <x:f>Z781*'01 Base Costs'!$B$11</x:f>
        <x:v>5269095360</x:v>
      </x:c>
      <x:c r="AB781" s="87" t="n">
        <x:f>Z781-AA781</x:f>
        <x:v>100112811839.99998</x:v>
      </x:c>
      <x:c r="AC781" s="87" t="n">
        <x:f>O781+Y781</x:f>
        <x:v>109416340800</x:v>
      </x:c>
      <x:c r="AD781" s="87" t="n">
        <x:f>AB781-AC781</x:f>
        <x:v>-9303528960.000015</x:v>
      </x:c>
      <x:c r="AE781" s="87" t="n">
        <x:f>AD781/D781</x:f>
        <x:v>-775294080.0000013</x:v>
      </x:c>
      <x:c r="AF781" s="87" t="n">
        <x:f>AD781/P781</x:f>
        <x:v>-258431360.00000042</x:v>
      </x:c>
      <x:c r="AG781" s="87" t="n">
        <x:f>IF(T781=0,0,AC781/T781/(1-'01 Base Costs'!$B$11))</x:f>
        <x:v>822867338.0983323</x:v>
      </x:c>
      <x:c r="AH781" s="88" t="str">
        <x:f>IF(AD781&gt;0,"PROFIT","LOSS")</x:f>
        <x:v>LOSS</x:v>
      </x:c>
      <x:c r="AI781" s="89" t="str">
        <x:v>Official 12M Omega sale example. MCT sale 40% off. Extractor 3-for-2 sale.</x:v>
      </x:c>
    </x:row>
    <x:row r="782">
      <x:c r="A782" s="86" t="n">
        <x:v>780</x:v>
      </x:c>
      <x:c r="B782" s="88" t="str">
        <x:v>Sale/Event</x:v>
      </x:c>
      <x:c r="C782" s="88" t="str">
        <x:v>Winter 12M Omega sale</x:v>
      </x:c>
      <x:c r="D782" s="88" t="n">
        <x:v>12</x:v>
      </x:c>
      <x:c r="E782" s="88" t="n">
        <x:v>3</x:v>
      </x:c>
      <x:c r="F782" s="88" t="str">
        <x:v>NES MCT 40% sale</x:v>
      </x:c>
      <x:c r="G782" s="88" t="str">
        <x:v>NES 2-for-1 extractor sale</x:v>
      </x:c>
      <x:c r="H782" s="87" t="n">
        <x:f>'01 Base Costs'!$B$28</x:f>
        <x:v>2700</x:v>
      </x:c>
      <x:c r="I782" s="87" t="n">
        <x:f>'01 Base Costs'!$B$16*0.6</x:f>
        <x:v>291</x:v>
      </x:c>
      <x:c r="J782" s="87" t="n">
        <x:f>0</x:f>
        <x:v>0</x:v>
      </x:c>
      <x:c r="K782" s="87" t="n">
        <x:f>D782*(E782-1)*I782</x:f>
        <x:v>6984</x:v>
      </x:c>
      <x:c r="L782" s="87" t="n">
        <x:f>D782*(E782-1)*J782</x:f>
        <x:v>0</x:v>
      </x:c>
      <x:c r="M782" s="87" t="n">
        <x:f>0</x:f>
        <x:v>0</x:v>
      </x:c>
      <x:c r="N782" s="87" t="n">
        <x:f>H782+K782+M782</x:f>
        <x:v>9684</x:v>
      </x:c>
      <x:c r="O782" s="87" t="n">
        <x:f>N782*'01 Base Costs'!$B$7+L782</x:f>
        <x:v>46580040000</x:v>
      </x:c>
      <x:c r="P782" s="87" t="n">
        <x:f>D782*E782</x:f>
        <x:v>36</x:v>
      </x:c>
      <x:c r="Q782" s="87" t="n">
        <x:f>P782*'01 Base Costs'!$B$12</x:f>
        <x:v>69984000</x:v>
      </x:c>
      <x:c r="R782" s="87" t="n">
        <x:f>0</x:f>
        <x:v>0</x:v>
      </x:c>
      <x:c r="S782" s="87" t="n">
        <x:f>Q782+R782</x:f>
        <x:v>69984000</x:v>
      </x:c>
      <x:c r="T782" s="141" t="n">
        <x:f>S782/'01 Base Costs'!$B$14</x:f>
        <x:v>139.968</x:v>
      </x:c>
      <x:c r="U782" s="87" t="n">
        <x:f>INT(T782)</x:f>
        <x:v>139</x:v>
      </x:c>
      <x:c r="V782" s="87" t="n">
        <x:f>S782-U782*'01 Base Costs'!$B$14</x:f>
        <x:v>484000</x:v>
      </x:c>
      <x:c r="W782" s="120" t="n">
        <x:f>'01 Base Costs'!$B$17/2</x:f>
        <x:v>70</x:v>
      </x:c>
      <x:c r="X782" s="120" t="n">
        <x:f>0</x:f>
        <x:v>0</x:v>
      </x:c>
      <x:c r="Y782" s="87" t="n">
        <x:f>T782*(W782*'01 Base Costs'!$B$7+X782)</x:f>
        <x:v>47127225600</x:v>
      </x:c>
      <x:c r="Z782" s="87" t="n">
        <x:f>T782*'01 Base Costs'!$B$8</x:f>
        <x:v>105381907199.99998</x:v>
      </x:c>
      <x:c r="AA782" s="87" t="n">
        <x:f>Z782*'01 Base Costs'!$B$11</x:f>
        <x:v>5269095360</x:v>
      </x:c>
      <x:c r="AB782" s="87" t="n">
        <x:f>Z782-AA782</x:f>
        <x:v>100112811839.99998</x:v>
      </x:c>
      <x:c r="AC782" s="87" t="n">
        <x:f>O782+Y782</x:f>
        <x:v>93707265600</x:v>
      </x:c>
      <x:c r="AD782" s="87" t="n">
        <x:f>AB782-AC782</x:f>
        <x:v>6405546239.999985</x:v>
      </x:c>
      <x:c r="AE782" s="87" t="n">
        <x:f>AD782/D782</x:f>
        <x:v>533795519.99999875</x:v>
      </x:c>
      <x:c r="AF782" s="87" t="n">
        <x:f>AD782/P782</x:f>
        <x:v>177931839.99999958</x:v>
      </x:c>
      <x:c r="AG782" s="87" t="n">
        <x:f>IF(T782=0,0,AC782/T782/(1-'01 Base Costs'!$B$11))</x:f>
        <x:v>704726987.2211394</x:v>
      </x:c>
      <x:c r="AH782" s="88" t="str">
        <x:f>IF(AD782&gt;0,"PROFIT","LOSS")</x:f>
        <x:v>PROFIT</x:v>
      </x:c>
      <x:c r="AI782" s="89" t="str">
        <x:v>Official 12M Omega sale example. MCT sale 40% off. Extractor 2-for-1 sale.</x:v>
      </x:c>
    </x:row>
    <x:row r="783">
      <x:c r="A783" s="86" t="n">
        <x:v>781</x:v>
      </x:c>
      <x:c r="B783" s="88" t="str">
        <x:v>Sale/Event</x:v>
      </x:c>
      <x:c r="C783" s="88" t="str">
        <x:v>Winter 12M Omega sale</x:v>
      </x:c>
      <x:c r="D783" s="88" t="n">
        <x:v>12</x:v>
      </x:c>
      <x:c r="E783" s="88" t="n">
        <x:v>3</x:v>
      </x:c>
      <x:c r="F783" s="88" t="str">
        <x:v>NES MCT 40% sale</x:v>
      </x:c>
      <x:c r="G783" s="88" t="str">
        <x:v>NES 10-pack extractor 20% sale</x:v>
      </x:c>
      <x:c r="H783" s="87" t="n">
        <x:f>'01 Base Costs'!$B$28</x:f>
        <x:v>2700</x:v>
      </x:c>
      <x:c r="I783" s="87" t="n">
        <x:f>'01 Base Costs'!$B$16*0.6</x:f>
        <x:v>291</x:v>
      </x:c>
      <x:c r="J783" s="87" t="n">
        <x:f>0</x:f>
        <x:v>0</x:v>
      </x:c>
      <x:c r="K783" s="87" t="n">
        <x:f>D783*(E783-1)*I783</x:f>
        <x:v>6984</x:v>
      </x:c>
      <x:c r="L783" s="87" t="n">
        <x:f>D783*(E783-1)*J783</x:f>
        <x:v>0</x:v>
      </x:c>
      <x:c r="M783" s="87" t="n">
        <x:f>0</x:f>
        <x:v>0</x:v>
      </x:c>
      <x:c r="N783" s="87" t="n">
        <x:f>H783+K783+M783</x:f>
        <x:v>9684</x:v>
      </x:c>
      <x:c r="O783" s="87" t="n">
        <x:f>N783*'01 Base Costs'!$B$7+L783</x:f>
        <x:v>46580040000</x:v>
      </x:c>
      <x:c r="P783" s="87" t="n">
        <x:f>D783*E783</x:f>
        <x:v>36</x:v>
      </x:c>
      <x:c r="Q783" s="87" t="n">
        <x:f>P783*'01 Base Costs'!$B$12</x:f>
        <x:v>69984000</x:v>
      </x:c>
      <x:c r="R783" s="87" t="n">
        <x:f>0</x:f>
        <x:v>0</x:v>
      </x:c>
      <x:c r="S783" s="87" t="n">
        <x:f>Q783+R783</x:f>
        <x:v>69984000</x:v>
      </x:c>
      <x:c r="T783" s="141" t="n">
        <x:f>S783/'01 Base Costs'!$B$14</x:f>
        <x:v>139.968</x:v>
      </x:c>
      <x:c r="U783" s="87" t="n">
        <x:f>INT(T783)</x:f>
        <x:v>139</x:v>
      </x:c>
      <x:c r="V783" s="87" t="n">
        <x:f>S783-U783*'01 Base Costs'!$B$14</x:f>
        <x:v>484000</x:v>
      </x:c>
      <x:c r="W783" s="120" t="n">
        <x:f>'01 Base Costs'!$B$19*0.8/10</x:f>
        <x:v>95.2</x:v>
      </x:c>
      <x:c r="X783" s="120" t="n">
        <x:f>0</x:f>
        <x:v>0</x:v>
      </x:c>
      <x:c r="Y783" s="87" t="n">
        <x:f>T783*(W783*'01 Base Costs'!$B$7+X783)</x:f>
        <x:v>64093026815.99999</x:v>
      </x:c>
      <x:c r="Z783" s="87" t="n">
        <x:f>T783*'01 Base Costs'!$B$8</x:f>
        <x:v>105381907199.99998</x:v>
      </x:c>
      <x:c r="AA783" s="87" t="n">
        <x:f>Z783*'01 Base Costs'!$B$11</x:f>
        <x:v>5269095360</x:v>
      </x:c>
      <x:c r="AB783" s="87" t="n">
        <x:f>Z783-AA783</x:f>
        <x:v>100112811839.99998</x:v>
      </x:c>
      <x:c r="AC783" s="87" t="n">
        <x:f>O783+Y783</x:f>
        <x:v>110673066816</x:v>
      </x:c>
      <x:c r="AD783" s="87" t="n">
        <x:f>AB783-AC783</x:f>
        <x:v>-10560254976.000015</x:v>
      </x:c>
      <x:c r="AE783" s="87" t="n">
        <x:f>AD783/D783</x:f>
        <x:v>-880021248.0000013</x:v>
      </x:c>
      <x:c r="AF783" s="87" t="n">
        <x:f>AD783/P783</x:f>
        <x:v>-293340416.0000004</x:v>
      </x:c>
      <x:c r="AG783" s="87" t="n">
        <x:f>IF(T783=0,0,AC783/T783/(1-'01 Base Costs'!$B$11))</x:f>
        <x:v>832318566.1685078</x:v>
      </x:c>
      <x:c r="AH783" s="88" t="str">
        <x:f>IF(AD783&gt;0,"PROFIT","LOSS")</x:f>
        <x:v>LOSS</x:v>
      </x:c>
      <x:c r="AI783" s="89" t="str">
        <x:v>Official 12M Omega sale example. MCT sale 40% off. 10-pack at 20% off.</x:v>
      </x:c>
    </x:row>
    <x:row r="784">
      <x:c r="A784" s="86" t="n">
        <x:v>782</x:v>
      </x:c>
      <x:c r="B784" s="88" t="str">
        <x:v>Sale/Event</x:v>
      </x:c>
      <x:c r="C784" s="88" t="str">
        <x:v>Winter 12M Omega sale</x:v>
      </x:c>
      <x:c r="D784" s="88" t="n">
        <x:v>12</x:v>
      </x:c>
      <x:c r="E784" s="88" t="n">
        <x:v>3</x:v>
      </x:c>
      <x:c r="F784" s="88" t="str">
        <x:v>NES MCT 40% sale</x:v>
      </x:c>
      <x:c r="G784" s="88" t="str">
        <x:v>NES 50-pack extractor 20% sale</x:v>
      </x:c>
      <x:c r="H784" s="87" t="n">
        <x:f>'01 Base Costs'!$B$28</x:f>
        <x:v>2700</x:v>
      </x:c>
      <x:c r="I784" s="87" t="n">
        <x:f>'01 Base Costs'!$B$16*0.6</x:f>
        <x:v>291</x:v>
      </x:c>
      <x:c r="J784" s="87" t="n">
        <x:f>0</x:f>
        <x:v>0</x:v>
      </x:c>
      <x:c r="K784" s="87" t="n">
        <x:f>D784*(E784-1)*I784</x:f>
        <x:v>6984</x:v>
      </x:c>
      <x:c r="L784" s="87" t="n">
        <x:f>D784*(E784-1)*J784</x:f>
        <x:v>0</x:v>
      </x:c>
      <x:c r="M784" s="87" t="n">
        <x:f>0</x:f>
        <x:v>0</x:v>
      </x:c>
      <x:c r="N784" s="87" t="n">
        <x:f>H784+K784+M784</x:f>
        <x:v>9684</x:v>
      </x:c>
      <x:c r="O784" s="87" t="n">
        <x:f>N784*'01 Base Costs'!$B$7+L784</x:f>
        <x:v>46580040000</x:v>
      </x:c>
      <x:c r="P784" s="87" t="n">
        <x:f>D784*E784</x:f>
        <x:v>36</x:v>
      </x:c>
      <x:c r="Q784" s="87" t="n">
        <x:f>P784*'01 Base Costs'!$B$12</x:f>
        <x:v>69984000</x:v>
      </x:c>
      <x:c r="R784" s="87" t="n">
        <x:f>0</x:f>
        <x:v>0</x:v>
      </x:c>
      <x:c r="S784" s="87" t="n">
        <x:f>Q784+R784</x:f>
        <x:v>69984000</x:v>
      </x:c>
      <x:c r="T784" s="141" t="n">
        <x:f>S784/'01 Base Costs'!$B$14</x:f>
        <x:v>139.968</x:v>
      </x:c>
      <x:c r="U784" s="87" t="n">
        <x:f>INT(T784)</x:f>
        <x:v>139</x:v>
      </x:c>
      <x:c r="V784" s="87" t="n">
        <x:f>S784-U784*'01 Base Costs'!$B$14</x:f>
        <x:v>484000</x:v>
      </x:c>
      <x:c r="W784" s="120" t="n">
        <x:f>'01 Base Costs'!$B$20*0.8/50</x:f>
        <x:v>89.6</x:v>
      </x:c>
      <x:c r="X784" s="120" t="n">
        <x:f>0</x:f>
        <x:v>0</x:v>
      </x:c>
      <x:c r="Y784" s="87" t="n">
        <x:f>T784*(W784*'01 Base Costs'!$B$7+X784)</x:f>
        <x:v>60322848767.99999</x:v>
      </x:c>
      <x:c r="Z784" s="87" t="n">
        <x:f>T784*'01 Base Costs'!$B$8</x:f>
        <x:v>105381907199.99998</x:v>
      </x:c>
      <x:c r="AA784" s="87" t="n">
        <x:f>Z784*'01 Base Costs'!$B$11</x:f>
        <x:v>5269095360</x:v>
      </x:c>
      <x:c r="AB784" s="87" t="n">
        <x:f>Z784-AA784</x:f>
        <x:v>100112811839.99998</x:v>
      </x:c>
      <x:c r="AC784" s="87" t="n">
        <x:f>O784+Y784</x:f>
        <x:v>106902888768</x:v>
      </x:c>
      <x:c r="AD784" s="87" t="n">
        <x:f>AB784-AC784</x:f>
        <x:v>-6790076928.000015</x:v>
      </x:c>
      <x:c r="AE784" s="87" t="n">
        <x:f>AD784/D784</x:f>
        <x:v>-565839744.0000013</x:v>
      </x:c>
      <x:c r="AF784" s="87" t="n">
        <x:f>AD784/P784</x:f>
        <x:v>-188613248.00000042</x:v>
      </x:c>
      <x:c r="AG784" s="87" t="n">
        <x:f>IF(T784=0,0,AC784/T784/(1-'01 Base Costs'!$B$11))</x:f>
        <x:v>803964881.9579815</x:v>
      </x:c>
      <x:c r="AH784" s="88" t="str">
        <x:f>IF(AD784&gt;0,"PROFIT","LOSS")</x:f>
        <x:v>LOSS</x:v>
      </x:c>
      <x:c r="AI784" s="89" t="str">
        <x:v>Official 12M Omega sale example. MCT sale 40% off. 50-pack at 20% off.</x:v>
      </x:c>
    </x:row>
    <x:row r="785">
      <x:c r="A785" s="86" t="n">
        <x:v>783</x:v>
      </x:c>
      <x:c r="B785" s="88" t="str">
        <x:v>Sale/Event</x:v>
      </x:c>
      <x:c r="C785" s="88" t="str">
        <x:v>Winter 12M Omega sale</x:v>
      </x:c>
      <x:c r="D785" s="88" t="n">
        <x:v>12</x:v>
      </x:c>
      <x:c r="E785" s="88" t="n">
        <x:v>3</x:v>
      </x:c>
      <x:c r="F785" s="88" t="str">
        <x:v>NES MCT 40% sale</x:v>
      </x:c>
      <x:c r="G785" s="88" t="str">
        <x:v>Market Skill Extractor</x:v>
      </x:c>
      <x:c r="H785" s="87" t="n">
        <x:f>'01 Base Costs'!$B$28</x:f>
        <x:v>2700</x:v>
      </x:c>
      <x:c r="I785" s="87" t="n">
        <x:f>'01 Base Costs'!$B$16*0.6</x:f>
        <x:v>291</x:v>
      </x:c>
      <x:c r="J785" s="87" t="n">
        <x:f>0</x:f>
        <x:v>0</x:v>
      </x:c>
      <x:c r="K785" s="87" t="n">
        <x:f>D785*(E785-1)*I785</x:f>
        <x:v>6984</x:v>
      </x:c>
      <x:c r="L785" s="87" t="n">
        <x:f>D785*(E785-1)*J785</x:f>
        <x:v>0</x:v>
      </x:c>
      <x:c r="M785" s="87" t="n">
        <x:f>0</x:f>
        <x:v>0</x:v>
      </x:c>
      <x:c r="N785" s="87" t="n">
        <x:f>H785+K785+M785</x:f>
        <x:v>9684</x:v>
      </x:c>
      <x:c r="O785" s="87" t="n">
        <x:f>N785*'01 Base Costs'!$B$7+L785</x:f>
        <x:v>46580040000</x:v>
      </x:c>
      <x:c r="P785" s="87" t="n">
        <x:f>D785*E785</x:f>
        <x:v>36</x:v>
      </x:c>
      <x:c r="Q785" s="87" t="n">
        <x:f>P785*'01 Base Costs'!$B$12</x:f>
        <x:v>69984000</x:v>
      </x:c>
      <x:c r="R785" s="87" t="n">
        <x:f>0</x:f>
        <x:v>0</x:v>
      </x:c>
      <x:c r="S785" s="87" t="n">
        <x:f>Q785+R785</x:f>
        <x:v>69984000</x:v>
      </x:c>
      <x:c r="T785" s="141" t="n">
        <x:f>S785/'01 Base Costs'!$B$14</x:f>
        <x:v>139.968</x:v>
      </x:c>
      <x:c r="U785" s="87" t="n">
        <x:f>INT(T785)</x:f>
        <x:v>139</x:v>
      </x:c>
      <x:c r="V785" s="87" t="n">
        <x:f>S785-U785*'01 Base Costs'!$B$14</x:f>
        <x:v>484000</x:v>
      </x:c>
      <x:c r="W785" s="120" t="n">
        <x:f>0</x:f>
        <x:v>0</x:v>
      </x:c>
      <x:c r="X785" s="120" t="n">
        <x:f>'01 Base Costs'!$B$9</x:f>
        <x:v>463500000</x:v>
      </x:c>
      <x:c r="Y785" s="87" t="n">
        <x:f>T785*(W785*'01 Base Costs'!$B$7+X785)</x:f>
        <x:v>64875167999.99999</x:v>
      </x:c>
      <x:c r="Z785" s="87" t="n">
        <x:f>T785*'01 Base Costs'!$B$8</x:f>
        <x:v>105381907199.99998</x:v>
      </x:c>
      <x:c r="AA785" s="87" t="n">
        <x:f>Z785*'01 Base Costs'!$B$11</x:f>
        <x:v>5269095360</x:v>
      </x:c>
      <x:c r="AB785" s="87" t="n">
        <x:f>Z785-AA785</x:f>
        <x:v>100112811839.99998</x:v>
      </x:c>
      <x:c r="AC785" s="87" t="n">
        <x:f>O785+Y785</x:f>
        <x:v>111455208000</x:v>
      </x:c>
      <x:c r="AD785" s="87" t="n">
        <x:f>AB785-AC785</x:f>
        <x:v>-11342396160.000015</x:v>
      </x:c>
      <x:c r="AE785" s="87" t="n">
        <x:f>AD785/D785</x:f>
        <x:v>-945199680.0000013</x:v>
      </x:c>
      <x:c r="AF785" s="87" t="n">
        <x:f>AD785/P785</x:f>
        <x:v>-315066560.0000004</x:v>
      </x:c>
      <x:c r="AG785" s="87" t="n">
        <x:f>IF(T785=0,0,AC785/T785/(1-'01 Base Costs'!$B$11))</x:f>
        <x:v>838200671.4316657</x:v>
      </x:c>
      <x:c r="AH785" s="88" t="str">
        <x:f>IF(AD785&gt;0,"PROFIT","LOSS")</x:f>
        <x:v>LOSS</x:v>
      </x:c>
      <x:c r="AI785" s="89" t="str">
        <x:v>Official 12M Omega sale example. MCT sale 40% off. Extractor bought on market with ISK.</x:v>
      </x:c>
    </x:row>
    <x:row r="786">
      <x:c r="A786" s="86" t="n">
        <x:v>784</x:v>
      </x:c>
      <x:c r="B786" s="88" t="str">
        <x:v>Sale/Event</x:v>
      </x:c>
      <x:c r="C786" s="88" t="str">
        <x:v>Winter 12M Omega sale</x:v>
      </x:c>
      <x:c r="D786" s="88" t="n">
        <x:v>12</x:v>
      </x:c>
      <x:c r="E786" s="88" t="n">
        <x:v>3</x:v>
      </x:c>
      <x:c r="F786" s="88" t="str">
        <x:v>Market MCT certificate</x:v>
      </x:c>
      <x:c r="G786" s="88" t="str">
        <x:v>NES single extractor</x:v>
      </x:c>
      <x:c r="H786" s="87" t="n">
        <x:f>'01 Base Costs'!$B$28</x:f>
        <x:v>2700</x:v>
      </x:c>
      <x:c r="I786" s="87" t="n">
        <x:f>0</x:f>
        <x:v>0</x:v>
      </x:c>
      <x:c r="J786" s="87" t="n">
        <x:f>'01 Base Costs'!$B$10</x:f>
        <x:v>2332850000</x:v>
      </x:c>
      <x:c r="K786" s="87" t="n">
        <x:f>D786*(E786-1)*I786</x:f>
        <x:v>0</x:v>
      </x:c>
      <x:c r="L786" s="87" t="n">
        <x:f>D786*(E786-1)*J786</x:f>
        <x:v>55988400000</x:v>
      </x:c>
      <x:c r="M786" s="87" t="n">
        <x:f>0</x:f>
        <x:v>0</x:v>
      </x:c>
      <x:c r="N786" s="87" t="n">
        <x:f>H786+K786+M786</x:f>
        <x:v>2700</x:v>
      </x:c>
      <x:c r="O786" s="87" t="n">
        <x:f>N786*'01 Base Costs'!$B$7+L786</x:f>
        <x:v>68975400000</x:v>
      </x:c>
      <x:c r="P786" s="87" t="n">
        <x:f>D786*E786</x:f>
        <x:v>36</x:v>
      </x:c>
      <x:c r="Q786" s="87" t="n">
        <x:f>P786*'01 Base Costs'!$B$12</x:f>
        <x:v>69984000</x:v>
      </x:c>
      <x:c r="R786" s="87" t="n">
        <x:f>0</x:f>
        <x:v>0</x:v>
      </x:c>
      <x:c r="S786" s="87" t="n">
        <x:f>Q786+R786</x:f>
        <x:v>69984000</x:v>
      </x:c>
      <x:c r="T786" s="141" t="n">
        <x:f>S786/'01 Base Costs'!$B$14</x:f>
        <x:v>139.968</x:v>
      </x:c>
      <x:c r="U786" s="87" t="n">
        <x:f>INT(T786)</x:f>
        <x:v>139</x:v>
      </x:c>
      <x:c r="V786" s="87" t="n">
        <x:f>S786-U786*'01 Base Costs'!$B$14</x:f>
        <x:v>484000</x:v>
      </x:c>
      <x:c r="W786" s="120" t="n">
        <x:f>'01 Base Costs'!$B$17</x:f>
        <x:v>140</x:v>
      </x:c>
      <x:c r="X786" s="120" t="n">
        <x:f>0</x:f>
        <x:v>0</x:v>
      </x:c>
      <x:c r="Y786" s="87" t="n">
        <x:f>T786*(W786*'01 Base Costs'!$B$7+X786)</x:f>
        <x:v>94254451200</x:v>
      </x:c>
      <x:c r="Z786" s="87" t="n">
        <x:f>T786*'01 Base Costs'!$B$8</x:f>
        <x:v>105381907199.99998</x:v>
      </x:c>
      <x:c r="AA786" s="87" t="n">
        <x:f>Z786*'01 Base Costs'!$B$11</x:f>
        <x:v>5269095360</x:v>
      </x:c>
      <x:c r="AB786" s="87" t="n">
        <x:f>Z786-AA786</x:f>
        <x:v>100112811839.99998</x:v>
      </x:c>
      <x:c r="AC786" s="87" t="n">
        <x:f>O786+Y786</x:f>
        <x:v>163229851200</x:v>
      </x:c>
      <x:c r="AD786" s="87" t="n">
        <x:f>AB786-AC786</x:f>
        <x:v>-63117039360.000015</x:v>
      </x:c>
      <x:c r="AE786" s="87" t="n">
        <x:f>AD786/D786</x:f>
        <x:v>-5259753280.000001</x:v>
      </x:c>
      <x:c r="AF786" s="87" t="n">
        <x:f>AD786/P786</x:f>
        <x:v>-1753251093.3333337</x:v>
      </x:c>
      <x:c r="AG786" s="87" t="n">
        <x:f>IF(T786=0,0,AC786/T786/(1-'01 Base Costs'!$B$11))</x:f>
        <x:v>1227572702.3319616</x:v>
      </x:c>
      <x:c r="AH786" s="88" t="str">
        <x:f>IF(AD786&gt;0,"PROFIT","LOSS")</x:f>
        <x:v>LOSS</x:v>
      </x:c>
      <x:c r="AI786" s="89" t="str">
        <x:v>Official 12M Omega sale example. MCT certificate bought with ISK market price. Base single extractor.</x:v>
      </x:c>
    </x:row>
    <x:row r="787">
      <x:c r="A787" s="86" t="n">
        <x:v>785</x:v>
      </x:c>
      <x:c r="B787" s="88" t="str">
        <x:v>Sale/Event</x:v>
      </x:c>
      <x:c r="C787" s="88" t="str">
        <x:v>Winter 12M Omega sale</x:v>
      </x:c>
      <x:c r="D787" s="88" t="n">
        <x:v>12</x:v>
      </x:c>
      <x:c r="E787" s="88" t="n">
        <x:v>3</x:v>
      </x:c>
      <x:c r="F787" s="88" t="str">
        <x:v>Market MCT certificate</x:v>
      </x:c>
      <x:c r="G787" s="88" t="str">
        <x:v>NES 5-pack extractor</x:v>
      </x:c>
      <x:c r="H787" s="87" t="n">
        <x:f>'01 Base Costs'!$B$28</x:f>
        <x:v>2700</x:v>
      </x:c>
      <x:c r="I787" s="87" t="n">
        <x:f>0</x:f>
        <x:v>0</x:v>
      </x:c>
      <x:c r="J787" s="87" t="n">
        <x:f>'01 Base Costs'!$B$10</x:f>
        <x:v>2332850000</x:v>
      </x:c>
      <x:c r="K787" s="87" t="n">
        <x:f>D787*(E787-1)*I787</x:f>
        <x:v>0</x:v>
      </x:c>
      <x:c r="L787" s="87" t="n">
        <x:f>D787*(E787-1)*J787</x:f>
        <x:v>55988400000</x:v>
      </x:c>
      <x:c r="M787" s="87" t="n">
        <x:f>0</x:f>
        <x:v>0</x:v>
      </x:c>
      <x:c r="N787" s="87" t="n">
        <x:f>H787+K787+M787</x:f>
        <x:v>2700</x:v>
      </x:c>
      <x:c r="O787" s="87" t="n">
        <x:f>N787*'01 Base Costs'!$B$7+L787</x:f>
        <x:v>68975400000</x:v>
      </x:c>
      <x:c r="P787" s="87" t="n">
        <x:f>D787*E787</x:f>
        <x:v>36</x:v>
      </x:c>
      <x:c r="Q787" s="87" t="n">
        <x:f>P787*'01 Base Costs'!$B$12</x:f>
        <x:v>69984000</x:v>
      </x:c>
      <x:c r="R787" s="87" t="n">
        <x:f>0</x:f>
        <x:v>0</x:v>
      </x:c>
      <x:c r="S787" s="87" t="n">
        <x:f>Q787+R787</x:f>
        <x:v>69984000</x:v>
      </x:c>
      <x:c r="T787" s="141" t="n">
        <x:f>S787/'01 Base Costs'!$B$14</x:f>
        <x:v>139.968</x:v>
      </x:c>
      <x:c r="U787" s="87" t="n">
        <x:f>INT(T787)</x:f>
        <x:v>139</x:v>
      </x:c>
      <x:c r="V787" s="87" t="n">
        <x:f>S787-U787*'01 Base Costs'!$B$14</x:f>
        <x:v>484000</x:v>
      </x:c>
      <x:c r="W787" s="120" t="n">
        <x:f>'01 Base Costs'!$B$18/5</x:f>
        <x:v>126</x:v>
      </x:c>
      <x:c r="X787" s="120" t="n">
        <x:f>0</x:f>
        <x:v>0</x:v>
      </x:c>
      <x:c r="Y787" s="87" t="n">
        <x:f>T787*(W787*'01 Base Costs'!$B$7+X787)</x:f>
        <x:v>84829006080</x:v>
      </x:c>
      <x:c r="Z787" s="87" t="n">
        <x:f>T787*'01 Base Costs'!$B$8</x:f>
        <x:v>105381907199.99998</x:v>
      </x:c>
      <x:c r="AA787" s="87" t="n">
        <x:f>Z787*'01 Base Costs'!$B$11</x:f>
        <x:v>5269095360</x:v>
      </x:c>
      <x:c r="AB787" s="87" t="n">
        <x:f>Z787-AA787</x:f>
        <x:v>100112811839.99998</x:v>
      </x:c>
      <x:c r="AC787" s="87" t="n">
        <x:f>O787+Y787</x:f>
        <x:v>153804406080</x:v>
      </x:c>
      <x:c r="AD787" s="87" t="n">
        <x:f>AB787-AC787</x:f>
        <x:v>-53691594240.000015</x:v>
      </x:c>
      <x:c r="AE787" s="87" t="n">
        <x:f>AD787/D787</x:f>
        <x:v>-4474299520.000001</x:v>
      </x:c>
      <x:c r="AF787" s="87" t="n">
        <x:f>AD787/P787</x:f>
        <x:v>-1491433173.3333337</x:v>
      </x:c>
      <x:c r="AG787" s="87" t="n">
        <x:f>IF(T787=0,0,AC787/T787/(1-'01 Base Costs'!$B$11))</x:f>
        <x:v>1156688491.805646</x:v>
      </x:c>
      <x:c r="AH787" s="88" t="str">
        <x:f>IF(AD787&gt;0,"PROFIT","LOSS")</x:f>
        <x:v>LOSS</x:v>
      </x:c>
      <x:c r="AI787" s="89" t="str">
        <x:v>Official 12M Omega sale example. MCT certificate bought with ISK market price. Base 5-pack average.</x:v>
      </x:c>
    </x:row>
    <x:row r="788">
      <x:c r="A788" s="86" t="n">
        <x:v>786</x:v>
      </x:c>
      <x:c r="B788" s="88" t="str">
        <x:v>Sale/Event</x:v>
      </x:c>
      <x:c r="C788" s="88" t="str">
        <x:v>Winter 12M Omega sale</x:v>
      </x:c>
      <x:c r="D788" s="88" t="n">
        <x:v>12</x:v>
      </x:c>
      <x:c r="E788" s="88" t="n">
        <x:v>3</x:v>
      </x:c>
      <x:c r="F788" s="88" t="str">
        <x:v>Market MCT certificate</x:v>
      </x:c>
      <x:c r="G788" s="88" t="str">
        <x:v>NES 10-pack extractor</x:v>
      </x:c>
      <x:c r="H788" s="87" t="n">
        <x:f>'01 Base Costs'!$B$28</x:f>
        <x:v>2700</x:v>
      </x:c>
      <x:c r="I788" s="87" t="n">
        <x:f>0</x:f>
        <x:v>0</x:v>
      </x:c>
      <x:c r="J788" s="87" t="n">
        <x:f>'01 Base Costs'!$B$10</x:f>
        <x:v>2332850000</x:v>
      </x:c>
      <x:c r="K788" s="87" t="n">
        <x:f>D788*(E788-1)*I788</x:f>
        <x:v>0</x:v>
      </x:c>
      <x:c r="L788" s="87" t="n">
        <x:f>D788*(E788-1)*J788</x:f>
        <x:v>55988400000</x:v>
      </x:c>
      <x:c r="M788" s="87" t="n">
        <x:f>0</x:f>
        <x:v>0</x:v>
      </x:c>
      <x:c r="N788" s="87" t="n">
        <x:f>H788+K788+M788</x:f>
        <x:v>2700</x:v>
      </x:c>
      <x:c r="O788" s="87" t="n">
        <x:f>N788*'01 Base Costs'!$B$7+L788</x:f>
        <x:v>68975400000</x:v>
      </x:c>
      <x:c r="P788" s="87" t="n">
        <x:f>D788*E788</x:f>
        <x:v>36</x:v>
      </x:c>
      <x:c r="Q788" s="87" t="n">
        <x:f>P788*'01 Base Costs'!$B$12</x:f>
        <x:v>69984000</x:v>
      </x:c>
      <x:c r="R788" s="87" t="n">
        <x:f>0</x:f>
        <x:v>0</x:v>
      </x:c>
      <x:c r="S788" s="87" t="n">
        <x:f>Q788+R788</x:f>
        <x:v>69984000</x:v>
      </x:c>
      <x:c r="T788" s="141" t="n">
        <x:f>S788/'01 Base Costs'!$B$14</x:f>
        <x:v>139.968</x:v>
      </x:c>
      <x:c r="U788" s="87" t="n">
        <x:f>INT(T788)</x:f>
        <x:v>139</x:v>
      </x:c>
      <x:c r="V788" s="87" t="n">
        <x:f>S788-U788*'01 Base Costs'!$B$14</x:f>
        <x:v>484000</x:v>
      </x:c>
      <x:c r="W788" s="120" t="n">
        <x:f>'01 Base Costs'!$B$19/10</x:f>
        <x:v>119</x:v>
      </x:c>
      <x:c r="X788" s="120" t="n">
        <x:f>0</x:f>
        <x:v>0</x:v>
      </x:c>
      <x:c r="Y788" s="87" t="n">
        <x:f>T788*(W788*'01 Base Costs'!$B$7+X788)</x:f>
        <x:v>80116283520</x:v>
      </x:c>
      <x:c r="Z788" s="87" t="n">
        <x:f>T788*'01 Base Costs'!$B$8</x:f>
        <x:v>105381907199.99998</x:v>
      </x:c>
      <x:c r="AA788" s="87" t="n">
        <x:f>Z788*'01 Base Costs'!$B$11</x:f>
        <x:v>5269095360</x:v>
      </x:c>
      <x:c r="AB788" s="87" t="n">
        <x:f>Z788-AA788</x:f>
        <x:v>100112811839.99998</x:v>
      </x:c>
      <x:c r="AC788" s="87" t="n">
        <x:f>O788+Y788</x:f>
        <x:v>149091683520</x:v>
      </x:c>
      <x:c r="AD788" s="87" t="n">
        <x:f>AB788-AC788</x:f>
        <x:v>-48978871680.000015</x:v>
      </x:c>
      <x:c r="AE788" s="87" t="n">
        <x:f>AD788/D788</x:f>
        <x:v>-4081572640.0000014</x:v>
      </x:c>
      <x:c r="AF788" s="87" t="n">
        <x:f>AD788/P788</x:f>
        <x:v>-1360524213.3333337</x:v>
      </x:c>
      <x:c r="AG788" s="87" t="n">
        <x:f>IF(T788=0,0,AC788/T788/(1-'01 Base Costs'!$B$11))</x:f>
        <x:v>1121246386.542488</x:v>
      </x:c>
      <x:c r="AH788" s="88" t="str">
        <x:f>IF(AD788&gt;0,"PROFIT","LOSS")</x:f>
        <x:v>LOSS</x:v>
      </x:c>
      <x:c r="AI788" s="89" t="str">
        <x:v>Official 12M Omega sale example. MCT certificate bought with ISK market price. Base 10-pack average.</x:v>
      </x:c>
    </x:row>
    <x:row r="789">
      <x:c r="A789" s="86" t="n">
        <x:v>787</x:v>
      </x:c>
      <x:c r="B789" s="88" t="str">
        <x:v>Sale/Event</x:v>
      </x:c>
      <x:c r="C789" s="88" t="str">
        <x:v>Winter 12M Omega sale</x:v>
      </x:c>
      <x:c r="D789" s="88" t="n">
        <x:v>12</x:v>
      </x:c>
      <x:c r="E789" s="88" t="n">
        <x:v>3</x:v>
      </x:c>
      <x:c r="F789" s="88" t="str">
        <x:v>Market MCT certificate</x:v>
      </x:c>
      <x:c r="G789" s="88" t="str">
        <x:v>NES 50-pack extractor</x:v>
      </x:c>
      <x:c r="H789" s="87" t="n">
        <x:f>'01 Base Costs'!$B$28</x:f>
        <x:v>2700</x:v>
      </x:c>
      <x:c r="I789" s="87" t="n">
        <x:f>0</x:f>
        <x:v>0</x:v>
      </x:c>
      <x:c r="J789" s="87" t="n">
        <x:f>'01 Base Costs'!$B$10</x:f>
        <x:v>2332850000</x:v>
      </x:c>
      <x:c r="K789" s="87" t="n">
        <x:f>D789*(E789-1)*I789</x:f>
        <x:v>0</x:v>
      </x:c>
      <x:c r="L789" s="87" t="n">
        <x:f>D789*(E789-1)*J789</x:f>
        <x:v>55988400000</x:v>
      </x:c>
      <x:c r="M789" s="87" t="n">
        <x:f>0</x:f>
        <x:v>0</x:v>
      </x:c>
      <x:c r="N789" s="87" t="n">
        <x:f>H789+K789+M789</x:f>
        <x:v>2700</x:v>
      </x:c>
      <x:c r="O789" s="87" t="n">
        <x:f>N789*'01 Base Costs'!$B$7+L789</x:f>
        <x:v>68975400000</x:v>
      </x:c>
      <x:c r="P789" s="87" t="n">
        <x:f>D789*E789</x:f>
        <x:v>36</x:v>
      </x:c>
      <x:c r="Q789" s="87" t="n">
        <x:f>P789*'01 Base Costs'!$B$12</x:f>
        <x:v>69984000</x:v>
      </x:c>
      <x:c r="R789" s="87" t="n">
        <x:f>0</x:f>
        <x:v>0</x:v>
      </x:c>
      <x:c r="S789" s="87" t="n">
        <x:f>Q789+R789</x:f>
        <x:v>69984000</x:v>
      </x:c>
      <x:c r="T789" s="141" t="n">
        <x:f>S789/'01 Base Costs'!$B$14</x:f>
        <x:v>139.968</x:v>
      </x:c>
      <x:c r="U789" s="87" t="n">
        <x:f>INT(T789)</x:f>
        <x:v>139</x:v>
      </x:c>
      <x:c r="V789" s="87" t="n">
        <x:f>S789-U789*'01 Base Costs'!$B$14</x:f>
        <x:v>484000</x:v>
      </x:c>
      <x:c r="W789" s="120" t="n">
        <x:f>'01 Base Costs'!$B$20/50</x:f>
        <x:v>112</x:v>
      </x:c>
      <x:c r="X789" s="120" t="n">
        <x:f>0</x:f>
        <x:v>0</x:v>
      </x:c>
      <x:c r="Y789" s="87" t="n">
        <x:f>T789*(W789*'01 Base Costs'!$B$7+X789)</x:f>
        <x:v>75403560960</x:v>
      </x:c>
      <x:c r="Z789" s="87" t="n">
        <x:f>T789*'01 Base Costs'!$B$8</x:f>
        <x:v>105381907199.99998</x:v>
      </x:c>
      <x:c r="AA789" s="87" t="n">
        <x:f>Z789*'01 Base Costs'!$B$11</x:f>
        <x:v>5269095360</x:v>
      </x:c>
      <x:c r="AB789" s="87" t="n">
        <x:f>Z789-AA789</x:f>
        <x:v>100112811839.99998</x:v>
      </x:c>
      <x:c r="AC789" s="87" t="n">
        <x:f>O789+Y789</x:f>
        <x:v>144378960960</x:v>
      </x:c>
      <x:c r="AD789" s="87" t="n">
        <x:f>AB789-AC789</x:f>
        <x:v>-44266149120.000015</x:v>
      </x:c>
      <x:c r="AE789" s="87" t="n">
        <x:f>AD789/D789</x:f>
        <x:v>-3688845760.0000014</x:v>
      </x:c>
      <x:c r="AF789" s="87" t="n">
        <x:f>AD789/P789</x:f>
        <x:v>-1229615253.3333337</x:v>
      </x:c>
      <x:c r="AG789" s="87" t="n">
        <x:f>IF(T789=0,0,AC789/T789/(1-'01 Base Costs'!$B$11))</x:f>
        <x:v>1085804281.2793303</x:v>
      </x:c>
      <x:c r="AH789" s="88" t="str">
        <x:f>IF(AD789&gt;0,"PROFIT","LOSS")</x:f>
        <x:v>LOSS</x:v>
      </x:c>
      <x:c r="AI789" s="89" t="str">
        <x:v>Official 12M Omega sale example. MCT certificate bought with ISK market price. Base 50-pack average.</x:v>
      </x:c>
    </x:row>
    <x:row r="790">
      <x:c r="A790" s="86" t="n">
        <x:v>788</x:v>
      </x:c>
      <x:c r="B790" s="88" t="str">
        <x:v>Sale/Event</x:v>
      </x:c>
      <x:c r="C790" s="88" t="str">
        <x:v>Winter 12M Omega sale</x:v>
      </x:c>
      <x:c r="D790" s="88" t="n">
        <x:v>12</x:v>
      </x:c>
      <x:c r="E790" s="88" t="n">
        <x:v>3</x:v>
      </x:c>
      <x:c r="F790" s="88" t="str">
        <x:v>Market MCT certificate</x:v>
      </x:c>
      <x:c r="G790" s="88" t="str">
        <x:v>NES 3-for-2 extractor sale</x:v>
      </x:c>
      <x:c r="H790" s="87" t="n">
        <x:f>'01 Base Costs'!$B$28</x:f>
        <x:v>2700</x:v>
      </x:c>
      <x:c r="I790" s="87" t="n">
        <x:f>0</x:f>
        <x:v>0</x:v>
      </x:c>
      <x:c r="J790" s="87" t="n">
        <x:f>'01 Base Costs'!$B$10</x:f>
        <x:v>2332850000</x:v>
      </x:c>
      <x:c r="K790" s="87" t="n">
        <x:f>D790*(E790-1)*I790</x:f>
        <x:v>0</x:v>
      </x:c>
      <x:c r="L790" s="87" t="n">
        <x:f>D790*(E790-1)*J790</x:f>
        <x:v>55988400000</x:v>
      </x:c>
      <x:c r="M790" s="87" t="n">
        <x:f>0</x:f>
        <x:v>0</x:v>
      </x:c>
      <x:c r="N790" s="87" t="n">
        <x:f>H790+K790+M790</x:f>
        <x:v>2700</x:v>
      </x:c>
      <x:c r="O790" s="87" t="n">
        <x:f>N790*'01 Base Costs'!$B$7+L790</x:f>
        <x:v>68975400000</x:v>
      </x:c>
      <x:c r="P790" s="87" t="n">
        <x:f>D790*E790</x:f>
        <x:v>36</x:v>
      </x:c>
      <x:c r="Q790" s="87" t="n">
        <x:f>P790*'01 Base Costs'!$B$12</x:f>
        <x:v>69984000</x:v>
      </x:c>
      <x:c r="R790" s="87" t="n">
        <x:f>0</x:f>
        <x:v>0</x:v>
      </x:c>
      <x:c r="S790" s="87" t="n">
        <x:f>Q790+R790</x:f>
        <x:v>69984000</x:v>
      </x:c>
      <x:c r="T790" s="141" t="n">
        <x:f>S790/'01 Base Costs'!$B$14</x:f>
        <x:v>139.968</x:v>
      </x:c>
      <x:c r="U790" s="87" t="n">
        <x:f>INT(T790)</x:f>
        <x:v>139</x:v>
      </x:c>
      <x:c r="V790" s="87" t="n">
        <x:f>S790-U790*'01 Base Costs'!$B$14</x:f>
        <x:v>484000</x:v>
      </x:c>
      <x:c r="W790" s="120" t="n">
        <x:f>'01 Base Costs'!$B$17*2/3</x:f>
        <x:v>93.33333333333333</x:v>
      </x:c>
      <x:c r="X790" s="120" t="n">
        <x:f>0</x:f>
        <x:v>0</x:v>
      </x:c>
      <x:c r="Y790" s="87" t="n">
        <x:f>T790*(W790*'01 Base Costs'!$B$7+X790)</x:f>
        <x:v>62836300799.99999</x:v>
      </x:c>
      <x:c r="Z790" s="87" t="n">
        <x:f>T790*'01 Base Costs'!$B$8</x:f>
        <x:v>105381907199.99998</x:v>
      </x:c>
      <x:c r="AA790" s="87" t="n">
        <x:f>Z790*'01 Base Costs'!$B$11</x:f>
        <x:v>5269095360</x:v>
      </x:c>
      <x:c r="AB790" s="87" t="n">
        <x:f>Z790-AA790</x:f>
        <x:v>100112811839.99998</x:v>
      </x:c>
      <x:c r="AC790" s="87" t="n">
        <x:f>O790+Y790</x:f>
        <x:v>131811700800</x:v>
      </x:c>
      <x:c r="AD790" s="87" t="n">
        <x:f>AB790-AC790</x:f>
        <x:v>-31698888960.000015</x:v>
      </x:c>
      <x:c r="AE790" s="87" t="n">
        <x:f>AD790/D790</x:f>
        <x:v>-2641574080.0000014</x:v>
      </x:c>
      <x:c r="AF790" s="87" t="n">
        <x:f>AD790/P790</x:f>
        <x:v>-880524693.3333337</x:v>
      </x:c>
      <x:c r="AG790" s="87" t="n">
        <x:f>IF(T790=0,0,AC790/T790/(1-'01 Base Costs'!$B$11))</x:f>
        <x:v>991292000.5775757</x:v>
      </x:c>
      <x:c r="AH790" s="88" t="str">
        <x:f>IF(AD790&gt;0,"PROFIT","LOSS")</x:f>
        <x:v>LOSS</x:v>
      </x:c>
      <x:c r="AI790" s="89" t="str">
        <x:v>Official 12M Omega sale example. MCT certificate bought with ISK market price. Extractor 3-for-2 sale.</x:v>
      </x:c>
    </x:row>
    <x:row r="791">
      <x:c r="A791" s="86" t="n">
        <x:v>789</x:v>
      </x:c>
      <x:c r="B791" s="88" t="str">
        <x:v>Sale/Event</x:v>
      </x:c>
      <x:c r="C791" s="88" t="str">
        <x:v>Winter 12M Omega sale</x:v>
      </x:c>
      <x:c r="D791" s="88" t="n">
        <x:v>12</x:v>
      </x:c>
      <x:c r="E791" s="88" t="n">
        <x:v>3</x:v>
      </x:c>
      <x:c r="F791" s="88" t="str">
        <x:v>Market MCT certificate</x:v>
      </x:c>
      <x:c r="G791" s="88" t="str">
        <x:v>NES 2-for-1 extractor sale</x:v>
      </x:c>
      <x:c r="H791" s="87" t="n">
        <x:f>'01 Base Costs'!$B$28</x:f>
        <x:v>2700</x:v>
      </x:c>
      <x:c r="I791" s="87" t="n">
        <x:f>0</x:f>
        <x:v>0</x:v>
      </x:c>
      <x:c r="J791" s="87" t="n">
        <x:f>'01 Base Costs'!$B$10</x:f>
        <x:v>2332850000</x:v>
      </x:c>
      <x:c r="K791" s="87" t="n">
        <x:f>D791*(E791-1)*I791</x:f>
        <x:v>0</x:v>
      </x:c>
      <x:c r="L791" s="87" t="n">
        <x:f>D791*(E791-1)*J791</x:f>
        <x:v>55988400000</x:v>
      </x:c>
      <x:c r="M791" s="87" t="n">
        <x:f>0</x:f>
        <x:v>0</x:v>
      </x:c>
      <x:c r="N791" s="87" t="n">
        <x:f>H791+K791+M791</x:f>
        <x:v>2700</x:v>
      </x:c>
      <x:c r="O791" s="87" t="n">
        <x:f>N791*'01 Base Costs'!$B$7+L791</x:f>
        <x:v>68975400000</x:v>
      </x:c>
      <x:c r="P791" s="87" t="n">
        <x:f>D791*E791</x:f>
        <x:v>36</x:v>
      </x:c>
      <x:c r="Q791" s="87" t="n">
        <x:f>P791*'01 Base Costs'!$B$12</x:f>
        <x:v>69984000</x:v>
      </x:c>
      <x:c r="R791" s="87" t="n">
        <x:f>0</x:f>
        <x:v>0</x:v>
      </x:c>
      <x:c r="S791" s="87" t="n">
        <x:f>Q791+R791</x:f>
        <x:v>69984000</x:v>
      </x:c>
      <x:c r="T791" s="141" t="n">
        <x:f>S791/'01 Base Costs'!$B$14</x:f>
        <x:v>139.968</x:v>
      </x:c>
      <x:c r="U791" s="87" t="n">
        <x:f>INT(T791)</x:f>
        <x:v>139</x:v>
      </x:c>
      <x:c r="V791" s="87" t="n">
        <x:f>S791-U791*'01 Base Costs'!$B$14</x:f>
        <x:v>484000</x:v>
      </x:c>
      <x:c r="W791" s="120" t="n">
        <x:f>'01 Base Costs'!$B$17/2</x:f>
        <x:v>70</x:v>
      </x:c>
      <x:c r="X791" s="120" t="n">
        <x:f>0</x:f>
        <x:v>0</x:v>
      </x:c>
      <x:c r="Y791" s="87" t="n">
        <x:f>T791*(W791*'01 Base Costs'!$B$7+X791)</x:f>
        <x:v>47127225600</x:v>
      </x:c>
      <x:c r="Z791" s="87" t="n">
        <x:f>T791*'01 Base Costs'!$B$8</x:f>
        <x:v>105381907199.99998</x:v>
      </x:c>
      <x:c r="AA791" s="87" t="n">
        <x:f>Z791*'01 Base Costs'!$B$11</x:f>
        <x:v>5269095360</x:v>
      </x:c>
      <x:c r="AB791" s="87" t="n">
        <x:f>Z791-AA791</x:f>
        <x:v>100112811839.99998</x:v>
      </x:c>
      <x:c r="AC791" s="87" t="n">
        <x:f>O791+Y791</x:f>
        <x:v>116102625600</x:v>
      </x:c>
      <x:c r="AD791" s="87" t="n">
        <x:f>AB791-AC791</x:f>
        <x:v>-15989813760.000015</x:v>
      </x:c>
      <x:c r="AE791" s="87" t="n">
        <x:f>AD791/D791</x:f>
        <x:v>-1332484480.0000012</x:v>
      </x:c>
      <x:c r="AF791" s="87" t="n">
        <x:f>AD791/P791</x:f>
        <x:v>-444161493.33333373</x:v>
      </x:c>
      <x:c r="AG791" s="87" t="n">
        <x:f>IF(T791=0,0,AC791/T791/(1-'01 Base Costs'!$B$11))</x:f>
        <x:v>873151649.7003828</x:v>
      </x:c>
      <x:c r="AH791" s="88" t="str">
        <x:f>IF(AD791&gt;0,"PROFIT","LOSS")</x:f>
        <x:v>LOSS</x:v>
      </x:c>
      <x:c r="AI791" s="89" t="str">
        <x:v>Official 12M Omega sale example. MCT certificate bought with ISK market price. Extractor 2-for-1 sale.</x:v>
      </x:c>
    </x:row>
    <x:row r="792">
      <x:c r="A792" s="86" t="n">
        <x:v>790</x:v>
      </x:c>
      <x:c r="B792" s="88" t="str">
        <x:v>Sale/Event</x:v>
      </x:c>
      <x:c r="C792" s="88" t="str">
        <x:v>Winter 12M Omega sale</x:v>
      </x:c>
      <x:c r="D792" s="88" t="n">
        <x:v>12</x:v>
      </x:c>
      <x:c r="E792" s="88" t="n">
        <x:v>3</x:v>
      </x:c>
      <x:c r="F792" s="88" t="str">
        <x:v>Market MCT certificate</x:v>
      </x:c>
      <x:c r="G792" s="88" t="str">
        <x:v>NES 10-pack extractor 20% sale</x:v>
      </x:c>
      <x:c r="H792" s="87" t="n">
        <x:f>'01 Base Costs'!$B$28</x:f>
        <x:v>2700</x:v>
      </x:c>
      <x:c r="I792" s="87" t="n">
        <x:f>0</x:f>
        <x:v>0</x:v>
      </x:c>
      <x:c r="J792" s="87" t="n">
        <x:f>'01 Base Costs'!$B$10</x:f>
        <x:v>2332850000</x:v>
      </x:c>
      <x:c r="K792" s="87" t="n">
        <x:f>D792*(E792-1)*I792</x:f>
        <x:v>0</x:v>
      </x:c>
      <x:c r="L792" s="87" t="n">
        <x:f>D792*(E792-1)*J792</x:f>
        <x:v>55988400000</x:v>
      </x:c>
      <x:c r="M792" s="87" t="n">
        <x:f>0</x:f>
        <x:v>0</x:v>
      </x:c>
      <x:c r="N792" s="87" t="n">
        <x:f>H792+K792+M792</x:f>
        <x:v>2700</x:v>
      </x:c>
      <x:c r="O792" s="87" t="n">
        <x:f>N792*'01 Base Costs'!$B$7+L792</x:f>
        <x:v>68975400000</x:v>
      </x:c>
      <x:c r="P792" s="87" t="n">
        <x:f>D792*E792</x:f>
        <x:v>36</x:v>
      </x:c>
      <x:c r="Q792" s="87" t="n">
        <x:f>P792*'01 Base Costs'!$B$12</x:f>
        <x:v>69984000</x:v>
      </x:c>
      <x:c r="R792" s="87" t="n">
        <x:f>0</x:f>
        <x:v>0</x:v>
      </x:c>
      <x:c r="S792" s="87" t="n">
        <x:f>Q792+R792</x:f>
        <x:v>69984000</x:v>
      </x:c>
      <x:c r="T792" s="141" t="n">
        <x:f>S792/'01 Base Costs'!$B$14</x:f>
        <x:v>139.968</x:v>
      </x:c>
      <x:c r="U792" s="87" t="n">
        <x:f>INT(T792)</x:f>
        <x:v>139</x:v>
      </x:c>
      <x:c r="V792" s="87" t="n">
        <x:f>S792-U792*'01 Base Costs'!$B$14</x:f>
        <x:v>484000</x:v>
      </x:c>
      <x:c r="W792" s="120" t="n">
        <x:f>'01 Base Costs'!$B$19*0.8/10</x:f>
        <x:v>95.2</x:v>
      </x:c>
      <x:c r="X792" s="120" t="n">
        <x:f>0</x:f>
        <x:v>0</x:v>
      </x:c>
      <x:c r="Y792" s="87" t="n">
        <x:f>T792*(W792*'01 Base Costs'!$B$7+X792)</x:f>
        <x:v>64093026815.99999</x:v>
      </x:c>
      <x:c r="Z792" s="87" t="n">
        <x:f>T792*'01 Base Costs'!$B$8</x:f>
        <x:v>105381907199.99998</x:v>
      </x:c>
      <x:c r="AA792" s="87" t="n">
        <x:f>Z792*'01 Base Costs'!$B$11</x:f>
        <x:v>5269095360</x:v>
      </x:c>
      <x:c r="AB792" s="87" t="n">
        <x:f>Z792-AA792</x:f>
        <x:v>100112811839.99998</x:v>
      </x:c>
      <x:c r="AC792" s="87" t="n">
        <x:f>O792+Y792</x:f>
        <x:v>133068426816</x:v>
      </x:c>
      <x:c r="AD792" s="87" t="n">
        <x:f>AB792-AC792</x:f>
        <x:v>-32955614976.000015</x:v>
      </x:c>
      <x:c r="AE792" s="87" t="n">
        <x:f>AD792/D792</x:f>
        <x:v>-2746301248.0000014</x:v>
      </x:c>
      <x:c r="AF792" s="87" t="n">
        <x:f>AD792/P792</x:f>
        <x:v>-915433749.3333337</x:v>
      </x:c>
      <x:c r="AG792" s="87" t="n">
        <x:f>IF(T792=0,0,AC792/T792/(1-'01 Base Costs'!$B$11))</x:f>
        <x:v>1000743228.6477512</x:v>
      </x:c>
      <x:c r="AH792" s="88" t="str">
        <x:f>IF(AD792&gt;0,"PROFIT","LOSS")</x:f>
        <x:v>LOSS</x:v>
      </x:c>
      <x:c r="AI792" s="89" t="str">
        <x:v>Official 12M Omega sale example. MCT certificate bought with ISK market price. 10-pack at 20% off.</x:v>
      </x:c>
    </x:row>
    <x:row r="793">
      <x:c r="A793" s="86" t="n">
        <x:v>791</x:v>
      </x:c>
      <x:c r="B793" s="88" t="str">
        <x:v>Sale/Event</x:v>
      </x:c>
      <x:c r="C793" s="88" t="str">
        <x:v>Winter 12M Omega sale</x:v>
      </x:c>
      <x:c r="D793" s="88" t="n">
        <x:v>12</x:v>
      </x:c>
      <x:c r="E793" s="88" t="n">
        <x:v>3</x:v>
      </x:c>
      <x:c r="F793" s="88" t="str">
        <x:v>Market MCT certificate</x:v>
      </x:c>
      <x:c r="G793" s="88" t="str">
        <x:v>NES 50-pack extractor 20% sale</x:v>
      </x:c>
      <x:c r="H793" s="87" t="n">
        <x:f>'01 Base Costs'!$B$28</x:f>
        <x:v>2700</x:v>
      </x:c>
      <x:c r="I793" s="87" t="n">
        <x:f>0</x:f>
        <x:v>0</x:v>
      </x:c>
      <x:c r="J793" s="87" t="n">
        <x:f>'01 Base Costs'!$B$10</x:f>
        <x:v>2332850000</x:v>
      </x:c>
      <x:c r="K793" s="87" t="n">
        <x:f>D793*(E793-1)*I793</x:f>
        <x:v>0</x:v>
      </x:c>
      <x:c r="L793" s="87" t="n">
        <x:f>D793*(E793-1)*J793</x:f>
        <x:v>55988400000</x:v>
      </x:c>
      <x:c r="M793" s="87" t="n">
        <x:f>0</x:f>
        <x:v>0</x:v>
      </x:c>
      <x:c r="N793" s="87" t="n">
        <x:f>H793+K793+M793</x:f>
        <x:v>2700</x:v>
      </x:c>
      <x:c r="O793" s="87" t="n">
        <x:f>N793*'01 Base Costs'!$B$7+L793</x:f>
        <x:v>68975400000</x:v>
      </x:c>
      <x:c r="P793" s="87" t="n">
        <x:f>D793*E793</x:f>
        <x:v>36</x:v>
      </x:c>
      <x:c r="Q793" s="87" t="n">
        <x:f>P793*'01 Base Costs'!$B$12</x:f>
        <x:v>69984000</x:v>
      </x:c>
      <x:c r="R793" s="87" t="n">
        <x:f>0</x:f>
        <x:v>0</x:v>
      </x:c>
      <x:c r="S793" s="87" t="n">
        <x:f>Q793+R793</x:f>
        <x:v>69984000</x:v>
      </x:c>
      <x:c r="T793" s="141" t="n">
        <x:f>S793/'01 Base Costs'!$B$14</x:f>
        <x:v>139.968</x:v>
      </x:c>
      <x:c r="U793" s="87" t="n">
        <x:f>INT(T793)</x:f>
        <x:v>139</x:v>
      </x:c>
      <x:c r="V793" s="87" t="n">
        <x:f>S793-U793*'01 Base Costs'!$B$14</x:f>
        <x:v>484000</x:v>
      </x:c>
      <x:c r="W793" s="120" t="n">
        <x:f>'01 Base Costs'!$B$20*0.8/50</x:f>
        <x:v>89.6</x:v>
      </x:c>
      <x:c r="X793" s="120" t="n">
        <x:f>0</x:f>
        <x:v>0</x:v>
      </x:c>
      <x:c r="Y793" s="87" t="n">
        <x:f>T793*(W793*'01 Base Costs'!$B$7+X793)</x:f>
        <x:v>60322848767.99999</x:v>
      </x:c>
      <x:c r="Z793" s="87" t="n">
        <x:f>T793*'01 Base Costs'!$B$8</x:f>
        <x:v>105381907199.99998</x:v>
      </x:c>
      <x:c r="AA793" s="87" t="n">
        <x:f>Z793*'01 Base Costs'!$B$11</x:f>
        <x:v>5269095360</x:v>
      </x:c>
      <x:c r="AB793" s="87" t="n">
        <x:f>Z793-AA793</x:f>
        <x:v>100112811839.99998</x:v>
      </x:c>
      <x:c r="AC793" s="87" t="n">
        <x:f>O793+Y793</x:f>
        <x:v>129298248768</x:v>
      </x:c>
      <x:c r="AD793" s="87" t="n">
        <x:f>AB793-AC793</x:f>
        <x:v>-29185436928.000015</x:v>
      </x:c>
      <x:c r="AE793" s="87" t="n">
        <x:f>AD793/D793</x:f>
        <x:v>-2432119744.0000014</x:v>
      </x:c>
      <x:c r="AF793" s="87" t="n">
        <x:f>AD793/P793</x:f>
        <x:v>-810706581.3333337</x:v>
      </x:c>
      <x:c r="AG793" s="87" t="n">
        <x:f>IF(T793=0,0,AC793/T793/(1-'01 Base Costs'!$B$11))</x:f>
        <x:v>972389544.4372249</x:v>
      </x:c>
      <x:c r="AH793" s="88" t="str">
        <x:f>IF(AD793&gt;0,"PROFIT","LOSS")</x:f>
        <x:v>LOSS</x:v>
      </x:c>
      <x:c r="AI793" s="89" t="str">
        <x:v>Official 12M Omega sale example. MCT certificate bought with ISK market price. 50-pack at 20% off.</x:v>
      </x:c>
    </x:row>
    <x:row r="794">
      <x:c r="A794" s="86" t="n">
        <x:v>792</x:v>
      </x:c>
      <x:c r="B794" s="88" t="str">
        <x:v>Sale/Event</x:v>
      </x:c>
      <x:c r="C794" s="88" t="str">
        <x:v>Winter 12M Omega sale</x:v>
      </x:c>
      <x:c r="D794" s="88" t="n">
        <x:v>12</x:v>
      </x:c>
      <x:c r="E794" s="88" t="n">
        <x:v>3</x:v>
      </x:c>
      <x:c r="F794" s="88" t="str">
        <x:v>Market MCT certificate</x:v>
      </x:c>
      <x:c r="G794" s="88" t="str">
        <x:v>Market Skill Extractor</x:v>
      </x:c>
      <x:c r="H794" s="87" t="n">
        <x:f>'01 Base Costs'!$B$28</x:f>
        <x:v>2700</x:v>
      </x:c>
      <x:c r="I794" s="87" t="n">
        <x:f>0</x:f>
        <x:v>0</x:v>
      </x:c>
      <x:c r="J794" s="87" t="n">
        <x:f>'01 Base Costs'!$B$10</x:f>
        <x:v>2332850000</x:v>
      </x:c>
      <x:c r="K794" s="87" t="n">
        <x:f>D794*(E794-1)*I794</x:f>
        <x:v>0</x:v>
      </x:c>
      <x:c r="L794" s="87" t="n">
        <x:f>D794*(E794-1)*J794</x:f>
        <x:v>55988400000</x:v>
      </x:c>
      <x:c r="M794" s="87" t="n">
        <x:f>0</x:f>
        <x:v>0</x:v>
      </x:c>
      <x:c r="N794" s="87" t="n">
        <x:f>H794+K794+M794</x:f>
        <x:v>2700</x:v>
      </x:c>
      <x:c r="O794" s="87" t="n">
        <x:f>N794*'01 Base Costs'!$B$7+L794</x:f>
        <x:v>68975400000</x:v>
      </x:c>
      <x:c r="P794" s="87" t="n">
        <x:f>D794*E794</x:f>
        <x:v>36</x:v>
      </x:c>
      <x:c r="Q794" s="87" t="n">
        <x:f>P794*'01 Base Costs'!$B$12</x:f>
        <x:v>69984000</x:v>
      </x:c>
      <x:c r="R794" s="87" t="n">
        <x:f>0</x:f>
        <x:v>0</x:v>
      </x:c>
      <x:c r="S794" s="87" t="n">
        <x:f>Q794+R794</x:f>
        <x:v>69984000</x:v>
      </x:c>
      <x:c r="T794" s="141" t="n">
        <x:f>S794/'01 Base Costs'!$B$14</x:f>
        <x:v>139.968</x:v>
      </x:c>
      <x:c r="U794" s="87" t="n">
        <x:f>INT(T794)</x:f>
        <x:v>139</x:v>
      </x:c>
      <x:c r="V794" s="87" t="n">
        <x:f>S794-U794*'01 Base Costs'!$B$14</x:f>
        <x:v>484000</x:v>
      </x:c>
      <x:c r="W794" s="120" t="n">
        <x:f>0</x:f>
        <x:v>0</x:v>
      </x:c>
      <x:c r="X794" s="120" t="n">
        <x:f>'01 Base Costs'!$B$9</x:f>
        <x:v>463500000</x:v>
      </x:c>
      <x:c r="Y794" s="87" t="n">
        <x:f>T794*(W794*'01 Base Costs'!$B$7+X794)</x:f>
        <x:v>64875167999.99999</x:v>
      </x:c>
      <x:c r="Z794" s="87" t="n">
        <x:f>T794*'01 Base Costs'!$B$8</x:f>
        <x:v>105381907199.99998</x:v>
      </x:c>
      <x:c r="AA794" s="87" t="n">
        <x:f>Z794*'01 Base Costs'!$B$11</x:f>
        <x:v>5269095360</x:v>
      </x:c>
      <x:c r="AB794" s="87" t="n">
        <x:f>Z794-AA794</x:f>
        <x:v>100112811839.99998</x:v>
      </x:c>
      <x:c r="AC794" s="87" t="n">
        <x:f>O794+Y794</x:f>
        <x:v>133850568000</x:v>
      </x:c>
      <x:c r="AD794" s="87" t="n">
        <x:f>AB794-AC794</x:f>
        <x:v>-33737756160.000015</x:v>
      </x:c>
      <x:c r="AE794" s="87" t="n">
        <x:f>AD794/D794</x:f>
        <x:v>-2811479680.0000014</x:v>
      </x:c>
      <x:c r="AF794" s="87" t="n">
        <x:f>AD794/P794</x:f>
        <x:v>-937159893.3333337</x:v>
      </x:c>
      <x:c r="AG794" s="87" t="n">
        <x:f>IF(T794=0,0,AC794/T794/(1-'01 Base Costs'!$B$11))</x:f>
        <x:v>1006625333.9109092</x:v>
      </x:c>
      <x:c r="AH794" s="88" t="str">
        <x:f>IF(AD794&gt;0,"PROFIT","LOSS")</x:f>
        <x:v>LOSS</x:v>
      </x:c>
      <x:c r="AI794" s="89" t="str">
        <x:v>Official 12M Omega sale example. MCT certificate bought with ISK market price. Extractor bought on market with ISK.</x:v>
      </x:c>
    </x:row>
    <x:row r="795">
      <x:c r="A795" s="86" t="n">
        <x:v>793</x:v>
      </x:c>
      <x:c r="B795" s="88" t="str">
        <x:v>Sale/Event</x:v>
      </x:c>
      <x:c r="C795" s="88" t="str">
        <x:v>Winter 24M Omega sale</x:v>
      </x:c>
      <x:c r="D795" s="88" t="n">
        <x:v>24</x:v>
      </x:c>
      <x:c r="E795" s="88" t="n">
        <x:v>1</x:v>
      </x:c>
      <x:c r="F795" s="88" t="str">
        <x:v>No MCT</x:v>
      </x:c>
      <x:c r="G795" s="88" t="str">
        <x:v>NES single extractor</x:v>
      </x:c>
      <x:c r="H795" s="87" t="n">
        <x:f>'01 Base Costs'!$B$29</x:f>
        <x:v>5280</x:v>
      </x:c>
      <x:c r="I795" s="87" t="n">
        <x:f>0</x:f>
        <x:v>0</x:v>
      </x:c>
      <x:c r="J795" s="87" t="n">
        <x:f>0</x:f>
        <x:v>0</x:v>
      </x:c>
      <x:c r="K795" s="87" t="n">
        <x:f>D795*(E795-1)*I795</x:f>
        <x:v>0</x:v>
      </x:c>
      <x:c r="L795" s="87" t="n">
        <x:f>D795*(E795-1)*J795</x:f>
        <x:v>0</x:v>
      </x:c>
      <x:c r="M795" s="87" t="n">
        <x:f>0</x:f>
        <x:v>0</x:v>
      </x:c>
      <x:c r="N795" s="87" t="n">
        <x:f>H795+K795+M795</x:f>
        <x:v>5280</x:v>
      </x:c>
      <x:c r="O795" s="87" t="n">
        <x:f>N795*'01 Base Costs'!$B$7+L795</x:f>
        <x:v>25396800000</x:v>
      </x:c>
      <x:c r="P795" s="87" t="n">
        <x:f>D795*E795</x:f>
        <x:v>24</x:v>
      </x:c>
      <x:c r="Q795" s="87" t="n">
        <x:f>P795*'01 Base Costs'!$B$12</x:f>
        <x:v>46656000</x:v>
      </x:c>
      <x:c r="R795" s="87" t="n">
        <x:f>0</x:f>
        <x:v>0</x:v>
      </x:c>
      <x:c r="S795" s="87" t="n">
        <x:f>Q795+R795</x:f>
        <x:v>46656000</x:v>
      </x:c>
      <x:c r="T795" s="141" t="n">
        <x:f>S795/'01 Base Costs'!$B$14</x:f>
        <x:v>93.312</x:v>
      </x:c>
      <x:c r="U795" s="87" t="n">
        <x:f>INT(T795)</x:f>
        <x:v>93</x:v>
      </x:c>
      <x:c r="V795" s="87" t="n">
        <x:f>S795-U795*'01 Base Costs'!$B$14</x:f>
        <x:v>156000</x:v>
      </x:c>
      <x:c r="W795" s="120" t="n">
        <x:f>'01 Base Costs'!$B$17</x:f>
        <x:v>140</x:v>
      </x:c>
      <x:c r="X795" s="120" t="n">
        <x:f>0</x:f>
        <x:v>0</x:v>
      </x:c>
      <x:c r="Y795" s="87" t="n">
        <x:f>T795*(W795*'01 Base Costs'!$B$7+X795)</x:f>
        <x:v>62836300800</x:v>
      </x:c>
      <x:c r="Z795" s="87" t="n">
        <x:f>T795*'01 Base Costs'!$B$8</x:f>
        <x:v>70254604800</x:v>
      </x:c>
      <x:c r="AA795" s="87" t="n">
        <x:f>Z795*'01 Base Costs'!$B$11</x:f>
        <x:v>3512730240</x:v>
      </x:c>
      <x:c r="AB795" s="87" t="n">
        <x:f>Z795-AA795</x:f>
        <x:v>66741874560</x:v>
      </x:c>
      <x:c r="AC795" s="87" t="n">
        <x:f>O795+Y795</x:f>
        <x:v>88233100800</x:v>
      </x:c>
      <x:c r="AD795" s="87" t="n">
        <x:f>AB795-AC795</x:f>
        <x:v>-21491226240</x:v>
      </x:c>
      <x:c r="AE795" s="87" t="n">
        <x:f>AD795/D795</x:f>
        <x:v>-895467760</x:v>
      </x:c>
      <x:c r="AF795" s="87" t="n">
        <x:f>AD795/P795</x:f>
        <x:v>-895467760</x:v>
      </x:c>
      <x:c r="AG795" s="87" t="n">
        <x:f>IF(T795=0,0,AC795/T795/(1-'01 Base Costs'!$B$11))</x:f>
        <x:v>995337665.1505308</x:v>
      </x:c>
      <x:c r="AH795" s="88" t="str">
        <x:f>IF(AD795&gt;0,"PROFIT","LOSS")</x:f>
        <x:v>LOSS</x:v>
      </x:c>
      <x:c r="AI795" s="89" t="str">
        <x:v>Official 24M Omega sale example. One training queue only. Base single extractor.</x:v>
      </x:c>
    </x:row>
    <x:row r="796">
      <x:c r="A796" s="86" t="n">
        <x:v>794</x:v>
      </x:c>
      <x:c r="B796" s="88" t="str">
        <x:v>Sale/Event</x:v>
      </x:c>
      <x:c r="C796" s="88" t="str">
        <x:v>Winter 24M Omega sale</x:v>
      </x:c>
      <x:c r="D796" s="88" t="n">
        <x:v>24</x:v>
      </x:c>
      <x:c r="E796" s="88" t="n">
        <x:v>1</x:v>
      </x:c>
      <x:c r="F796" s="88" t="str">
        <x:v>No MCT</x:v>
      </x:c>
      <x:c r="G796" s="88" t="str">
        <x:v>NES 5-pack extractor</x:v>
      </x:c>
      <x:c r="H796" s="87" t="n">
        <x:f>'01 Base Costs'!$B$29</x:f>
        <x:v>5280</x:v>
      </x:c>
      <x:c r="I796" s="87" t="n">
        <x:f>0</x:f>
        <x:v>0</x:v>
      </x:c>
      <x:c r="J796" s="87" t="n">
        <x:f>0</x:f>
        <x:v>0</x:v>
      </x:c>
      <x:c r="K796" s="87" t="n">
        <x:f>D796*(E796-1)*I796</x:f>
        <x:v>0</x:v>
      </x:c>
      <x:c r="L796" s="87" t="n">
        <x:f>D796*(E796-1)*J796</x:f>
        <x:v>0</x:v>
      </x:c>
      <x:c r="M796" s="87" t="n">
        <x:f>0</x:f>
        <x:v>0</x:v>
      </x:c>
      <x:c r="N796" s="87" t="n">
        <x:f>H796+K796+M796</x:f>
        <x:v>5280</x:v>
      </x:c>
      <x:c r="O796" s="87" t="n">
        <x:f>N796*'01 Base Costs'!$B$7+L796</x:f>
        <x:v>25396800000</x:v>
      </x:c>
      <x:c r="P796" s="87" t="n">
        <x:f>D796*E796</x:f>
        <x:v>24</x:v>
      </x:c>
      <x:c r="Q796" s="87" t="n">
        <x:f>P796*'01 Base Costs'!$B$12</x:f>
        <x:v>46656000</x:v>
      </x:c>
      <x:c r="R796" s="87" t="n">
        <x:f>0</x:f>
        <x:v>0</x:v>
      </x:c>
      <x:c r="S796" s="87" t="n">
        <x:f>Q796+R796</x:f>
        <x:v>46656000</x:v>
      </x:c>
      <x:c r="T796" s="141" t="n">
        <x:f>S796/'01 Base Costs'!$B$14</x:f>
        <x:v>93.312</x:v>
      </x:c>
      <x:c r="U796" s="87" t="n">
        <x:f>INT(T796)</x:f>
        <x:v>93</x:v>
      </x:c>
      <x:c r="V796" s="87" t="n">
        <x:f>S796-U796*'01 Base Costs'!$B$14</x:f>
        <x:v>156000</x:v>
      </x:c>
      <x:c r="W796" s="120" t="n">
        <x:f>'01 Base Costs'!$B$18/5</x:f>
        <x:v>126</x:v>
      </x:c>
      <x:c r="X796" s="120" t="n">
        <x:f>0</x:f>
        <x:v>0</x:v>
      </x:c>
      <x:c r="Y796" s="87" t="n">
        <x:f>T796*(W796*'01 Base Costs'!$B$7+X796)</x:f>
        <x:v>56552670720</x:v>
      </x:c>
      <x:c r="Z796" s="87" t="n">
        <x:f>T796*'01 Base Costs'!$B$8</x:f>
        <x:v>70254604800</x:v>
      </x:c>
      <x:c r="AA796" s="87" t="n">
        <x:f>Z796*'01 Base Costs'!$B$11</x:f>
        <x:v>3512730240</x:v>
      </x:c>
      <x:c r="AB796" s="87" t="n">
        <x:f>Z796-AA796</x:f>
        <x:v>66741874560</x:v>
      </x:c>
      <x:c r="AC796" s="87" t="n">
        <x:f>O796+Y796</x:f>
        <x:v>81949470720</x:v>
      </x:c>
      <x:c r="AD796" s="87" t="n">
        <x:f>AB796-AC796</x:f>
        <x:v>-15207596160</x:v>
      </x:c>
      <x:c r="AE796" s="87" t="n">
        <x:f>AD796/D796</x:f>
        <x:v>-633649840</x:v>
      </x:c>
      <x:c r="AF796" s="87" t="n">
        <x:f>AD796/P796</x:f>
        <x:v>-633649840</x:v>
      </x:c>
      <x:c r="AG796" s="87" t="n">
        <x:f>IF(T796=0,0,AC796/T796/(1-'01 Base Costs'!$B$11))</x:f>
        <x:v>924453454.624215</x:v>
      </x:c>
      <x:c r="AH796" s="88" t="str">
        <x:f>IF(AD796&gt;0,"PROFIT","LOSS")</x:f>
        <x:v>LOSS</x:v>
      </x:c>
      <x:c r="AI796" s="89" t="str">
        <x:v>Official 24M Omega sale example. One training queue only. Base 5-pack average.</x:v>
      </x:c>
    </x:row>
    <x:row r="797">
      <x:c r="A797" s="86" t="n">
        <x:v>795</x:v>
      </x:c>
      <x:c r="B797" s="88" t="str">
        <x:v>Sale/Event</x:v>
      </x:c>
      <x:c r="C797" s="88" t="str">
        <x:v>Winter 24M Omega sale</x:v>
      </x:c>
      <x:c r="D797" s="88" t="n">
        <x:v>24</x:v>
      </x:c>
      <x:c r="E797" s="88" t="n">
        <x:v>1</x:v>
      </x:c>
      <x:c r="F797" s="88" t="str">
        <x:v>No MCT</x:v>
      </x:c>
      <x:c r="G797" s="88" t="str">
        <x:v>NES 10-pack extractor</x:v>
      </x:c>
      <x:c r="H797" s="87" t="n">
        <x:f>'01 Base Costs'!$B$29</x:f>
        <x:v>5280</x:v>
      </x:c>
      <x:c r="I797" s="87" t="n">
        <x:f>0</x:f>
        <x:v>0</x:v>
      </x:c>
      <x:c r="J797" s="87" t="n">
        <x:f>0</x:f>
        <x:v>0</x:v>
      </x:c>
      <x:c r="K797" s="87" t="n">
        <x:f>D797*(E797-1)*I797</x:f>
        <x:v>0</x:v>
      </x:c>
      <x:c r="L797" s="87" t="n">
        <x:f>D797*(E797-1)*J797</x:f>
        <x:v>0</x:v>
      </x:c>
      <x:c r="M797" s="87" t="n">
        <x:f>0</x:f>
        <x:v>0</x:v>
      </x:c>
      <x:c r="N797" s="87" t="n">
        <x:f>H797+K797+M797</x:f>
        <x:v>5280</x:v>
      </x:c>
      <x:c r="O797" s="87" t="n">
        <x:f>N797*'01 Base Costs'!$B$7+L797</x:f>
        <x:v>25396800000</x:v>
      </x:c>
      <x:c r="P797" s="87" t="n">
        <x:f>D797*E797</x:f>
        <x:v>24</x:v>
      </x:c>
      <x:c r="Q797" s="87" t="n">
        <x:f>P797*'01 Base Costs'!$B$12</x:f>
        <x:v>46656000</x:v>
      </x:c>
      <x:c r="R797" s="87" t="n">
        <x:f>0</x:f>
        <x:v>0</x:v>
      </x:c>
      <x:c r="S797" s="87" t="n">
        <x:f>Q797+R797</x:f>
        <x:v>46656000</x:v>
      </x:c>
      <x:c r="T797" s="141" t="n">
        <x:f>S797/'01 Base Costs'!$B$14</x:f>
        <x:v>93.312</x:v>
      </x:c>
      <x:c r="U797" s="87" t="n">
        <x:f>INT(T797)</x:f>
        <x:v>93</x:v>
      </x:c>
      <x:c r="V797" s="87" t="n">
        <x:f>S797-U797*'01 Base Costs'!$B$14</x:f>
        <x:v>156000</x:v>
      </x:c>
      <x:c r="W797" s="120" t="n">
        <x:f>'01 Base Costs'!$B$19/10</x:f>
        <x:v>119</x:v>
      </x:c>
      <x:c r="X797" s="120" t="n">
        <x:f>0</x:f>
        <x:v>0</x:v>
      </x:c>
      <x:c r="Y797" s="87" t="n">
        <x:f>T797*(W797*'01 Base Costs'!$B$7+X797)</x:f>
        <x:v>53410855680</x:v>
      </x:c>
      <x:c r="Z797" s="87" t="n">
        <x:f>T797*'01 Base Costs'!$B$8</x:f>
        <x:v>70254604800</x:v>
      </x:c>
      <x:c r="AA797" s="87" t="n">
        <x:f>Z797*'01 Base Costs'!$B$11</x:f>
        <x:v>3512730240</x:v>
      </x:c>
      <x:c r="AB797" s="87" t="n">
        <x:f>Z797-AA797</x:f>
        <x:v>66741874560</x:v>
      </x:c>
      <x:c r="AC797" s="87" t="n">
        <x:f>O797+Y797</x:f>
        <x:v>78807655680</x:v>
      </x:c>
      <x:c r="AD797" s="87" t="n">
        <x:f>AB797-AC797</x:f>
        <x:v>-12065781120</x:v>
      </x:c>
      <x:c r="AE797" s="87" t="n">
        <x:f>AD797/D797</x:f>
        <x:v>-502740880</x:v>
      </x:c>
      <x:c r="AF797" s="87" t="n">
        <x:f>AD797/P797</x:f>
        <x:v>-502740880</x:v>
      </x:c>
      <x:c r="AG797" s="87" t="n">
        <x:f>IF(T797=0,0,AC797/T797/(1-'01 Base Costs'!$B$11))</x:f>
        <x:v>889011349.361057</x:v>
      </x:c>
      <x:c r="AH797" s="88" t="str">
        <x:f>IF(AD797&gt;0,"PROFIT","LOSS")</x:f>
        <x:v>LOSS</x:v>
      </x:c>
      <x:c r="AI797" s="89" t="str">
        <x:v>Official 24M Omega sale example. One training queue only. Base 10-pack average.</x:v>
      </x:c>
    </x:row>
    <x:row r="798">
      <x:c r="A798" s="86" t="n">
        <x:v>796</x:v>
      </x:c>
      <x:c r="B798" s="88" t="str">
        <x:v>Sale/Event</x:v>
      </x:c>
      <x:c r="C798" s="88" t="str">
        <x:v>Winter 24M Omega sale</x:v>
      </x:c>
      <x:c r="D798" s="88" t="n">
        <x:v>24</x:v>
      </x:c>
      <x:c r="E798" s="88" t="n">
        <x:v>1</x:v>
      </x:c>
      <x:c r="F798" s="88" t="str">
        <x:v>No MCT</x:v>
      </x:c>
      <x:c r="G798" s="88" t="str">
        <x:v>NES 50-pack extractor</x:v>
      </x:c>
      <x:c r="H798" s="87" t="n">
        <x:f>'01 Base Costs'!$B$29</x:f>
        <x:v>5280</x:v>
      </x:c>
      <x:c r="I798" s="87" t="n">
        <x:f>0</x:f>
        <x:v>0</x:v>
      </x:c>
      <x:c r="J798" s="87" t="n">
        <x:f>0</x:f>
        <x:v>0</x:v>
      </x:c>
      <x:c r="K798" s="87" t="n">
        <x:f>D798*(E798-1)*I798</x:f>
        <x:v>0</x:v>
      </x:c>
      <x:c r="L798" s="87" t="n">
        <x:f>D798*(E798-1)*J798</x:f>
        <x:v>0</x:v>
      </x:c>
      <x:c r="M798" s="87" t="n">
        <x:f>0</x:f>
        <x:v>0</x:v>
      </x:c>
      <x:c r="N798" s="87" t="n">
        <x:f>H798+K798+M798</x:f>
        <x:v>5280</x:v>
      </x:c>
      <x:c r="O798" s="87" t="n">
        <x:f>N798*'01 Base Costs'!$B$7+L798</x:f>
        <x:v>25396800000</x:v>
      </x:c>
      <x:c r="P798" s="87" t="n">
        <x:f>D798*E798</x:f>
        <x:v>24</x:v>
      </x:c>
      <x:c r="Q798" s="87" t="n">
        <x:f>P798*'01 Base Costs'!$B$12</x:f>
        <x:v>46656000</x:v>
      </x:c>
      <x:c r="R798" s="87" t="n">
        <x:f>0</x:f>
        <x:v>0</x:v>
      </x:c>
      <x:c r="S798" s="87" t="n">
        <x:f>Q798+R798</x:f>
        <x:v>46656000</x:v>
      </x:c>
      <x:c r="T798" s="141" t="n">
        <x:f>S798/'01 Base Costs'!$B$14</x:f>
        <x:v>93.312</x:v>
      </x:c>
      <x:c r="U798" s="87" t="n">
        <x:f>INT(T798)</x:f>
        <x:v>93</x:v>
      </x:c>
      <x:c r="V798" s="87" t="n">
        <x:f>S798-U798*'01 Base Costs'!$B$14</x:f>
        <x:v>156000</x:v>
      </x:c>
      <x:c r="W798" s="120" t="n">
        <x:f>'01 Base Costs'!$B$20/50</x:f>
        <x:v>112</x:v>
      </x:c>
      <x:c r="X798" s="120" t="n">
        <x:f>0</x:f>
        <x:v>0</x:v>
      </x:c>
      <x:c r="Y798" s="87" t="n">
        <x:f>T798*(W798*'01 Base Costs'!$B$7+X798)</x:f>
        <x:v>50269040640</x:v>
      </x:c>
      <x:c r="Z798" s="87" t="n">
        <x:f>T798*'01 Base Costs'!$B$8</x:f>
        <x:v>70254604800</x:v>
      </x:c>
      <x:c r="AA798" s="87" t="n">
        <x:f>Z798*'01 Base Costs'!$B$11</x:f>
        <x:v>3512730240</x:v>
      </x:c>
      <x:c r="AB798" s="87" t="n">
        <x:f>Z798-AA798</x:f>
        <x:v>66741874560</x:v>
      </x:c>
      <x:c r="AC798" s="87" t="n">
        <x:f>O798+Y798</x:f>
        <x:v>75665840640</x:v>
      </x:c>
      <x:c r="AD798" s="87" t="n">
        <x:f>AB798-AC798</x:f>
        <x:v>-8923966080</x:v>
      </x:c>
      <x:c r="AE798" s="87" t="n">
        <x:f>AD798/D798</x:f>
        <x:v>-371831920</x:v>
      </x:c>
      <x:c r="AF798" s="87" t="n">
        <x:f>AD798/P798</x:f>
        <x:v>-371831920</x:v>
      </x:c>
      <x:c r="AG798" s="87" t="n">
        <x:f>IF(T798=0,0,AC798/T798/(1-'01 Base Costs'!$B$11))</x:f>
        <x:v>853569244.0978992</x:v>
      </x:c>
      <x:c r="AH798" s="88" t="str">
        <x:f>IF(AD798&gt;0,"PROFIT","LOSS")</x:f>
        <x:v>LOSS</x:v>
      </x:c>
      <x:c r="AI798" s="89" t="str">
        <x:v>Official 24M Omega sale example. One training queue only. Base 50-pack average.</x:v>
      </x:c>
    </x:row>
    <x:row r="799">
      <x:c r="A799" s="86" t="n">
        <x:v>797</x:v>
      </x:c>
      <x:c r="B799" s="88" t="str">
        <x:v>Sale/Event</x:v>
      </x:c>
      <x:c r="C799" s="88" t="str">
        <x:v>Winter 24M Omega sale</x:v>
      </x:c>
      <x:c r="D799" s="88" t="n">
        <x:v>24</x:v>
      </x:c>
      <x:c r="E799" s="88" t="n">
        <x:v>1</x:v>
      </x:c>
      <x:c r="F799" s="88" t="str">
        <x:v>No MCT</x:v>
      </x:c>
      <x:c r="G799" s="88" t="str">
        <x:v>NES 3-for-2 extractor sale</x:v>
      </x:c>
      <x:c r="H799" s="87" t="n">
        <x:f>'01 Base Costs'!$B$29</x:f>
        <x:v>5280</x:v>
      </x:c>
      <x:c r="I799" s="87" t="n">
        <x:f>0</x:f>
        <x:v>0</x:v>
      </x:c>
      <x:c r="J799" s="87" t="n">
        <x:f>0</x:f>
        <x:v>0</x:v>
      </x:c>
      <x:c r="K799" s="87" t="n">
        <x:f>D799*(E799-1)*I799</x:f>
        <x:v>0</x:v>
      </x:c>
      <x:c r="L799" s="87" t="n">
        <x:f>D799*(E799-1)*J799</x:f>
        <x:v>0</x:v>
      </x:c>
      <x:c r="M799" s="87" t="n">
        <x:f>0</x:f>
        <x:v>0</x:v>
      </x:c>
      <x:c r="N799" s="87" t="n">
        <x:f>H799+K799+M799</x:f>
        <x:v>5280</x:v>
      </x:c>
      <x:c r="O799" s="87" t="n">
        <x:f>N799*'01 Base Costs'!$B$7+L799</x:f>
        <x:v>25396800000</x:v>
      </x:c>
      <x:c r="P799" s="87" t="n">
        <x:f>D799*E799</x:f>
        <x:v>24</x:v>
      </x:c>
      <x:c r="Q799" s="87" t="n">
        <x:f>P799*'01 Base Costs'!$B$12</x:f>
        <x:v>46656000</x:v>
      </x:c>
      <x:c r="R799" s="87" t="n">
        <x:f>0</x:f>
        <x:v>0</x:v>
      </x:c>
      <x:c r="S799" s="87" t="n">
        <x:f>Q799+R799</x:f>
        <x:v>46656000</x:v>
      </x:c>
      <x:c r="T799" s="141" t="n">
        <x:f>S799/'01 Base Costs'!$B$14</x:f>
        <x:v>93.312</x:v>
      </x:c>
      <x:c r="U799" s="87" t="n">
        <x:f>INT(T799)</x:f>
        <x:v>93</x:v>
      </x:c>
      <x:c r="V799" s="87" t="n">
        <x:f>S799-U799*'01 Base Costs'!$B$14</x:f>
        <x:v>156000</x:v>
      </x:c>
      <x:c r="W799" s="120" t="n">
        <x:f>'01 Base Costs'!$B$17*2/3</x:f>
        <x:v>93.33333333333333</x:v>
      </x:c>
      <x:c r="X799" s="120" t="n">
        <x:f>0</x:f>
        <x:v>0</x:v>
      </x:c>
      <x:c r="Y799" s="87" t="n">
        <x:f>T799*(W799*'01 Base Costs'!$B$7+X799)</x:f>
        <x:v>41890867200</x:v>
      </x:c>
      <x:c r="Z799" s="87" t="n">
        <x:f>T799*'01 Base Costs'!$B$8</x:f>
        <x:v>70254604800</x:v>
      </x:c>
      <x:c r="AA799" s="87" t="n">
        <x:f>Z799*'01 Base Costs'!$B$11</x:f>
        <x:v>3512730240</x:v>
      </x:c>
      <x:c r="AB799" s="87" t="n">
        <x:f>Z799-AA799</x:f>
        <x:v>66741874560</x:v>
      </x:c>
      <x:c r="AC799" s="87" t="n">
        <x:f>O799+Y799</x:f>
        <x:v>67287667200</x:v>
      </x:c>
      <x:c r="AD799" s="87" t="n">
        <x:f>AB799-AC799</x:f>
        <x:v>-545792640</x:v>
      </x:c>
      <x:c r="AE799" s="87" t="n">
        <x:f>AD799/D799</x:f>
        <x:v>-22741360</x:v>
      </x:c>
      <x:c r="AF799" s="87" t="n">
        <x:f>AD799/P799</x:f>
        <x:v>-22741360</x:v>
      </x:c>
      <x:c r="AG799" s="87" t="n">
        <x:f>IF(T799=0,0,AC799/T799/(1-'01 Base Costs'!$B$11))</x:f>
        <x:v>759056963.3961447</x:v>
      </x:c>
      <x:c r="AH799" s="88" t="str">
        <x:f>IF(AD799&gt;0,"PROFIT","LOSS")</x:f>
        <x:v>LOSS</x:v>
      </x:c>
      <x:c r="AI799" s="89" t="str">
        <x:v>Official 24M Omega sale example. One training queue only. Extractor 3-for-2 sale.</x:v>
      </x:c>
    </x:row>
    <x:row r="800">
      <x:c r="A800" s="86" t="n">
        <x:v>798</x:v>
      </x:c>
      <x:c r="B800" s="88" t="str">
        <x:v>Sale/Event</x:v>
      </x:c>
      <x:c r="C800" s="88" t="str">
        <x:v>Winter 24M Omega sale</x:v>
      </x:c>
      <x:c r="D800" s="88" t="n">
        <x:v>24</x:v>
      </x:c>
      <x:c r="E800" s="88" t="n">
        <x:v>1</x:v>
      </x:c>
      <x:c r="F800" s="88" t="str">
        <x:v>No MCT</x:v>
      </x:c>
      <x:c r="G800" s="88" t="str">
        <x:v>NES 2-for-1 extractor sale</x:v>
      </x:c>
      <x:c r="H800" s="87" t="n">
        <x:f>'01 Base Costs'!$B$29</x:f>
        <x:v>5280</x:v>
      </x:c>
      <x:c r="I800" s="87" t="n">
        <x:f>0</x:f>
        <x:v>0</x:v>
      </x:c>
      <x:c r="J800" s="87" t="n">
        <x:f>0</x:f>
        <x:v>0</x:v>
      </x:c>
      <x:c r="K800" s="87" t="n">
        <x:f>D800*(E800-1)*I800</x:f>
        <x:v>0</x:v>
      </x:c>
      <x:c r="L800" s="87" t="n">
        <x:f>D800*(E800-1)*J800</x:f>
        <x:v>0</x:v>
      </x:c>
      <x:c r="M800" s="87" t="n">
        <x:f>0</x:f>
        <x:v>0</x:v>
      </x:c>
      <x:c r="N800" s="87" t="n">
        <x:f>H800+K800+M800</x:f>
        <x:v>5280</x:v>
      </x:c>
      <x:c r="O800" s="87" t="n">
        <x:f>N800*'01 Base Costs'!$B$7+L800</x:f>
        <x:v>25396800000</x:v>
      </x:c>
      <x:c r="P800" s="87" t="n">
        <x:f>D800*E800</x:f>
        <x:v>24</x:v>
      </x:c>
      <x:c r="Q800" s="87" t="n">
        <x:f>P800*'01 Base Costs'!$B$12</x:f>
        <x:v>46656000</x:v>
      </x:c>
      <x:c r="R800" s="87" t="n">
        <x:f>0</x:f>
        <x:v>0</x:v>
      </x:c>
      <x:c r="S800" s="87" t="n">
        <x:f>Q800+R800</x:f>
        <x:v>46656000</x:v>
      </x:c>
      <x:c r="T800" s="141" t="n">
        <x:f>S800/'01 Base Costs'!$B$14</x:f>
        <x:v>93.312</x:v>
      </x:c>
      <x:c r="U800" s="87" t="n">
        <x:f>INT(T800)</x:f>
        <x:v>93</x:v>
      </x:c>
      <x:c r="V800" s="87" t="n">
        <x:f>S800-U800*'01 Base Costs'!$B$14</x:f>
        <x:v>156000</x:v>
      </x:c>
      <x:c r="W800" s="120" t="n">
        <x:f>'01 Base Costs'!$B$17/2</x:f>
        <x:v>70</x:v>
      </x:c>
      <x:c r="X800" s="120" t="n">
        <x:f>0</x:f>
        <x:v>0</x:v>
      </x:c>
      <x:c r="Y800" s="87" t="n">
        <x:f>T800*(W800*'01 Base Costs'!$B$7+X800)</x:f>
        <x:v>31418150400</x:v>
      </x:c>
      <x:c r="Z800" s="87" t="n">
        <x:f>T800*'01 Base Costs'!$B$8</x:f>
        <x:v>70254604800</x:v>
      </x:c>
      <x:c r="AA800" s="87" t="n">
        <x:f>Z800*'01 Base Costs'!$B$11</x:f>
        <x:v>3512730240</x:v>
      </x:c>
      <x:c r="AB800" s="87" t="n">
        <x:f>Z800-AA800</x:f>
        <x:v>66741874560</x:v>
      </x:c>
      <x:c r="AC800" s="87" t="n">
        <x:f>O800+Y800</x:f>
        <x:v>56814950400</x:v>
      </x:c>
      <x:c r="AD800" s="87" t="n">
        <x:f>AB800-AC800</x:f>
        <x:v>9926924160</x:v>
      </x:c>
      <x:c r="AE800" s="87" t="n">
        <x:f>AD800/D800</x:f>
        <x:v>413621840</x:v>
      </x:c>
      <x:c r="AF800" s="87" t="n">
        <x:f>AD800/P800</x:f>
        <x:v>413621840</x:v>
      </x:c>
      <x:c r="AG800" s="87" t="n">
        <x:f>IF(T800=0,0,AC800/T800/(1-'01 Base Costs'!$B$11))</x:f>
        <x:v>640916612.5189518</x:v>
      </x:c>
      <x:c r="AH800" s="88" t="str">
        <x:f>IF(AD800&gt;0,"PROFIT","LOSS")</x:f>
        <x:v>PROFIT</x:v>
      </x:c>
      <x:c r="AI800" s="89" t="str">
        <x:v>Official 24M Omega sale example. One training queue only. Extractor 2-for-1 sale.</x:v>
      </x:c>
    </x:row>
    <x:row r="801">
      <x:c r="A801" s="86" t="n">
        <x:v>799</x:v>
      </x:c>
      <x:c r="B801" s="88" t="str">
        <x:v>Sale/Event</x:v>
      </x:c>
      <x:c r="C801" s="88" t="str">
        <x:v>Winter 24M Omega sale</x:v>
      </x:c>
      <x:c r="D801" s="88" t="n">
        <x:v>24</x:v>
      </x:c>
      <x:c r="E801" s="88" t="n">
        <x:v>1</x:v>
      </x:c>
      <x:c r="F801" s="88" t="str">
        <x:v>No MCT</x:v>
      </x:c>
      <x:c r="G801" s="88" t="str">
        <x:v>NES 10-pack extractor 20% sale</x:v>
      </x:c>
      <x:c r="H801" s="87" t="n">
        <x:f>'01 Base Costs'!$B$29</x:f>
        <x:v>5280</x:v>
      </x:c>
      <x:c r="I801" s="87" t="n">
        <x:f>0</x:f>
        <x:v>0</x:v>
      </x:c>
      <x:c r="J801" s="87" t="n">
        <x:f>0</x:f>
        <x:v>0</x:v>
      </x:c>
      <x:c r="K801" s="87" t="n">
        <x:f>D801*(E801-1)*I801</x:f>
        <x:v>0</x:v>
      </x:c>
      <x:c r="L801" s="87" t="n">
        <x:f>D801*(E801-1)*J801</x:f>
        <x:v>0</x:v>
      </x:c>
      <x:c r="M801" s="87" t="n">
        <x:f>0</x:f>
        <x:v>0</x:v>
      </x:c>
      <x:c r="N801" s="87" t="n">
        <x:f>H801+K801+M801</x:f>
        <x:v>5280</x:v>
      </x:c>
      <x:c r="O801" s="87" t="n">
        <x:f>N801*'01 Base Costs'!$B$7+L801</x:f>
        <x:v>25396800000</x:v>
      </x:c>
      <x:c r="P801" s="87" t="n">
        <x:f>D801*E801</x:f>
        <x:v>24</x:v>
      </x:c>
      <x:c r="Q801" s="87" t="n">
        <x:f>P801*'01 Base Costs'!$B$12</x:f>
        <x:v>46656000</x:v>
      </x:c>
      <x:c r="R801" s="87" t="n">
        <x:f>0</x:f>
        <x:v>0</x:v>
      </x:c>
      <x:c r="S801" s="87" t="n">
        <x:f>Q801+R801</x:f>
        <x:v>46656000</x:v>
      </x:c>
      <x:c r="T801" s="141" t="n">
        <x:f>S801/'01 Base Costs'!$B$14</x:f>
        <x:v>93.312</x:v>
      </x:c>
      <x:c r="U801" s="87" t="n">
        <x:f>INT(T801)</x:f>
        <x:v>93</x:v>
      </x:c>
      <x:c r="V801" s="87" t="n">
        <x:f>S801-U801*'01 Base Costs'!$B$14</x:f>
        <x:v>156000</x:v>
      </x:c>
      <x:c r="W801" s="120" t="n">
        <x:f>'01 Base Costs'!$B$19*0.8/10</x:f>
        <x:v>95.2</x:v>
      </x:c>
      <x:c r="X801" s="120" t="n">
        <x:f>0</x:f>
        <x:v>0</x:v>
      </x:c>
      <x:c r="Y801" s="87" t="n">
        <x:f>T801*(W801*'01 Base Costs'!$B$7+X801)</x:f>
        <x:v>42728684544</x:v>
      </x:c>
      <x:c r="Z801" s="87" t="n">
        <x:f>T801*'01 Base Costs'!$B$8</x:f>
        <x:v>70254604800</x:v>
      </x:c>
      <x:c r="AA801" s="87" t="n">
        <x:f>Z801*'01 Base Costs'!$B$11</x:f>
        <x:v>3512730240</x:v>
      </x:c>
      <x:c r="AB801" s="87" t="n">
        <x:f>Z801-AA801</x:f>
        <x:v>66741874560</x:v>
      </x:c>
      <x:c r="AC801" s="87" t="n">
        <x:f>O801+Y801</x:f>
        <x:v>68125484544</x:v>
      </x:c>
      <x:c r="AD801" s="87" t="n">
        <x:f>AB801-AC801</x:f>
        <x:v>-1383609984</x:v>
      </x:c>
      <x:c r="AE801" s="87" t="n">
        <x:f>AD801/D801</x:f>
        <x:v>-57650416</x:v>
      </x:c>
      <x:c r="AF801" s="87" t="n">
        <x:f>AD801/P801</x:f>
        <x:v>-57650416</x:v>
      </x:c>
      <x:c r="AG801" s="87" t="n">
        <x:f>IF(T801=0,0,AC801/T801/(1-'01 Base Costs'!$B$11))</x:f>
        <x:v>768508191.4663203</x:v>
      </x:c>
      <x:c r="AH801" s="88" t="str">
        <x:f>IF(AD801&gt;0,"PROFIT","LOSS")</x:f>
        <x:v>LOSS</x:v>
      </x:c>
      <x:c r="AI801" s="89" t="str">
        <x:v>Official 24M Omega sale example. One training queue only. 10-pack at 20% off.</x:v>
      </x:c>
    </x:row>
    <x:row r="802">
      <x:c r="A802" s="86" t="n">
        <x:v>800</x:v>
      </x:c>
      <x:c r="B802" s="88" t="str">
        <x:v>Sale/Event</x:v>
      </x:c>
      <x:c r="C802" s="88" t="str">
        <x:v>Winter 24M Omega sale</x:v>
      </x:c>
      <x:c r="D802" s="88" t="n">
        <x:v>24</x:v>
      </x:c>
      <x:c r="E802" s="88" t="n">
        <x:v>1</x:v>
      </x:c>
      <x:c r="F802" s="88" t="str">
        <x:v>No MCT</x:v>
      </x:c>
      <x:c r="G802" s="88" t="str">
        <x:v>NES 50-pack extractor 20% sale</x:v>
      </x:c>
      <x:c r="H802" s="87" t="n">
        <x:f>'01 Base Costs'!$B$29</x:f>
        <x:v>5280</x:v>
      </x:c>
      <x:c r="I802" s="87" t="n">
        <x:f>0</x:f>
        <x:v>0</x:v>
      </x:c>
      <x:c r="J802" s="87" t="n">
        <x:f>0</x:f>
        <x:v>0</x:v>
      </x:c>
      <x:c r="K802" s="87" t="n">
        <x:f>D802*(E802-1)*I802</x:f>
        <x:v>0</x:v>
      </x:c>
      <x:c r="L802" s="87" t="n">
        <x:f>D802*(E802-1)*J802</x:f>
        <x:v>0</x:v>
      </x:c>
      <x:c r="M802" s="87" t="n">
        <x:f>0</x:f>
        <x:v>0</x:v>
      </x:c>
      <x:c r="N802" s="87" t="n">
        <x:f>H802+K802+M802</x:f>
        <x:v>5280</x:v>
      </x:c>
      <x:c r="O802" s="87" t="n">
        <x:f>N802*'01 Base Costs'!$B$7+L802</x:f>
        <x:v>25396800000</x:v>
      </x:c>
      <x:c r="P802" s="87" t="n">
        <x:f>D802*E802</x:f>
        <x:v>24</x:v>
      </x:c>
      <x:c r="Q802" s="87" t="n">
        <x:f>P802*'01 Base Costs'!$B$12</x:f>
        <x:v>46656000</x:v>
      </x:c>
      <x:c r="R802" s="87" t="n">
        <x:f>0</x:f>
        <x:v>0</x:v>
      </x:c>
      <x:c r="S802" s="87" t="n">
        <x:f>Q802+R802</x:f>
        <x:v>46656000</x:v>
      </x:c>
      <x:c r="T802" s="141" t="n">
        <x:f>S802/'01 Base Costs'!$B$14</x:f>
        <x:v>93.312</x:v>
      </x:c>
      <x:c r="U802" s="87" t="n">
        <x:f>INT(T802)</x:f>
        <x:v>93</x:v>
      </x:c>
      <x:c r="V802" s="87" t="n">
        <x:f>S802-U802*'01 Base Costs'!$B$14</x:f>
        <x:v>156000</x:v>
      </x:c>
      <x:c r="W802" s="120" t="n">
        <x:f>'01 Base Costs'!$B$20*0.8/50</x:f>
        <x:v>89.6</x:v>
      </x:c>
      <x:c r="X802" s="120" t="n">
        <x:f>0</x:f>
        <x:v>0</x:v>
      </x:c>
      <x:c r="Y802" s="87" t="n">
        <x:f>T802*(W802*'01 Base Costs'!$B$7+X802)</x:f>
        <x:v>40215232512</x:v>
      </x:c>
      <x:c r="Z802" s="87" t="n">
        <x:f>T802*'01 Base Costs'!$B$8</x:f>
        <x:v>70254604800</x:v>
      </x:c>
      <x:c r="AA802" s="87" t="n">
        <x:f>Z802*'01 Base Costs'!$B$11</x:f>
        <x:v>3512730240</x:v>
      </x:c>
      <x:c r="AB802" s="87" t="n">
        <x:f>Z802-AA802</x:f>
        <x:v>66741874560</x:v>
      </x:c>
      <x:c r="AC802" s="87" t="n">
        <x:f>O802+Y802</x:f>
        <x:v>65612032512</x:v>
      </x:c>
      <x:c r="AD802" s="87" t="n">
        <x:f>AB802-AC802</x:f>
        <x:v>1129842048</x:v>
      </x:c>
      <x:c r="AE802" s="87" t="n">
        <x:f>AD802/D802</x:f>
        <x:v>47076752</x:v>
      </x:c>
      <x:c r="AF802" s="87" t="n">
        <x:f>AD802/P802</x:f>
        <x:v>47076752</x:v>
      </x:c>
      <x:c r="AG802" s="87" t="n">
        <x:f>IF(T802=0,0,AC802/T802/(1-'01 Base Costs'!$B$11))</x:f>
        <x:v>740154507.2557939</x:v>
      </x:c>
      <x:c r="AH802" s="88" t="str">
        <x:f>IF(AD802&gt;0,"PROFIT","LOSS")</x:f>
        <x:v>PROFIT</x:v>
      </x:c>
      <x:c r="AI802" s="89" t="str">
        <x:v>Official 24M Omega sale example. One training queue only. 50-pack at 20% off.</x:v>
      </x:c>
    </x:row>
    <x:row r="803">
      <x:c r="A803" s="86" t="n">
        <x:v>801</x:v>
      </x:c>
      <x:c r="B803" s="88" t="str">
        <x:v>Sale/Event</x:v>
      </x:c>
      <x:c r="C803" s="88" t="str">
        <x:v>Winter 24M Omega sale</x:v>
      </x:c>
      <x:c r="D803" s="88" t="n">
        <x:v>24</x:v>
      </x:c>
      <x:c r="E803" s="88" t="n">
        <x:v>1</x:v>
      </x:c>
      <x:c r="F803" s="88" t="str">
        <x:v>No MCT</x:v>
      </x:c>
      <x:c r="G803" s="88" t="str">
        <x:v>Market Skill Extractor</x:v>
      </x:c>
      <x:c r="H803" s="87" t="n">
        <x:f>'01 Base Costs'!$B$29</x:f>
        <x:v>5280</x:v>
      </x:c>
      <x:c r="I803" s="87" t="n">
        <x:f>0</x:f>
        <x:v>0</x:v>
      </x:c>
      <x:c r="J803" s="87" t="n">
        <x:f>0</x:f>
        <x:v>0</x:v>
      </x:c>
      <x:c r="K803" s="87" t="n">
        <x:f>D803*(E803-1)*I803</x:f>
        <x:v>0</x:v>
      </x:c>
      <x:c r="L803" s="87" t="n">
        <x:f>D803*(E803-1)*J803</x:f>
        <x:v>0</x:v>
      </x:c>
      <x:c r="M803" s="87" t="n">
        <x:f>0</x:f>
        <x:v>0</x:v>
      </x:c>
      <x:c r="N803" s="87" t="n">
        <x:f>H803+K803+M803</x:f>
        <x:v>5280</x:v>
      </x:c>
      <x:c r="O803" s="87" t="n">
        <x:f>N803*'01 Base Costs'!$B$7+L803</x:f>
        <x:v>25396800000</x:v>
      </x:c>
      <x:c r="P803" s="87" t="n">
        <x:f>D803*E803</x:f>
        <x:v>24</x:v>
      </x:c>
      <x:c r="Q803" s="87" t="n">
        <x:f>P803*'01 Base Costs'!$B$12</x:f>
        <x:v>46656000</x:v>
      </x:c>
      <x:c r="R803" s="87" t="n">
        <x:f>0</x:f>
        <x:v>0</x:v>
      </x:c>
      <x:c r="S803" s="87" t="n">
        <x:f>Q803+R803</x:f>
        <x:v>46656000</x:v>
      </x:c>
      <x:c r="T803" s="141" t="n">
        <x:f>S803/'01 Base Costs'!$B$14</x:f>
        <x:v>93.312</x:v>
      </x:c>
      <x:c r="U803" s="87" t="n">
        <x:f>INT(T803)</x:f>
        <x:v>93</x:v>
      </x:c>
      <x:c r="V803" s="87" t="n">
        <x:f>S803-U803*'01 Base Costs'!$B$14</x:f>
        <x:v>156000</x:v>
      </x:c>
      <x:c r="W803" s="120" t="n">
        <x:f>0</x:f>
        <x:v>0</x:v>
      </x:c>
      <x:c r="X803" s="120" t="n">
        <x:f>'01 Base Costs'!$B$9</x:f>
        <x:v>463500000</x:v>
      </x:c>
      <x:c r="Y803" s="87" t="n">
        <x:f>T803*(W803*'01 Base Costs'!$B$7+X803)</x:f>
        <x:v>43250112000</x:v>
      </x:c>
      <x:c r="Z803" s="87" t="n">
        <x:f>T803*'01 Base Costs'!$B$8</x:f>
        <x:v>70254604800</x:v>
      </x:c>
      <x:c r="AA803" s="87" t="n">
        <x:f>Z803*'01 Base Costs'!$B$11</x:f>
        <x:v>3512730240</x:v>
      </x:c>
      <x:c r="AB803" s="87" t="n">
        <x:f>Z803-AA803</x:f>
        <x:v>66741874560</x:v>
      </x:c>
      <x:c r="AC803" s="87" t="n">
        <x:f>O803+Y803</x:f>
        <x:v>68646912000</x:v>
      </x:c>
      <x:c r="AD803" s="87" t="n">
        <x:f>AB803-AC803</x:f>
        <x:v>-1905037440</x:v>
      </x:c>
      <x:c r="AE803" s="87" t="n">
        <x:f>AD803/D803</x:f>
        <x:v>-79376560</x:v>
      </x:c>
      <x:c r="AF803" s="87" t="n">
        <x:f>AD803/P803</x:f>
        <x:v>-79376560</x:v>
      </x:c>
      <x:c r="AG803" s="87" t="n">
        <x:f>IF(T803=0,0,AC803/T803/(1-'01 Base Costs'!$B$11))</x:f>
        <x:v>774390296.7294781</x:v>
      </x:c>
      <x:c r="AH803" s="88" t="str">
        <x:f>IF(AD803&gt;0,"PROFIT","LOSS")</x:f>
        <x:v>LOSS</x:v>
      </x:c>
      <x:c r="AI803" s="89" t="str">
        <x:v>Official 24M Omega sale example. One training queue only. Extractor bought on market with ISK.</x:v>
      </x:c>
    </x:row>
    <x:row r="804">
      <x:c r="A804" s="86" t="n">
        <x:v>802</x:v>
      </x:c>
      <x:c r="B804" s="88" t="str">
        <x:v>Sale/Event</x:v>
      </x:c>
      <x:c r="C804" s="88" t="str">
        <x:v>Winter 24M Omega sale</x:v>
      </x:c>
      <x:c r="D804" s="88" t="n">
        <x:v>24</x:v>
      </x:c>
      <x:c r="E804" s="88" t="n">
        <x:v>2</x:v>
      </x:c>
      <x:c r="F804" s="88" t="str">
        <x:v>NES base MCT</x:v>
      </x:c>
      <x:c r="G804" s="88" t="str">
        <x:v>NES single extractor</x:v>
      </x:c>
      <x:c r="H804" s="87" t="n">
        <x:f>'01 Base Costs'!$B$29</x:f>
        <x:v>5280</x:v>
      </x:c>
      <x:c r="I804" s="87" t="n">
        <x:f>'01 Base Costs'!$B$16</x:f>
        <x:v>485</x:v>
      </x:c>
      <x:c r="J804" s="87" t="n">
        <x:f>0</x:f>
        <x:v>0</x:v>
      </x:c>
      <x:c r="K804" s="87" t="n">
        <x:f>D804*(E804-1)*I804</x:f>
        <x:v>11640</x:v>
      </x:c>
      <x:c r="L804" s="87" t="n">
        <x:f>D804*(E804-1)*J804</x:f>
        <x:v>0</x:v>
      </x:c>
      <x:c r="M804" s="87" t="n">
        <x:f>0</x:f>
        <x:v>0</x:v>
      </x:c>
      <x:c r="N804" s="87" t="n">
        <x:f>H804+K804+M804</x:f>
        <x:v>16920</x:v>
      </x:c>
      <x:c r="O804" s="87" t="n">
        <x:f>N804*'01 Base Costs'!$B$7+L804</x:f>
        <x:v>81385200000</x:v>
      </x:c>
      <x:c r="P804" s="87" t="n">
        <x:f>D804*E804</x:f>
        <x:v>48</x:v>
      </x:c>
      <x:c r="Q804" s="87" t="n">
        <x:f>P804*'01 Base Costs'!$B$12</x:f>
        <x:v>93312000</x:v>
      </x:c>
      <x:c r="R804" s="87" t="n">
        <x:f>0</x:f>
        <x:v>0</x:v>
      </x:c>
      <x:c r="S804" s="87" t="n">
        <x:f>Q804+R804</x:f>
        <x:v>93312000</x:v>
      </x:c>
      <x:c r="T804" s="141" t="n">
        <x:f>S804/'01 Base Costs'!$B$14</x:f>
        <x:v>186.624</x:v>
      </x:c>
      <x:c r="U804" s="87" t="n">
        <x:f>INT(T804)</x:f>
        <x:v>186</x:v>
      </x:c>
      <x:c r="V804" s="87" t="n">
        <x:f>S804-U804*'01 Base Costs'!$B$14</x:f>
        <x:v>312000</x:v>
      </x:c>
      <x:c r="W804" s="120" t="n">
        <x:f>'01 Base Costs'!$B$17</x:f>
        <x:v>140</x:v>
      </x:c>
      <x:c r="X804" s="120" t="n">
        <x:f>0</x:f>
        <x:v>0</x:v>
      </x:c>
      <x:c r="Y804" s="87" t="n">
        <x:f>T804*(W804*'01 Base Costs'!$B$7+X804)</x:f>
        <x:v>125672601600</x:v>
      </x:c>
      <x:c r="Z804" s="87" t="n">
        <x:f>T804*'01 Base Costs'!$B$8</x:f>
        <x:v>140509209600</x:v>
      </x:c>
      <x:c r="AA804" s="87" t="n">
        <x:f>Z804*'01 Base Costs'!$B$11</x:f>
        <x:v>7025460480</x:v>
      </x:c>
      <x:c r="AB804" s="87" t="n">
        <x:f>Z804-AA804</x:f>
        <x:v>133483749120</x:v>
      </x:c>
      <x:c r="AC804" s="87" t="n">
        <x:f>O804+Y804</x:f>
        <x:v>207057801600</x:v>
      </x:c>
      <x:c r="AD804" s="87" t="n">
        <x:f>AB804-AC804</x:f>
        <x:v>-73574052480</x:v>
      </x:c>
      <x:c r="AE804" s="87" t="n">
        <x:f>AD804/D804</x:f>
        <x:v>-3065585520</x:v>
      </x:c>
      <x:c r="AF804" s="87" t="n">
        <x:f>AD804/P804</x:f>
        <x:v>-1532792760</x:v>
      </x:c>
      <x:c r="AG804" s="87" t="n">
        <x:f>IF(T804=0,0,AC804/T804/(1-'01 Base Costs'!$B$11))</x:f>
        <x:v>1167886127.3554258</x:v>
      </x:c>
      <x:c r="AH804" s="88" t="str">
        <x:f>IF(AD804&gt;0,"PROFIT","LOSS")</x:f>
        <x:v>LOSS</x:v>
      </x:c>
      <x:c r="AI804" s="89" t="str">
        <x:v>Official 24M Omega sale example. MCT purchased with PLEX in NES. Base single extractor.</x:v>
      </x:c>
    </x:row>
    <x:row r="805">
      <x:c r="A805" s="86" t="n">
        <x:v>803</x:v>
      </x:c>
      <x:c r="B805" s="88" t="str">
        <x:v>Sale/Event</x:v>
      </x:c>
      <x:c r="C805" s="88" t="str">
        <x:v>Winter 24M Omega sale</x:v>
      </x:c>
      <x:c r="D805" s="88" t="n">
        <x:v>24</x:v>
      </x:c>
      <x:c r="E805" s="88" t="n">
        <x:v>2</x:v>
      </x:c>
      <x:c r="F805" s="88" t="str">
        <x:v>NES base MCT</x:v>
      </x:c>
      <x:c r="G805" s="88" t="str">
        <x:v>NES 5-pack extractor</x:v>
      </x:c>
      <x:c r="H805" s="87" t="n">
        <x:f>'01 Base Costs'!$B$29</x:f>
        <x:v>5280</x:v>
      </x:c>
      <x:c r="I805" s="87" t="n">
        <x:f>'01 Base Costs'!$B$16</x:f>
        <x:v>485</x:v>
      </x:c>
      <x:c r="J805" s="87" t="n">
        <x:f>0</x:f>
        <x:v>0</x:v>
      </x:c>
      <x:c r="K805" s="87" t="n">
        <x:f>D805*(E805-1)*I805</x:f>
        <x:v>11640</x:v>
      </x:c>
      <x:c r="L805" s="87" t="n">
        <x:f>D805*(E805-1)*J805</x:f>
        <x:v>0</x:v>
      </x:c>
      <x:c r="M805" s="87" t="n">
        <x:f>0</x:f>
        <x:v>0</x:v>
      </x:c>
      <x:c r="N805" s="87" t="n">
        <x:f>H805+K805+M805</x:f>
        <x:v>16920</x:v>
      </x:c>
      <x:c r="O805" s="87" t="n">
        <x:f>N805*'01 Base Costs'!$B$7+L805</x:f>
        <x:v>81385200000</x:v>
      </x:c>
      <x:c r="P805" s="87" t="n">
        <x:f>D805*E805</x:f>
        <x:v>48</x:v>
      </x:c>
      <x:c r="Q805" s="87" t="n">
        <x:f>P805*'01 Base Costs'!$B$12</x:f>
        <x:v>93312000</x:v>
      </x:c>
      <x:c r="R805" s="87" t="n">
        <x:f>0</x:f>
        <x:v>0</x:v>
      </x:c>
      <x:c r="S805" s="87" t="n">
        <x:f>Q805+R805</x:f>
        <x:v>93312000</x:v>
      </x:c>
      <x:c r="T805" s="141" t="n">
        <x:f>S805/'01 Base Costs'!$B$14</x:f>
        <x:v>186.624</x:v>
      </x:c>
      <x:c r="U805" s="87" t="n">
        <x:f>INT(T805)</x:f>
        <x:v>186</x:v>
      </x:c>
      <x:c r="V805" s="87" t="n">
        <x:f>S805-U805*'01 Base Costs'!$B$14</x:f>
        <x:v>312000</x:v>
      </x:c>
      <x:c r="W805" s="120" t="n">
        <x:f>'01 Base Costs'!$B$18/5</x:f>
        <x:v>126</x:v>
      </x:c>
      <x:c r="X805" s="120" t="n">
        <x:f>0</x:f>
        <x:v>0</x:v>
      </x:c>
      <x:c r="Y805" s="87" t="n">
        <x:f>T805*(W805*'01 Base Costs'!$B$7+X805)</x:f>
        <x:v>113105341440</x:v>
      </x:c>
      <x:c r="Z805" s="87" t="n">
        <x:f>T805*'01 Base Costs'!$B$8</x:f>
        <x:v>140509209600</x:v>
      </x:c>
      <x:c r="AA805" s="87" t="n">
        <x:f>Z805*'01 Base Costs'!$B$11</x:f>
        <x:v>7025460480</x:v>
      </x:c>
      <x:c r="AB805" s="87" t="n">
        <x:f>Z805-AA805</x:f>
        <x:v>133483749120</x:v>
      </x:c>
      <x:c r="AC805" s="87" t="n">
        <x:f>O805+Y805</x:f>
        <x:v>194490541440</x:v>
      </x:c>
      <x:c r="AD805" s="87" t="n">
        <x:f>AB805-AC805</x:f>
        <x:v>-61006792320</x:v>
      </x:c>
      <x:c r="AE805" s="87" t="n">
        <x:f>AD805/D805</x:f>
        <x:v>-2541949680</x:v>
      </x:c>
      <x:c r="AF805" s="87" t="n">
        <x:f>AD805/P805</x:f>
        <x:v>-1270974840</x:v>
      </x:c>
      <x:c r="AG805" s="87" t="n">
        <x:f>IF(T805=0,0,AC805/T805/(1-'01 Base Costs'!$B$11))</x:f>
        <x:v>1097001916.82911</x:v>
      </x:c>
      <x:c r="AH805" s="88" t="str">
        <x:f>IF(AD805&gt;0,"PROFIT","LOSS")</x:f>
        <x:v>LOSS</x:v>
      </x:c>
      <x:c r="AI805" s="89" t="str">
        <x:v>Official 24M Omega sale example. MCT purchased with PLEX in NES. Base 5-pack average.</x:v>
      </x:c>
    </x:row>
    <x:row r="806">
      <x:c r="A806" s="86" t="n">
        <x:v>804</x:v>
      </x:c>
      <x:c r="B806" s="88" t="str">
        <x:v>Sale/Event</x:v>
      </x:c>
      <x:c r="C806" s="88" t="str">
        <x:v>Winter 24M Omega sale</x:v>
      </x:c>
      <x:c r="D806" s="88" t="n">
        <x:v>24</x:v>
      </x:c>
      <x:c r="E806" s="88" t="n">
        <x:v>2</x:v>
      </x:c>
      <x:c r="F806" s="88" t="str">
        <x:v>NES base MCT</x:v>
      </x:c>
      <x:c r="G806" s="88" t="str">
        <x:v>NES 10-pack extractor</x:v>
      </x:c>
      <x:c r="H806" s="87" t="n">
        <x:f>'01 Base Costs'!$B$29</x:f>
        <x:v>5280</x:v>
      </x:c>
      <x:c r="I806" s="87" t="n">
        <x:f>'01 Base Costs'!$B$16</x:f>
        <x:v>485</x:v>
      </x:c>
      <x:c r="J806" s="87" t="n">
        <x:f>0</x:f>
        <x:v>0</x:v>
      </x:c>
      <x:c r="K806" s="87" t="n">
        <x:f>D806*(E806-1)*I806</x:f>
        <x:v>11640</x:v>
      </x:c>
      <x:c r="L806" s="87" t="n">
        <x:f>D806*(E806-1)*J806</x:f>
        <x:v>0</x:v>
      </x:c>
      <x:c r="M806" s="87" t="n">
        <x:f>0</x:f>
        <x:v>0</x:v>
      </x:c>
      <x:c r="N806" s="87" t="n">
        <x:f>H806+K806+M806</x:f>
        <x:v>16920</x:v>
      </x:c>
      <x:c r="O806" s="87" t="n">
        <x:f>N806*'01 Base Costs'!$B$7+L806</x:f>
        <x:v>81385200000</x:v>
      </x:c>
      <x:c r="P806" s="87" t="n">
        <x:f>D806*E806</x:f>
        <x:v>48</x:v>
      </x:c>
      <x:c r="Q806" s="87" t="n">
        <x:f>P806*'01 Base Costs'!$B$12</x:f>
        <x:v>93312000</x:v>
      </x:c>
      <x:c r="R806" s="87" t="n">
        <x:f>0</x:f>
        <x:v>0</x:v>
      </x:c>
      <x:c r="S806" s="87" t="n">
        <x:f>Q806+R806</x:f>
        <x:v>93312000</x:v>
      </x:c>
      <x:c r="T806" s="141" t="n">
        <x:f>S806/'01 Base Costs'!$B$14</x:f>
        <x:v>186.624</x:v>
      </x:c>
      <x:c r="U806" s="87" t="n">
        <x:f>INT(T806)</x:f>
        <x:v>186</x:v>
      </x:c>
      <x:c r="V806" s="87" t="n">
        <x:f>S806-U806*'01 Base Costs'!$B$14</x:f>
        <x:v>312000</x:v>
      </x:c>
      <x:c r="W806" s="120" t="n">
        <x:f>'01 Base Costs'!$B$19/10</x:f>
        <x:v>119</x:v>
      </x:c>
      <x:c r="X806" s="120" t="n">
        <x:f>0</x:f>
        <x:v>0</x:v>
      </x:c>
      <x:c r="Y806" s="87" t="n">
        <x:f>T806*(W806*'01 Base Costs'!$B$7+X806)</x:f>
        <x:v>106821711360</x:v>
      </x:c>
      <x:c r="Z806" s="87" t="n">
        <x:f>T806*'01 Base Costs'!$B$8</x:f>
        <x:v>140509209600</x:v>
      </x:c>
      <x:c r="AA806" s="87" t="n">
        <x:f>Z806*'01 Base Costs'!$B$11</x:f>
        <x:v>7025460480</x:v>
      </x:c>
      <x:c r="AB806" s="87" t="n">
        <x:f>Z806-AA806</x:f>
        <x:v>133483749120</x:v>
      </x:c>
      <x:c r="AC806" s="87" t="n">
        <x:f>O806+Y806</x:f>
        <x:v>188206911360</x:v>
      </x:c>
      <x:c r="AD806" s="87" t="n">
        <x:f>AB806-AC806</x:f>
        <x:v>-54723162240</x:v>
      </x:c>
      <x:c r="AE806" s="87" t="n">
        <x:f>AD806/D806</x:f>
        <x:v>-2280131760</x:v>
      </x:c>
      <x:c r="AF806" s="87" t="n">
        <x:f>AD806/P806</x:f>
        <x:v>-1140065880</x:v>
      </x:c>
      <x:c r="AG806" s="87" t="n">
        <x:f>IF(T806=0,0,AC806/T806/(1-'01 Base Costs'!$B$11))</x:f>
        <x:v>1061559811.565952</x:v>
      </x:c>
      <x:c r="AH806" s="88" t="str">
        <x:f>IF(AD806&gt;0,"PROFIT","LOSS")</x:f>
        <x:v>LOSS</x:v>
      </x:c>
      <x:c r="AI806" s="89" t="str">
        <x:v>Official 24M Omega sale example. MCT purchased with PLEX in NES. Base 10-pack average.</x:v>
      </x:c>
    </x:row>
    <x:row r="807">
      <x:c r="A807" s="86" t="n">
        <x:v>805</x:v>
      </x:c>
      <x:c r="B807" s="88" t="str">
        <x:v>Sale/Event</x:v>
      </x:c>
      <x:c r="C807" s="88" t="str">
        <x:v>Winter 24M Omega sale</x:v>
      </x:c>
      <x:c r="D807" s="88" t="n">
        <x:v>24</x:v>
      </x:c>
      <x:c r="E807" s="88" t="n">
        <x:v>2</x:v>
      </x:c>
      <x:c r="F807" s="88" t="str">
        <x:v>NES base MCT</x:v>
      </x:c>
      <x:c r="G807" s="88" t="str">
        <x:v>NES 50-pack extractor</x:v>
      </x:c>
      <x:c r="H807" s="87" t="n">
        <x:f>'01 Base Costs'!$B$29</x:f>
        <x:v>5280</x:v>
      </x:c>
      <x:c r="I807" s="87" t="n">
        <x:f>'01 Base Costs'!$B$16</x:f>
        <x:v>485</x:v>
      </x:c>
      <x:c r="J807" s="87" t="n">
        <x:f>0</x:f>
        <x:v>0</x:v>
      </x:c>
      <x:c r="K807" s="87" t="n">
        <x:f>D807*(E807-1)*I807</x:f>
        <x:v>11640</x:v>
      </x:c>
      <x:c r="L807" s="87" t="n">
        <x:f>D807*(E807-1)*J807</x:f>
        <x:v>0</x:v>
      </x:c>
      <x:c r="M807" s="87" t="n">
        <x:f>0</x:f>
        <x:v>0</x:v>
      </x:c>
      <x:c r="N807" s="87" t="n">
        <x:f>H807+K807+M807</x:f>
        <x:v>16920</x:v>
      </x:c>
      <x:c r="O807" s="87" t="n">
        <x:f>N807*'01 Base Costs'!$B$7+L807</x:f>
        <x:v>81385200000</x:v>
      </x:c>
      <x:c r="P807" s="87" t="n">
        <x:f>D807*E807</x:f>
        <x:v>48</x:v>
      </x:c>
      <x:c r="Q807" s="87" t="n">
        <x:f>P807*'01 Base Costs'!$B$12</x:f>
        <x:v>93312000</x:v>
      </x:c>
      <x:c r="R807" s="87" t="n">
        <x:f>0</x:f>
        <x:v>0</x:v>
      </x:c>
      <x:c r="S807" s="87" t="n">
        <x:f>Q807+R807</x:f>
        <x:v>93312000</x:v>
      </x:c>
      <x:c r="T807" s="141" t="n">
        <x:f>S807/'01 Base Costs'!$B$14</x:f>
        <x:v>186.624</x:v>
      </x:c>
      <x:c r="U807" s="87" t="n">
        <x:f>INT(T807)</x:f>
        <x:v>186</x:v>
      </x:c>
      <x:c r="V807" s="87" t="n">
        <x:f>S807-U807*'01 Base Costs'!$B$14</x:f>
        <x:v>312000</x:v>
      </x:c>
      <x:c r="W807" s="120" t="n">
        <x:f>'01 Base Costs'!$B$20/50</x:f>
        <x:v>112</x:v>
      </x:c>
      <x:c r="X807" s="120" t="n">
        <x:f>0</x:f>
        <x:v>0</x:v>
      </x:c>
      <x:c r="Y807" s="87" t="n">
        <x:f>T807*(W807*'01 Base Costs'!$B$7+X807)</x:f>
        <x:v>100538081280</x:v>
      </x:c>
      <x:c r="Z807" s="87" t="n">
        <x:f>T807*'01 Base Costs'!$B$8</x:f>
        <x:v>140509209600</x:v>
      </x:c>
      <x:c r="AA807" s="87" t="n">
        <x:f>Z807*'01 Base Costs'!$B$11</x:f>
        <x:v>7025460480</x:v>
      </x:c>
      <x:c r="AB807" s="87" t="n">
        <x:f>Z807-AA807</x:f>
        <x:v>133483749120</x:v>
      </x:c>
      <x:c r="AC807" s="87" t="n">
        <x:f>O807+Y807</x:f>
        <x:v>181923281280</x:v>
      </x:c>
      <x:c r="AD807" s="87" t="n">
        <x:f>AB807-AC807</x:f>
        <x:v>-48439532160</x:v>
      </x:c>
      <x:c r="AE807" s="87" t="n">
        <x:f>AD807/D807</x:f>
        <x:v>-2018313840</x:v>
      </x:c>
      <x:c r="AF807" s="87" t="n">
        <x:f>AD807/P807</x:f>
        <x:v>-1009156920</x:v>
      </x:c>
      <x:c r="AG807" s="87" t="n">
        <x:f>IF(T807=0,0,AC807/T807/(1-'01 Base Costs'!$B$11))</x:f>
        <x:v>1026117706.3027941</x:v>
      </x:c>
      <x:c r="AH807" s="88" t="str">
        <x:f>IF(AD807&gt;0,"PROFIT","LOSS")</x:f>
        <x:v>LOSS</x:v>
      </x:c>
      <x:c r="AI807" s="89" t="str">
        <x:v>Official 24M Omega sale example. MCT purchased with PLEX in NES. Base 50-pack average.</x:v>
      </x:c>
    </x:row>
    <x:row r="808">
      <x:c r="A808" s="86" t="n">
        <x:v>806</x:v>
      </x:c>
      <x:c r="B808" s="88" t="str">
        <x:v>Sale/Event</x:v>
      </x:c>
      <x:c r="C808" s="88" t="str">
        <x:v>Winter 24M Omega sale</x:v>
      </x:c>
      <x:c r="D808" s="88" t="n">
        <x:v>24</x:v>
      </x:c>
      <x:c r="E808" s="88" t="n">
        <x:v>2</x:v>
      </x:c>
      <x:c r="F808" s="88" t="str">
        <x:v>NES base MCT</x:v>
      </x:c>
      <x:c r="G808" s="88" t="str">
        <x:v>NES 3-for-2 extractor sale</x:v>
      </x:c>
      <x:c r="H808" s="87" t="n">
        <x:f>'01 Base Costs'!$B$29</x:f>
        <x:v>5280</x:v>
      </x:c>
      <x:c r="I808" s="87" t="n">
        <x:f>'01 Base Costs'!$B$16</x:f>
        <x:v>485</x:v>
      </x:c>
      <x:c r="J808" s="87" t="n">
        <x:f>0</x:f>
        <x:v>0</x:v>
      </x:c>
      <x:c r="K808" s="87" t="n">
        <x:f>D808*(E808-1)*I808</x:f>
        <x:v>11640</x:v>
      </x:c>
      <x:c r="L808" s="87" t="n">
        <x:f>D808*(E808-1)*J808</x:f>
        <x:v>0</x:v>
      </x:c>
      <x:c r="M808" s="87" t="n">
        <x:f>0</x:f>
        <x:v>0</x:v>
      </x:c>
      <x:c r="N808" s="87" t="n">
        <x:f>H808+K808+M808</x:f>
        <x:v>16920</x:v>
      </x:c>
      <x:c r="O808" s="87" t="n">
        <x:f>N808*'01 Base Costs'!$B$7+L808</x:f>
        <x:v>81385200000</x:v>
      </x:c>
      <x:c r="P808" s="87" t="n">
        <x:f>D808*E808</x:f>
        <x:v>48</x:v>
      </x:c>
      <x:c r="Q808" s="87" t="n">
        <x:f>P808*'01 Base Costs'!$B$12</x:f>
        <x:v>93312000</x:v>
      </x:c>
      <x:c r="R808" s="87" t="n">
        <x:f>0</x:f>
        <x:v>0</x:v>
      </x:c>
      <x:c r="S808" s="87" t="n">
        <x:f>Q808+R808</x:f>
        <x:v>93312000</x:v>
      </x:c>
      <x:c r="T808" s="141" t="n">
        <x:f>S808/'01 Base Costs'!$B$14</x:f>
        <x:v>186.624</x:v>
      </x:c>
      <x:c r="U808" s="87" t="n">
        <x:f>INT(T808)</x:f>
        <x:v>186</x:v>
      </x:c>
      <x:c r="V808" s="87" t="n">
        <x:f>S808-U808*'01 Base Costs'!$B$14</x:f>
        <x:v>312000</x:v>
      </x:c>
      <x:c r="W808" s="120" t="n">
        <x:f>'01 Base Costs'!$B$17*2/3</x:f>
        <x:v>93.33333333333333</x:v>
      </x:c>
      <x:c r="X808" s="120" t="n">
        <x:f>0</x:f>
        <x:v>0</x:v>
      </x:c>
      <x:c r="Y808" s="87" t="n">
        <x:f>T808*(W808*'01 Base Costs'!$B$7+X808)</x:f>
        <x:v>83781734400</x:v>
      </x:c>
      <x:c r="Z808" s="87" t="n">
        <x:f>T808*'01 Base Costs'!$B$8</x:f>
        <x:v>140509209600</x:v>
      </x:c>
      <x:c r="AA808" s="87" t="n">
        <x:f>Z808*'01 Base Costs'!$B$11</x:f>
        <x:v>7025460480</x:v>
      </x:c>
      <x:c r="AB808" s="87" t="n">
        <x:f>Z808-AA808</x:f>
        <x:v>133483749120</x:v>
      </x:c>
      <x:c r="AC808" s="87" t="n">
        <x:f>O808+Y808</x:f>
        <x:v>165166934400</x:v>
      </x:c>
      <x:c r="AD808" s="87" t="n">
        <x:f>AB808-AC808</x:f>
        <x:v>-31683185280</x:v>
      </x:c>
      <x:c r="AE808" s="87" t="n">
        <x:f>AD808/D808</x:f>
        <x:v>-1320132720</x:v>
      </x:c>
      <x:c r="AF808" s="87" t="n">
        <x:f>AD808/P808</x:f>
        <x:v>-660066360</x:v>
      </x:c>
      <x:c r="AG808" s="87" t="n">
        <x:f>IF(T808=0,0,AC808/T808/(1-'01 Base Costs'!$B$11))</x:f>
        <x:v>931605425.6010398</x:v>
      </x:c>
      <x:c r="AH808" s="88" t="str">
        <x:f>IF(AD808&gt;0,"PROFIT","LOSS")</x:f>
        <x:v>LOSS</x:v>
      </x:c>
      <x:c r="AI808" s="89" t="str">
        <x:v>Official 24M Omega sale example. MCT purchased with PLEX in NES. Extractor 3-for-2 sale.</x:v>
      </x:c>
    </x:row>
    <x:row r="809">
      <x:c r="A809" s="86" t="n">
        <x:v>807</x:v>
      </x:c>
      <x:c r="B809" s="88" t="str">
        <x:v>Sale/Event</x:v>
      </x:c>
      <x:c r="C809" s="88" t="str">
        <x:v>Winter 24M Omega sale</x:v>
      </x:c>
      <x:c r="D809" s="88" t="n">
        <x:v>24</x:v>
      </x:c>
      <x:c r="E809" s="88" t="n">
        <x:v>2</x:v>
      </x:c>
      <x:c r="F809" s="88" t="str">
        <x:v>NES base MCT</x:v>
      </x:c>
      <x:c r="G809" s="88" t="str">
        <x:v>NES 2-for-1 extractor sale</x:v>
      </x:c>
      <x:c r="H809" s="87" t="n">
        <x:f>'01 Base Costs'!$B$29</x:f>
        <x:v>5280</x:v>
      </x:c>
      <x:c r="I809" s="87" t="n">
        <x:f>'01 Base Costs'!$B$16</x:f>
        <x:v>485</x:v>
      </x:c>
      <x:c r="J809" s="87" t="n">
        <x:f>0</x:f>
        <x:v>0</x:v>
      </x:c>
      <x:c r="K809" s="87" t="n">
        <x:f>D809*(E809-1)*I809</x:f>
        <x:v>11640</x:v>
      </x:c>
      <x:c r="L809" s="87" t="n">
        <x:f>D809*(E809-1)*J809</x:f>
        <x:v>0</x:v>
      </x:c>
      <x:c r="M809" s="87" t="n">
        <x:f>0</x:f>
        <x:v>0</x:v>
      </x:c>
      <x:c r="N809" s="87" t="n">
        <x:f>H809+K809+M809</x:f>
        <x:v>16920</x:v>
      </x:c>
      <x:c r="O809" s="87" t="n">
        <x:f>N809*'01 Base Costs'!$B$7+L809</x:f>
        <x:v>81385200000</x:v>
      </x:c>
      <x:c r="P809" s="87" t="n">
        <x:f>D809*E809</x:f>
        <x:v>48</x:v>
      </x:c>
      <x:c r="Q809" s="87" t="n">
        <x:f>P809*'01 Base Costs'!$B$12</x:f>
        <x:v>93312000</x:v>
      </x:c>
      <x:c r="R809" s="87" t="n">
        <x:f>0</x:f>
        <x:v>0</x:v>
      </x:c>
      <x:c r="S809" s="87" t="n">
        <x:f>Q809+R809</x:f>
        <x:v>93312000</x:v>
      </x:c>
      <x:c r="T809" s="141" t="n">
        <x:f>S809/'01 Base Costs'!$B$14</x:f>
        <x:v>186.624</x:v>
      </x:c>
      <x:c r="U809" s="87" t="n">
        <x:f>INT(T809)</x:f>
        <x:v>186</x:v>
      </x:c>
      <x:c r="V809" s="87" t="n">
        <x:f>S809-U809*'01 Base Costs'!$B$14</x:f>
        <x:v>312000</x:v>
      </x:c>
      <x:c r="W809" s="120" t="n">
        <x:f>'01 Base Costs'!$B$17/2</x:f>
        <x:v>70</x:v>
      </x:c>
      <x:c r="X809" s="120" t="n">
        <x:f>0</x:f>
        <x:v>0</x:v>
      </x:c>
      <x:c r="Y809" s="87" t="n">
        <x:f>T809*(W809*'01 Base Costs'!$B$7+X809)</x:f>
        <x:v>62836300800</x:v>
      </x:c>
      <x:c r="Z809" s="87" t="n">
        <x:f>T809*'01 Base Costs'!$B$8</x:f>
        <x:v>140509209600</x:v>
      </x:c>
      <x:c r="AA809" s="87" t="n">
        <x:f>Z809*'01 Base Costs'!$B$11</x:f>
        <x:v>7025460480</x:v>
      </x:c>
      <x:c r="AB809" s="87" t="n">
        <x:f>Z809-AA809</x:f>
        <x:v>133483749120</x:v>
      </x:c>
      <x:c r="AC809" s="87" t="n">
        <x:f>O809+Y809</x:f>
        <x:v>144221500800</x:v>
      </x:c>
      <x:c r="AD809" s="87" t="n">
        <x:f>AB809-AC809</x:f>
        <x:v>-10737751680</x:v>
      </x:c>
      <x:c r="AE809" s="87" t="n">
        <x:f>AD809/D809</x:f>
        <x:v>-447406320</x:v>
      </x:c>
      <x:c r="AF809" s="87" t="n">
        <x:f>AD809/P809</x:f>
        <x:v>-223703160</x:v>
      </x:c>
      <x:c r="AG809" s="87" t="n">
        <x:f>IF(T809=0,0,AC809/T809/(1-'01 Base Costs'!$B$11))</x:f>
        <x:v>813465074.7238467</x:v>
      </x:c>
      <x:c r="AH809" s="88" t="str">
        <x:f>IF(AD809&gt;0,"PROFIT","LOSS")</x:f>
        <x:v>LOSS</x:v>
      </x:c>
      <x:c r="AI809" s="89" t="str">
        <x:v>Official 24M Omega sale example. MCT purchased with PLEX in NES. Extractor 2-for-1 sale.</x:v>
      </x:c>
    </x:row>
    <x:row r="810">
      <x:c r="A810" s="86" t="n">
        <x:v>808</x:v>
      </x:c>
      <x:c r="B810" s="88" t="str">
        <x:v>Sale/Event</x:v>
      </x:c>
      <x:c r="C810" s="88" t="str">
        <x:v>Winter 24M Omega sale</x:v>
      </x:c>
      <x:c r="D810" s="88" t="n">
        <x:v>24</x:v>
      </x:c>
      <x:c r="E810" s="88" t="n">
        <x:v>2</x:v>
      </x:c>
      <x:c r="F810" s="88" t="str">
        <x:v>NES base MCT</x:v>
      </x:c>
      <x:c r="G810" s="88" t="str">
        <x:v>NES 10-pack extractor 20% sale</x:v>
      </x:c>
      <x:c r="H810" s="87" t="n">
        <x:f>'01 Base Costs'!$B$29</x:f>
        <x:v>5280</x:v>
      </x:c>
      <x:c r="I810" s="87" t="n">
        <x:f>'01 Base Costs'!$B$16</x:f>
        <x:v>485</x:v>
      </x:c>
      <x:c r="J810" s="87" t="n">
        <x:f>0</x:f>
        <x:v>0</x:v>
      </x:c>
      <x:c r="K810" s="87" t="n">
        <x:f>D810*(E810-1)*I810</x:f>
        <x:v>11640</x:v>
      </x:c>
      <x:c r="L810" s="87" t="n">
        <x:f>D810*(E810-1)*J810</x:f>
        <x:v>0</x:v>
      </x:c>
      <x:c r="M810" s="87" t="n">
        <x:f>0</x:f>
        <x:v>0</x:v>
      </x:c>
      <x:c r="N810" s="87" t="n">
        <x:f>H810+K810+M810</x:f>
        <x:v>16920</x:v>
      </x:c>
      <x:c r="O810" s="87" t="n">
        <x:f>N810*'01 Base Costs'!$B$7+L810</x:f>
        <x:v>81385200000</x:v>
      </x:c>
      <x:c r="P810" s="87" t="n">
        <x:f>D810*E810</x:f>
        <x:v>48</x:v>
      </x:c>
      <x:c r="Q810" s="87" t="n">
        <x:f>P810*'01 Base Costs'!$B$12</x:f>
        <x:v>93312000</x:v>
      </x:c>
      <x:c r="R810" s="87" t="n">
        <x:f>0</x:f>
        <x:v>0</x:v>
      </x:c>
      <x:c r="S810" s="87" t="n">
        <x:f>Q810+R810</x:f>
        <x:v>93312000</x:v>
      </x:c>
      <x:c r="T810" s="141" t="n">
        <x:f>S810/'01 Base Costs'!$B$14</x:f>
        <x:v>186.624</x:v>
      </x:c>
      <x:c r="U810" s="87" t="n">
        <x:f>INT(T810)</x:f>
        <x:v>186</x:v>
      </x:c>
      <x:c r="V810" s="87" t="n">
        <x:f>S810-U810*'01 Base Costs'!$B$14</x:f>
        <x:v>312000</x:v>
      </x:c>
      <x:c r="W810" s="120" t="n">
        <x:f>'01 Base Costs'!$B$19*0.8/10</x:f>
        <x:v>95.2</x:v>
      </x:c>
      <x:c r="X810" s="120" t="n">
        <x:f>0</x:f>
        <x:v>0</x:v>
      </x:c>
      <x:c r="Y810" s="87" t="n">
        <x:f>T810*(W810*'01 Base Costs'!$B$7+X810)</x:f>
        <x:v>85457369088</x:v>
      </x:c>
      <x:c r="Z810" s="87" t="n">
        <x:f>T810*'01 Base Costs'!$B$8</x:f>
        <x:v>140509209600</x:v>
      </x:c>
      <x:c r="AA810" s="87" t="n">
        <x:f>Z810*'01 Base Costs'!$B$11</x:f>
        <x:v>7025460480</x:v>
      </x:c>
      <x:c r="AB810" s="87" t="n">
        <x:f>Z810-AA810</x:f>
        <x:v>133483749120</x:v>
      </x:c>
      <x:c r="AC810" s="87" t="n">
        <x:f>O810+Y810</x:f>
        <x:v>166842569088</x:v>
      </x:c>
      <x:c r="AD810" s="87" t="n">
        <x:f>AB810-AC810</x:f>
        <x:v>-33358819968</x:v>
      </x:c>
      <x:c r="AE810" s="87" t="n">
        <x:f>AD810/D810</x:f>
        <x:v>-1389950832</x:v>
      </x:c>
      <x:c r="AF810" s="87" t="n">
        <x:f>AD810/P810</x:f>
        <x:v>-694975416</x:v>
      </x:c>
      <x:c r="AG810" s="87" t="n">
        <x:f>IF(T810=0,0,AC810/T810/(1-'01 Base Costs'!$B$11))</x:f>
        <x:v>941056653.6712152</x:v>
      </x:c>
      <x:c r="AH810" s="88" t="str">
        <x:f>IF(AD810&gt;0,"PROFIT","LOSS")</x:f>
        <x:v>LOSS</x:v>
      </x:c>
      <x:c r="AI810" s="89" t="str">
        <x:v>Official 24M Omega sale example. MCT purchased with PLEX in NES. 10-pack at 20% off.</x:v>
      </x:c>
    </x:row>
    <x:row r="811">
      <x:c r="A811" s="86" t="n">
        <x:v>809</x:v>
      </x:c>
      <x:c r="B811" s="88" t="str">
        <x:v>Sale/Event</x:v>
      </x:c>
      <x:c r="C811" s="88" t="str">
        <x:v>Winter 24M Omega sale</x:v>
      </x:c>
      <x:c r="D811" s="88" t="n">
        <x:v>24</x:v>
      </x:c>
      <x:c r="E811" s="88" t="n">
        <x:v>2</x:v>
      </x:c>
      <x:c r="F811" s="88" t="str">
        <x:v>NES base MCT</x:v>
      </x:c>
      <x:c r="G811" s="88" t="str">
        <x:v>NES 50-pack extractor 20% sale</x:v>
      </x:c>
      <x:c r="H811" s="87" t="n">
        <x:f>'01 Base Costs'!$B$29</x:f>
        <x:v>5280</x:v>
      </x:c>
      <x:c r="I811" s="87" t="n">
        <x:f>'01 Base Costs'!$B$16</x:f>
        <x:v>485</x:v>
      </x:c>
      <x:c r="J811" s="87" t="n">
        <x:f>0</x:f>
        <x:v>0</x:v>
      </x:c>
      <x:c r="K811" s="87" t="n">
        <x:f>D811*(E811-1)*I811</x:f>
        <x:v>11640</x:v>
      </x:c>
      <x:c r="L811" s="87" t="n">
        <x:f>D811*(E811-1)*J811</x:f>
        <x:v>0</x:v>
      </x:c>
      <x:c r="M811" s="87" t="n">
        <x:f>0</x:f>
        <x:v>0</x:v>
      </x:c>
      <x:c r="N811" s="87" t="n">
        <x:f>H811+K811+M811</x:f>
        <x:v>16920</x:v>
      </x:c>
      <x:c r="O811" s="87" t="n">
        <x:f>N811*'01 Base Costs'!$B$7+L811</x:f>
        <x:v>81385200000</x:v>
      </x:c>
      <x:c r="P811" s="87" t="n">
        <x:f>D811*E811</x:f>
        <x:v>48</x:v>
      </x:c>
      <x:c r="Q811" s="87" t="n">
        <x:f>P811*'01 Base Costs'!$B$12</x:f>
        <x:v>93312000</x:v>
      </x:c>
      <x:c r="R811" s="87" t="n">
        <x:f>0</x:f>
        <x:v>0</x:v>
      </x:c>
      <x:c r="S811" s="87" t="n">
        <x:f>Q811+R811</x:f>
        <x:v>93312000</x:v>
      </x:c>
      <x:c r="T811" s="141" t="n">
        <x:f>S811/'01 Base Costs'!$B$14</x:f>
        <x:v>186.624</x:v>
      </x:c>
      <x:c r="U811" s="87" t="n">
        <x:f>INT(T811)</x:f>
        <x:v>186</x:v>
      </x:c>
      <x:c r="V811" s="87" t="n">
        <x:f>S811-U811*'01 Base Costs'!$B$14</x:f>
        <x:v>312000</x:v>
      </x:c>
      <x:c r="W811" s="120" t="n">
        <x:f>'01 Base Costs'!$B$20*0.8/50</x:f>
        <x:v>89.6</x:v>
      </x:c>
      <x:c r="X811" s="120" t="n">
        <x:f>0</x:f>
        <x:v>0</x:v>
      </x:c>
      <x:c r="Y811" s="87" t="n">
        <x:f>T811*(W811*'01 Base Costs'!$B$7+X811)</x:f>
        <x:v>80430465024</x:v>
      </x:c>
      <x:c r="Z811" s="87" t="n">
        <x:f>T811*'01 Base Costs'!$B$8</x:f>
        <x:v>140509209600</x:v>
      </x:c>
      <x:c r="AA811" s="87" t="n">
        <x:f>Z811*'01 Base Costs'!$B$11</x:f>
        <x:v>7025460480</x:v>
      </x:c>
      <x:c r="AB811" s="87" t="n">
        <x:f>Z811-AA811</x:f>
        <x:v>133483749120</x:v>
      </x:c>
      <x:c r="AC811" s="87" t="n">
        <x:f>O811+Y811</x:f>
        <x:v>161815665024</x:v>
      </x:c>
      <x:c r="AD811" s="87" t="n">
        <x:f>AB811-AC811</x:f>
        <x:v>-28331915904</x:v>
      </x:c>
      <x:c r="AE811" s="87" t="n">
        <x:f>AD811/D811</x:f>
        <x:v>-1180496496</x:v>
      </x:c>
      <x:c r="AF811" s="87" t="n">
        <x:f>AD811/P811</x:f>
        <x:v>-590248248</x:v>
      </x:c>
      <x:c r="AG811" s="87" t="n">
        <x:f>IF(T811=0,0,AC811/T811/(1-'01 Base Costs'!$B$11))</x:f>
        <x:v>912702969.4606888</x:v>
      </x:c>
      <x:c r="AH811" s="88" t="str">
        <x:f>IF(AD811&gt;0,"PROFIT","LOSS")</x:f>
        <x:v>LOSS</x:v>
      </x:c>
      <x:c r="AI811" s="89" t="str">
        <x:v>Official 24M Omega sale example. MCT purchased with PLEX in NES. 50-pack at 20% off.</x:v>
      </x:c>
    </x:row>
    <x:row r="812">
      <x:c r="A812" s="86" t="n">
        <x:v>810</x:v>
      </x:c>
      <x:c r="B812" s="88" t="str">
        <x:v>Sale/Event</x:v>
      </x:c>
      <x:c r="C812" s="88" t="str">
        <x:v>Winter 24M Omega sale</x:v>
      </x:c>
      <x:c r="D812" s="88" t="n">
        <x:v>24</x:v>
      </x:c>
      <x:c r="E812" s="88" t="n">
        <x:v>2</x:v>
      </x:c>
      <x:c r="F812" s="88" t="str">
        <x:v>NES base MCT</x:v>
      </x:c>
      <x:c r="G812" s="88" t="str">
        <x:v>Market Skill Extractor</x:v>
      </x:c>
      <x:c r="H812" s="87" t="n">
        <x:f>'01 Base Costs'!$B$29</x:f>
        <x:v>5280</x:v>
      </x:c>
      <x:c r="I812" s="87" t="n">
        <x:f>'01 Base Costs'!$B$16</x:f>
        <x:v>485</x:v>
      </x:c>
      <x:c r="J812" s="87" t="n">
        <x:f>0</x:f>
        <x:v>0</x:v>
      </x:c>
      <x:c r="K812" s="87" t="n">
        <x:f>D812*(E812-1)*I812</x:f>
        <x:v>11640</x:v>
      </x:c>
      <x:c r="L812" s="87" t="n">
        <x:f>D812*(E812-1)*J812</x:f>
        <x:v>0</x:v>
      </x:c>
      <x:c r="M812" s="87" t="n">
        <x:f>0</x:f>
        <x:v>0</x:v>
      </x:c>
      <x:c r="N812" s="87" t="n">
        <x:f>H812+K812+M812</x:f>
        <x:v>16920</x:v>
      </x:c>
      <x:c r="O812" s="87" t="n">
        <x:f>N812*'01 Base Costs'!$B$7+L812</x:f>
        <x:v>81385200000</x:v>
      </x:c>
      <x:c r="P812" s="87" t="n">
        <x:f>D812*E812</x:f>
        <x:v>48</x:v>
      </x:c>
      <x:c r="Q812" s="87" t="n">
        <x:f>P812*'01 Base Costs'!$B$12</x:f>
        <x:v>93312000</x:v>
      </x:c>
      <x:c r="R812" s="87" t="n">
        <x:f>0</x:f>
        <x:v>0</x:v>
      </x:c>
      <x:c r="S812" s="87" t="n">
        <x:f>Q812+R812</x:f>
        <x:v>93312000</x:v>
      </x:c>
      <x:c r="T812" s="141" t="n">
        <x:f>S812/'01 Base Costs'!$B$14</x:f>
        <x:v>186.624</x:v>
      </x:c>
      <x:c r="U812" s="87" t="n">
        <x:f>INT(T812)</x:f>
        <x:v>186</x:v>
      </x:c>
      <x:c r="V812" s="87" t="n">
        <x:f>S812-U812*'01 Base Costs'!$B$14</x:f>
        <x:v>312000</x:v>
      </x:c>
      <x:c r="W812" s="120" t="n">
        <x:f>0</x:f>
        <x:v>0</x:v>
      </x:c>
      <x:c r="X812" s="120" t="n">
        <x:f>'01 Base Costs'!$B$9</x:f>
        <x:v>463500000</x:v>
      </x:c>
      <x:c r="Y812" s="87" t="n">
        <x:f>T812*(W812*'01 Base Costs'!$B$7+X812)</x:f>
        <x:v>86500224000</x:v>
      </x:c>
      <x:c r="Z812" s="87" t="n">
        <x:f>T812*'01 Base Costs'!$B$8</x:f>
        <x:v>140509209600</x:v>
      </x:c>
      <x:c r="AA812" s="87" t="n">
        <x:f>Z812*'01 Base Costs'!$B$11</x:f>
        <x:v>7025460480</x:v>
      </x:c>
      <x:c r="AB812" s="87" t="n">
        <x:f>Z812-AA812</x:f>
        <x:v>133483749120</x:v>
      </x:c>
      <x:c r="AC812" s="87" t="n">
        <x:f>O812+Y812</x:f>
        <x:v>167885424000</x:v>
      </x:c>
      <x:c r="AD812" s="87" t="n">
        <x:f>AB812-AC812</x:f>
        <x:v>-34401674880</x:v>
      </x:c>
      <x:c r="AE812" s="87" t="n">
        <x:f>AD812/D812</x:f>
        <x:v>-1433403120</x:v>
      </x:c>
      <x:c r="AF812" s="87" t="n">
        <x:f>AD812/P812</x:f>
        <x:v>-716701560</x:v>
      </x:c>
      <x:c r="AG812" s="87" t="n">
        <x:f>IF(T812=0,0,AC812/T812/(1-'01 Base Costs'!$B$11))</x:f>
        <x:v>946938758.934373</x:v>
      </x:c>
      <x:c r="AH812" s="88" t="str">
        <x:f>IF(AD812&gt;0,"PROFIT","LOSS")</x:f>
        <x:v>LOSS</x:v>
      </x:c>
      <x:c r="AI812" s="89" t="str">
        <x:v>Official 24M Omega sale example. MCT purchased with PLEX in NES. Extractor bought on market with ISK.</x:v>
      </x:c>
    </x:row>
    <x:row r="813">
      <x:c r="A813" s="86" t="n">
        <x:v>811</x:v>
      </x:c>
      <x:c r="B813" s="88" t="str">
        <x:v>Sale/Event</x:v>
      </x:c>
      <x:c r="C813" s="88" t="str">
        <x:v>Winter 24M Omega sale</x:v>
      </x:c>
      <x:c r="D813" s="88" t="n">
        <x:v>24</x:v>
      </x:c>
      <x:c r="E813" s="88" t="n">
        <x:v>2</x:v>
      </x:c>
      <x:c r="F813" s="88" t="str">
        <x:v>NES MCT 20% sale</x:v>
      </x:c>
      <x:c r="G813" s="88" t="str">
        <x:v>NES single extractor</x:v>
      </x:c>
      <x:c r="H813" s="87" t="n">
        <x:f>'01 Base Costs'!$B$29</x:f>
        <x:v>5280</x:v>
      </x:c>
      <x:c r="I813" s="87" t="n">
        <x:f>'01 Base Costs'!$B$16*0.8</x:f>
        <x:v>388</x:v>
      </x:c>
      <x:c r="J813" s="87" t="n">
        <x:f>0</x:f>
        <x:v>0</x:v>
      </x:c>
      <x:c r="K813" s="87" t="n">
        <x:f>D813*(E813-1)*I813</x:f>
        <x:v>9312</x:v>
      </x:c>
      <x:c r="L813" s="87" t="n">
        <x:f>D813*(E813-1)*J813</x:f>
        <x:v>0</x:v>
      </x:c>
      <x:c r="M813" s="87" t="n">
        <x:f>0</x:f>
        <x:v>0</x:v>
      </x:c>
      <x:c r="N813" s="87" t="n">
        <x:f>H813+K813+M813</x:f>
        <x:v>14592</x:v>
      </x:c>
      <x:c r="O813" s="87" t="n">
        <x:f>N813*'01 Base Costs'!$B$7+L813</x:f>
        <x:v>70187520000</x:v>
      </x:c>
      <x:c r="P813" s="87" t="n">
        <x:f>D813*E813</x:f>
        <x:v>48</x:v>
      </x:c>
      <x:c r="Q813" s="87" t="n">
        <x:f>P813*'01 Base Costs'!$B$12</x:f>
        <x:v>93312000</x:v>
      </x:c>
      <x:c r="R813" s="87" t="n">
        <x:f>0</x:f>
        <x:v>0</x:v>
      </x:c>
      <x:c r="S813" s="87" t="n">
        <x:f>Q813+R813</x:f>
        <x:v>93312000</x:v>
      </x:c>
      <x:c r="T813" s="141" t="n">
        <x:f>S813/'01 Base Costs'!$B$14</x:f>
        <x:v>186.624</x:v>
      </x:c>
      <x:c r="U813" s="87" t="n">
        <x:f>INT(T813)</x:f>
        <x:v>186</x:v>
      </x:c>
      <x:c r="V813" s="87" t="n">
        <x:f>S813-U813*'01 Base Costs'!$B$14</x:f>
        <x:v>312000</x:v>
      </x:c>
      <x:c r="W813" s="120" t="n">
        <x:f>'01 Base Costs'!$B$17</x:f>
        <x:v>140</x:v>
      </x:c>
      <x:c r="X813" s="120" t="n">
        <x:f>0</x:f>
        <x:v>0</x:v>
      </x:c>
      <x:c r="Y813" s="87" t="n">
        <x:f>T813*(W813*'01 Base Costs'!$B$7+X813)</x:f>
        <x:v>125672601600</x:v>
      </x:c>
      <x:c r="Z813" s="87" t="n">
        <x:f>T813*'01 Base Costs'!$B$8</x:f>
        <x:v>140509209600</x:v>
      </x:c>
      <x:c r="AA813" s="87" t="n">
        <x:f>Z813*'01 Base Costs'!$B$11</x:f>
        <x:v>7025460480</x:v>
      </x:c>
      <x:c r="AB813" s="87" t="n">
        <x:f>Z813-AA813</x:f>
        <x:v>133483749120</x:v>
      </x:c>
      <x:c r="AC813" s="87" t="n">
        <x:f>O813+Y813</x:f>
        <x:v>195860121600</x:v>
      </x:c>
      <x:c r="AD813" s="87" t="n">
        <x:f>AB813-AC813</x:f>
        <x:v>-62376372480</x:v>
      </x:c>
      <x:c r="AE813" s="87" t="n">
        <x:f>AD813/D813</x:f>
        <x:v>-2599015520</x:v>
      </x:c>
      <x:c r="AF813" s="87" t="n">
        <x:f>AD813/P813</x:f>
        <x:v>-1299507760</x:v>
      </x:c>
      <x:c r="AG813" s="87" t="n">
        <x:f>IF(T813=0,0,AC813/T813/(1-'01 Base Costs'!$B$11))</x:f>
        <x:v>1104726878.9257095</x:v>
      </x:c>
      <x:c r="AH813" s="88" t="str">
        <x:f>IF(AD813&gt;0,"PROFIT","LOSS")</x:f>
        <x:v>LOSS</x:v>
      </x:c>
      <x:c r="AI813" s="89" t="str">
        <x:v>Official 24M Omega sale example. MCT sale 20% off. Base single extractor.</x:v>
      </x:c>
    </x:row>
    <x:row r="814">
      <x:c r="A814" s="86" t="n">
        <x:v>812</x:v>
      </x:c>
      <x:c r="B814" s="88" t="str">
        <x:v>Sale/Event</x:v>
      </x:c>
      <x:c r="C814" s="88" t="str">
        <x:v>Winter 24M Omega sale</x:v>
      </x:c>
      <x:c r="D814" s="88" t="n">
        <x:v>24</x:v>
      </x:c>
      <x:c r="E814" s="88" t="n">
        <x:v>2</x:v>
      </x:c>
      <x:c r="F814" s="88" t="str">
        <x:v>NES MCT 20% sale</x:v>
      </x:c>
      <x:c r="G814" s="88" t="str">
        <x:v>NES 5-pack extractor</x:v>
      </x:c>
      <x:c r="H814" s="87" t="n">
        <x:f>'01 Base Costs'!$B$29</x:f>
        <x:v>5280</x:v>
      </x:c>
      <x:c r="I814" s="87" t="n">
        <x:f>'01 Base Costs'!$B$16*0.8</x:f>
        <x:v>388</x:v>
      </x:c>
      <x:c r="J814" s="87" t="n">
        <x:f>0</x:f>
        <x:v>0</x:v>
      </x:c>
      <x:c r="K814" s="87" t="n">
        <x:f>D814*(E814-1)*I814</x:f>
        <x:v>9312</x:v>
      </x:c>
      <x:c r="L814" s="87" t="n">
        <x:f>D814*(E814-1)*J814</x:f>
        <x:v>0</x:v>
      </x:c>
      <x:c r="M814" s="87" t="n">
        <x:f>0</x:f>
        <x:v>0</x:v>
      </x:c>
      <x:c r="N814" s="87" t="n">
        <x:f>H814+K814+M814</x:f>
        <x:v>14592</x:v>
      </x:c>
      <x:c r="O814" s="87" t="n">
        <x:f>N814*'01 Base Costs'!$B$7+L814</x:f>
        <x:v>70187520000</x:v>
      </x:c>
      <x:c r="P814" s="87" t="n">
        <x:f>D814*E814</x:f>
        <x:v>48</x:v>
      </x:c>
      <x:c r="Q814" s="87" t="n">
        <x:f>P814*'01 Base Costs'!$B$12</x:f>
        <x:v>93312000</x:v>
      </x:c>
      <x:c r="R814" s="87" t="n">
        <x:f>0</x:f>
        <x:v>0</x:v>
      </x:c>
      <x:c r="S814" s="87" t="n">
        <x:f>Q814+R814</x:f>
        <x:v>93312000</x:v>
      </x:c>
      <x:c r="T814" s="141" t="n">
        <x:f>S814/'01 Base Costs'!$B$14</x:f>
        <x:v>186.624</x:v>
      </x:c>
      <x:c r="U814" s="87" t="n">
        <x:f>INT(T814)</x:f>
        <x:v>186</x:v>
      </x:c>
      <x:c r="V814" s="87" t="n">
        <x:f>S814-U814*'01 Base Costs'!$B$14</x:f>
        <x:v>312000</x:v>
      </x:c>
      <x:c r="W814" s="120" t="n">
        <x:f>'01 Base Costs'!$B$18/5</x:f>
        <x:v>126</x:v>
      </x:c>
      <x:c r="X814" s="120" t="n">
        <x:f>0</x:f>
        <x:v>0</x:v>
      </x:c>
      <x:c r="Y814" s="87" t="n">
        <x:f>T814*(W814*'01 Base Costs'!$B$7+X814)</x:f>
        <x:v>113105341440</x:v>
      </x:c>
      <x:c r="Z814" s="87" t="n">
        <x:f>T814*'01 Base Costs'!$B$8</x:f>
        <x:v>140509209600</x:v>
      </x:c>
      <x:c r="AA814" s="87" t="n">
        <x:f>Z814*'01 Base Costs'!$B$11</x:f>
        <x:v>7025460480</x:v>
      </x:c>
      <x:c r="AB814" s="87" t="n">
        <x:f>Z814-AA814</x:f>
        <x:v>133483749120</x:v>
      </x:c>
      <x:c r="AC814" s="87" t="n">
        <x:f>O814+Y814</x:f>
        <x:v>183292861440</x:v>
      </x:c>
      <x:c r="AD814" s="87" t="n">
        <x:f>AB814-AC814</x:f>
        <x:v>-49809112320</x:v>
      </x:c>
      <x:c r="AE814" s="87" t="n">
        <x:f>AD814/D814</x:f>
        <x:v>-2075379680</x:v>
      </x:c>
      <x:c r="AF814" s="87" t="n">
        <x:f>AD814/P814</x:f>
        <x:v>-1037689840</x:v>
      </x:c>
      <x:c r="AG814" s="87" t="n">
        <x:f>IF(T814=0,0,AC814/T814/(1-'01 Base Costs'!$B$11))</x:f>
        <x:v>1033842668.3993936</x:v>
      </x:c>
      <x:c r="AH814" s="88" t="str">
        <x:f>IF(AD814&gt;0,"PROFIT","LOSS")</x:f>
        <x:v>LOSS</x:v>
      </x:c>
      <x:c r="AI814" s="89" t="str">
        <x:v>Official 24M Omega sale example. MCT sale 20% off. Base 5-pack average.</x:v>
      </x:c>
    </x:row>
    <x:row r="815">
      <x:c r="A815" s="86" t="n">
        <x:v>813</x:v>
      </x:c>
      <x:c r="B815" s="88" t="str">
        <x:v>Sale/Event</x:v>
      </x:c>
      <x:c r="C815" s="88" t="str">
        <x:v>Winter 24M Omega sale</x:v>
      </x:c>
      <x:c r="D815" s="88" t="n">
        <x:v>24</x:v>
      </x:c>
      <x:c r="E815" s="88" t="n">
        <x:v>2</x:v>
      </x:c>
      <x:c r="F815" s="88" t="str">
        <x:v>NES MCT 20% sale</x:v>
      </x:c>
      <x:c r="G815" s="88" t="str">
        <x:v>NES 10-pack extractor</x:v>
      </x:c>
      <x:c r="H815" s="87" t="n">
        <x:f>'01 Base Costs'!$B$29</x:f>
        <x:v>5280</x:v>
      </x:c>
      <x:c r="I815" s="87" t="n">
        <x:f>'01 Base Costs'!$B$16*0.8</x:f>
        <x:v>388</x:v>
      </x:c>
      <x:c r="J815" s="87" t="n">
        <x:f>0</x:f>
        <x:v>0</x:v>
      </x:c>
      <x:c r="K815" s="87" t="n">
        <x:f>D815*(E815-1)*I815</x:f>
        <x:v>9312</x:v>
      </x:c>
      <x:c r="L815" s="87" t="n">
        <x:f>D815*(E815-1)*J815</x:f>
        <x:v>0</x:v>
      </x:c>
      <x:c r="M815" s="87" t="n">
        <x:f>0</x:f>
        <x:v>0</x:v>
      </x:c>
      <x:c r="N815" s="87" t="n">
        <x:f>H815+K815+M815</x:f>
        <x:v>14592</x:v>
      </x:c>
      <x:c r="O815" s="87" t="n">
        <x:f>N815*'01 Base Costs'!$B$7+L815</x:f>
        <x:v>70187520000</x:v>
      </x:c>
      <x:c r="P815" s="87" t="n">
        <x:f>D815*E815</x:f>
        <x:v>48</x:v>
      </x:c>
      <x:c r="Q815" s="87" t="n">
        <x:f>P815*'01 Base Costs'!$B$12</x:f>
        <x:v>93312000</x:v>
      </x:c>
      <x:c r="R815" s="87" t="n">
        <x:f>0</x:f>
        <x:v>0</x:v>
      </x:c>
      <x:c r="S815" s="87" t="n">
        <x:f>Q815+R815</x:f>
        <x:v>93312000</x:v>
      </x:c>
      <x:c r="T815" s="141" t="n">
        <x:f>S815/'01 Base Costs'!$B$14</x:f>
        <x:v>186.624</x:v>
      </x:c>
      <x:c r="U815" s="87" t="n">
        <x:f>INT(T815)</x:f>
        <x:v>186</x:v>
      </x:c>
      <x:c r="V815" s="87" t="n">
        <x:f>S815-U815*'01 Base Costs'!$B$14</x:f>
        <x:v>312000</x:v>
      </x:c>
      <x:c r="W815" s="120" t="n">
        <x:f>'01 Base Costs'!$B$19/10</x:f>
        <x:v>119</x:v>
      </x:c>
      <x:c r="X815" s="120" t="n">
        <x:f>0</x:f>
        <x:v>0</x:v>
      </x:c>
      <x:c r="Y815" s="87" t="n">
        <x:f>T815*(W815*'01 Base Costs'!$B$7+X815)</x:f>
        <x:v>106821711360</x:v>
      </x:c>
      <x:c r="Z815" s="87" t="n">
        <x:f>T815*'01 Base Costs'!$B$8</x:f>
        <x:v>140509209600</x:v>
      </x:c>
      <x:c r="AA815" s="87" t="n">
        <x:f>Z815*'01 Base Costs'!$B$11</x:f>
        <x:v>7025460480</x:v>
      </x:c>
      <x:c r="AB815" s="87" t="n">
        <x:f>Z815-AA815</x:f>
        <x:v>133483749120</x:v>
      </x:c>
      <x:c r="AC815" s="87" t="n">
        <x:f>O815+Y815</x:f>
        <x:v>177009231360</x:v>
      </x:c>
      <x:c r="AD815" s="87" t="n">
        <x:f>AB815-AC815</x:f>
        <x:v>-43525482240</x:v>
      </x:c>
      <x:c r="AE815" s="87" t="n">
        <x:f>AD815/D815</x:f>
        <x:v>-1813561760</x:v>
      </x:c>
      <x:c r="AF815" s="87" t="n">
        <x:f>AD815/P815</x:f>
        <x:v>-906780880</x:v>
      </x:c>
      <x:c r="AG815" s="87" t="n">
        <x:f>IF(T815=0,0,AC815/T815/(1-'01 Base Costs'!$B$11))</x:f>
        <x:v>998400563.1362357</x:v>
      </x:c>
      <x:c r="AH815" s="88" t="str">
        <x:f>IF(AD815&gt;0,"PROFIT","LOSS")</x:f>
        <x:v>LOSS</x:v>
      </x:c>
      <x:c r="AI815" s="89" t="str">
        <x:v>Official 24M Omega sale example. MCT sale 20% off. Base 10-pack average.</x:v>
      </x:c>
    </x:row>
    <x:row r="816">
      <x:c r="A816" s="86" t="n">
        <x:v>814</x:v>
      </x:c>
      <x:c r="B816" s="88" t="str">
        <x:v>Sale/Event</x:v>
      </x:c>
      <x:c r="C816" s="88" t="str">
        <x:v>Winter 24M Omega sale</x:v>
      </x:c>
      <x:c r="D816" s="88" t="n">
        <x:v>24</x:v>
      </x:c>
      <x:c r="E816" s="88" t="n">
        <x:v>2</x:v>
      </x:c>
      <x:c r="F816" s="88" t="str">
        <x:v>NES MCT 20% sale</x:v>
      </x:c>
      <x:c r="G816" s="88" t="str">
        <x:v>NES 50-pack extractor</x:v>
      </x:c>
      <x:c r="H816" s="87" t="n">
        <x:f>'01 Base Costs'!$B$29</x:f>
        <x:v>5280</x:v>
      </x:c>
      <x:c r="I816" s="87" t="n">
        <x:f>'01 Base Costs'!$B$16*0.8</x:f>
        <x:v>388</x:v>
      </x:c>
      <x:c r="J816" s="87" t="n">
        <x:f>0</x:f>
        <x:v>0</x:v>
      </x:c>
      <x:c r="K816" s="87" t="n">
        <x:f>D816*(E816-1)*I816</x:f>
        <x:v>9312</x:v>
      </x:c>
      <x:c r="L816" s="87" t="n">
        <x:f>D816*(E816-1)*J816</x:f>
        <x:v>0</x:v>
      </x:c>
      <x:c r="M816" s="87" t="n">
        <x:f>0</x:f>
        <x:v>0</x:v>
      </x:c>
      <x:c r="N816" s="87" t="n">
        <x:f>H816+K816+M816</x:f>
        <x:v>14592</x:v>
      </x:c>
      <x:c r="O816" s="87" t="n">
        <x:f>N816*'01 Base Costs'!$B$7+L816</x:f>
        <x:v>70187520000</x:v>
      </x:c>
      <x:c r="P816" s="87" t="n">
        <x:f>D816*E816</x:f>
        <x:v>48</x:v>
      </x:c>
      <x:c r="Q816" s="87" t="n">
        <x:f>P816*'01 Base Costs'!$B$12</x:f>
        <x:v>93312000</x:v>
      </x:c>
      <x:c r="R816" s="87" t="n">
        <x:f>0</x:f>
        <x:v>0</x:v>
      </x:c>
      <x:c r="S816" s="87" t="n">
        <x:f>Q816+R816</x:f>
        <x:v>93312000</x:v>
      </x:c>
      <x:c r="T816" s="141" t="n">
        <x:f>S816/'01 Base Costs'!$B$14</x:f>
        <x:v>186.624</x:v>
      </x:c>
      <x:c r="U816" s="87" t="n">
        <x:f>INT(T816)</x:f>
        <x:v>186</x:v>
      </x:c>
      <x:c r="V816" s="87" t="n">
        <x:f>S816-U816*'01 Base Costs'!$B$14</x:f>
        <x:v>312000</x:v>
      </x:c>
      <x:c r="W816" s="120" t="n">
        <x:f>'01 Base Costs'!$B$20/50</x:f>
        <x:v>112</x:v>
      </x:c>
      <x:c r="X816" s="120" t="n">
        <x:f>0</x:f>
        <x:v>0</x:v>
      </x:c>
      <x:c r="Y816" s="87" t="n">
        <x:f>T816*(W816*'01 Base Costs'!$B$7+X816)</x:f>
        <x:v>100538081280</x:v>
      </x:c>
      <x:c r="Z816" s="87" t="n">
        <x:f>T816*'01 Base Costs'!$B$8</x:f>
        <x:v>140509209600</x:v>
      </x:c>
      <x:c r="AA816" s="87" t="n">
        <x:f>Z816*'01 Base Costs'!$B$11</x:f>
        <x:v>7025460480</x:v>
      </x:c>
      <x:c r="AB816" s="87" t="n">
        <x:f>Z816-AA816</x:f>
        <x:v>133483749120</x:v>
      </x:c>
      <x:c r="AC816" s="87" t="n">
        <x:f>O816+Y816</x:f>
        <x:v>170725601280</x:v>
      </x:c>
      <x:c r="AD816" s="87" t="n">
        <x:f>AB816-AC816</x:f>
        <x:v>-37241852160</x:v>
      </x:c>
      <x:c r="AE816" s="87" t="n">
        <x:f>AD816/D816</x:f>
        <x:v>-1551743840</x:v>
      </x:c>
      <x:c r="AF816" s="87" t="n">
        <x:f>AD816/P816</x:f>
        <x:v>-775871920</x:v>
      </x:c>
      <x:c r="AG816" s="87" t="n">
        <x:f>IF(T816=0,0,AC816/T816/(1-'01 Base Costs'!$B$11))</x:f>
        <x:v>962958457.8730779</x:v>
      </x:c>
      <x:c r="AH816" s="88" t="str">
        <x:f>IF(AD816&gt;0,"PROFIT","LOSS")</x:f>
        <x:v>LOSS</x:v>
      </x:c>
      <x:c r="AI816" s="89" t="str">
        <x:v>Official 24M Omega sale example. MCT sale 20% off. Base 50-pack average.</x:v>
      </x:c>
    </x:row>
    <x:row r="817">
      <x:c r="A817" s="86" t="n">
        <x:v>815</x:v>
      </x:c>
      <x:c r="B817" s="88" t="str">
        <x:v>Sale/Event</x:v>
      </x:c>
      <x:c r="C817" s="88" t="str">
        <x:v>Winter 24M Omega sale</x:v>
      </x:c>
      <x:c r="D817" s="88" t="n">
        <x:v>24</x:v>
      </x:c>
      <x:c r="E817" s="88" t="n">
        <x:v>2</x:v>
      </x:c>
      <x:c r="F817" s="88" t="str">
        <x:v>NES MCT 20% sale</x:v>
      </x:c>
      <x:c r="G817" s="88" t="str">
        <x:v>NES 3-for-2 extractor sale</x:v>
      </x:c>
      <x:c r="H817" s="87" t="n">
        <x:f>'01 Base Costs'!$B$29</x:f>
        <x:v>5280</x:v>
      </x:c>
      <x:c r="I817" s="87" t="n">
        <x:f>'01 Base Costs'!$B$16*0.8</x:f>
        <x:v>388</x:v>
      </x:c>
      <x:c r="J817" s="87" t="n">
        <x:f>0</x:f>
        <x:v>0</x:v>
      </x:c>
      <x:c r="K817" s="87" t="n">
        <x:f>D817*(E817-1)*I817</x:f>
        <x:v>9312</x:v>
      </x:c>
      <x:c r="L817" s="87" t="n">
        <x:f>D817*(E817-1)*J817</x:f>
        <x:v>0</x:v>
      </x:c>
      <x:c r="M817" s="87" t="n">
        <x:f>0</x:f>
        <x:v>0</x:v>
      </x:c>
      <x:c r="N817" s="87" t="n">
        <x:f>H817+K817+M817</x:f>
        <x:v>14592</x:v>
      </x:c>
      <x:c r="O817" s="87" t="n">
        <x:f>N817*'01 Base Costs'!$B$7+L817</x:f>
        <x:v>70187520000</x:v>
      </x:c>
      <x:c r="P817" s="87" t="n">
        <x:f>D817*E817</x:f>
        <x:v>48</x:v>
      </x:c>
      <x:c r="Q817" s="87" t="n">
        <x:f>P817*'01 Base Costs'!$B$12</x:f>
        <x:v>93312000</x:v>
      </x:c>
      <x:c r="R817" s="87" t="n">
        <x:f>0</x:f>
        <x:v>0</x:v>
      </x:c>
      <x:c r="S817" s="87" t="n">
        <x:f>Q817+R817</x:f>
        <x:v>93312000</x:v>
      </x:c>
      <x:c r="T817" s="141" t="n">
        <x:f>S817/'01 Base Costs'!$B$14</x:f>
        <x:v>186.624</x:v>
      </x:c>
      <x:c r="U817" s="87" t="n">
        <x:f>INT(T817)</x:f>
        <x:v>186</x:v>
      </x:c>
      <x:c r="V817" s="87" t="n">
        <x:f>S817-U817*'01 Base Costs'!$B$14</x:f>
        <x:v>312000</x:v>
      </x:c>
      <x:c r="W817" s="120" t="n">
        <x:f>'01 Base Costs'!$B$17*2/3</x:f>
        <x:v>93.33333333333333</x:v>
      </x:c>
      <x:c r="X817" s="120" t="n">
        <x:f>0</x:f>
        <x:v>0</x:v>
      </x:c>
      <x:c r="Y817" s="87" t="n">
        <x:f>T817*(W817*'01 Base Costs'!$B$7+X817)</x:f>
        <x:v>83781734400</x:v>
      </x:c>
      <x:c r="Z817" s="87" t="n">
        <x:f>T817*'01 Base Costs'!$B$8</x:f>
        <x:v>140509209600</x:v>
      </x:c>
      <x:c r="AA817" s="87" t="n">
        <x:f>Z817*'01 Base Costs'!$B$11</x:f>
        <x:v>7025460480</x:v>
      </x:c>
      <x:c r="AB817" s="87" t="n">
        <x:f>Z817-AA817</x:f>
        <x:v>133483749120</x:v>
      </x:c>
      <x:c r="AC817" s="87" t="n">
        <x:f>O817+Y817</x:f>
        <x:v>153969254400</x:v>
      </x:c>
      <x:c r="AD817" s="87" t="n">
        <x:f>AB817-AC817</x:f>
        <x:v>-20485505280</x:v>
      </x:c>
      <x:c r="AE817" s="87" t="n">
        <x:f>AD817/D817</x:f>
        <x:v>-853562720</x:v>
      </x:c>
      <x:c r="AF817" s="87" t="n">
        <x:f>AD817/P817</x:f>
        <x:v>-426781360</x:v>
      </x:c>
      <x:c r="AG817" s="87" t="n">
        <x:f>IF(T817=0,0,AC817/T817/(1-'01 Base Costs'!$B$11))</x:f>
        <x:v>868446177.1713234</x:v>
      </x:c>
      <x:c r="AH817" s="88" t="str">
        <x:f>IF(AD817&gt;0,"PROFIT","LOSS")</x:f>
        <x:v>LOSS</x:v>
      </x:c>
      <x:c r="AI817" s="89" t="str">
        <x:v>Official 24M Omega sale example. MCT sale 20% off. Extractor 3-for-2 sale.</x:v>
      </x:c>
    </x:row>
    <x:row r="818">
      <x:c r="A818" s="86" t="n">
        <x:v>816</x:v>
      </x:c>
      <x:c r="B818" s="88" t="str">
        <x:v>Sale/Event</x:v>
      </x:c>
      <x:c r="C818" s="88" t="str">
        <x:v>Winter 24M Omega sale</x:v>
      </x:c>
      <x:c r="D818" s="88" t="n">
        <x:v>24</x:v>
      </x:c>
      <x:c r="E818" s="88" t="n">
        <x:v>2</x:v>
      </x:c>
      <x:c r="F818" s="88" t="str">
        <x:v>NES MCT 20% sale</x:v>
      </x:c>
      <x:c r="G818" s="88" t="str">
        <x:v>NES 2-for-1 extractor sale</x:v>
      </x:c>
      <x:c r="H818" s="87" t="n">
        <x:f>'01 Base Costs'!$B$29</x:f>
        <x:v>5280</x:v>
      </x:c>
      <x:c r="I818" s="87" t="n">
        <x:f>'01 Base Costs'!$B$16*0.8</x:f>
        <x:v>388</x:v>
      </x:c>
      <x:c r="J818" s="87" t="n">
        <x:f>0</x:f>
        <x:v>0</x:v>
      </x:c>
      <x:c r="K818" s="87" t="n">
        <x:f>D818*(E818-1)*I818</x:f>
        <x:v>9312</x:v>
      </x:c>
      <x:c r="L818" s="87" t="n">
        <x:f>D818*(E818-1)*J818</x:f>
        <x:v>0</x:v>
      </x:c>
      <x:c r="M818" s="87" t="n">
        <x:f>0</x:f>
        <x:v>0</x:v>
      </x:c>
      <x:c r="N818" s="87" t="n">
        <x:f>H818+K818+M818</x:f>
        <x:v>14592</x:v>
      </x:c>
      <x:c r="O818" s="87" t="n">
        <x:f>N818*'01 Base Costs'!$B$7+L818</x:f>
        <x:v>70187520000</x:v>
      </x:c>
      <x:c r="P818" s="87" t="n">
        <x:f>D818*E818</x:f>
        <x:v>48</x:v>
      </x:c>
      <x:c r="Q818" s="87" t="n">
        <x:f>P818*'01 Base Costs'!$B$12</x:f>
        <x:v>93312000</x:v>
      </x:c>
      <x:c r="R818" s="87" t="n">
        <x:f>0</x:f>
        <x:v>0</x:v>
      </x:c>
      <x:c r="S818" s="87" t="n">
        <x:f>Q818+R818</x:f>
        <x:v>93312000</x:v>
      </x:c>
      <x:c r="T818" s="141" t="n">
        <x:f>S818/'01 Base Costs'!$B$14</x:f>
        <x:v>186.624</x:v>
      </x:c>
      <x:c r="U818" s="87" t="n">
        <x:f>INT(T818)</x:f>
        <x:v>186</x:v>
      </x:c>
      <x:c r="V818" s="87" t="n">
        <x:f>S818-U818*'01 Base Costs'!$B$14</x:f>
        <x:v>312000</x:v>
      </x:c>
      <x:c r="W818" s="120" t="n">
        <x:f>'01 Base Costs'!$B$17/2</x:f>
        <x:v>70</x:v>
      </x:c>
      <x:c r="X818" s="120" t="n">
        <x:f>0</x:f>
        <x:v>0</x:v>
      </x:c>
      <x:c r="Y818" s="87" t="n">
        <x:f>T818*(W818*'01 Base Costs'!$B$7+X818)</x:f>
        <x:v>62836300800</x:v>
      </x:c>
      <x:c r="Z818" s="87" t="n">
        <x:f>T818*'01 Base Costs'!$B$8</x:f>
        <x:v>140509209600</x:v>
      </x:c>
      <x:c r="AA818" s="87" t="n">
        <x:f>Z818*'01 Base Costs'!$B$11</x:f>
        <x:v>7025460480</x:v>
      </x:c>
      <x:c r="AB818" s="87" t="n">
        <x:f>Z818-AA818</x:f>
        <x:v>133483749120</x:v>
      </x:c>
      <x:c r="AC818" s="87" t="n">
        <x:f>O818+Y818</x:f>
        <x:v>133023820800</x:v>
      </x:c>
      <x:c r="AD818" s="87" t="n">
        <x:f>AB818-AC818</x:f>
        <x:v>459928320</x:v>
      </x:c>
      <x:c r="AE818" s="87" t="n">
        <x:f>AD818/D818</x:f>
        <x:v>19163680</x:v>
      </x:c>
      <x:c r="AF818" s="87" t="n">
        <x:f>AD818/P818</x:f>
        <x:v>9581840</x:v>
      </x:c>
      <x:c r="AG818" s="87" t="n">
        <x:f>IF(T818=0,0,AC818/T818/(1-'01 Base Costs'!$B$11))</x:f>
        <x:v>750305826.2941304</x:v>
      </x:c>
      <x:c r="AH818" s="88" t="str">
        <x:f>IF(AD818&gt;0,"PROFIT","LOSS")</x:f>
        <x:v>PROFIT</x:v>
      </x:c>
      <x:c r="AI818" s="89" t="str">
        <x:v>Official 24M Omega sale example. MCT sale 20% off. Extractor 2-for-1 sale.</x:v>
      </x:c>
    </x:row>
    <x:row r="819">
      <x:c r="A819" s="86" t="n">
        <x:v>817</x:v>
      </x:c>
      <x:c r="B819" s="88" t="str">
        <x:v>Sale/Event</x:v>
      </x:c>
      <x:c r="C819" s="88" t="str">
        <x:v>Winter 24M Omega sale</x:v>
      </x:c>
      <x:c r="D819" s="88" t="n">
        <x:v>24</x:v>
      </x:c>
      <x:c r="E819" s="88" t="n">
        <x:v>2</x:v>
      </x:c>
      <x:c r="F819" s="88" t="str">
        <x:v>NES MCT 20% sale</x:v>
      </x:c>
      <x:c r="G819" s="88" t="str">
        <x:v>NES 10-pack extractor 20% sale</x:v>
      </x:c>
      <x:c r="H819" s="87" t="n">
        <x:f>'01 Base Costs'!$B$29</x:f>
        <x:v>5280</x:v>
      </x:c>
      <x:c r="I819" s="87" t="n">
        <x:f>'01 Base Costs'!$B$16*0.8</x:f>
        <x:v>388</x:v>
      </x:c>
      <x:c r="J819" s="87" t="n">
        <x:f>0</x:f>
        <x:v>0</x:v>
      </x:c>
      <x:c r="K819" s="87" t="n">
        <x:f>D819*(E819-1)*I819</x:f>
        <x:v>9312</x:v>
      </x:c>
      <x:c r="L819" s="87" t="n">
        <x:f>D819*(E819-1)*J819</x:f>
        <x:v>0</x:v>
      </x:c>
      <x:c r="M819" s="87" t="n">
        <x:f>0</x:f>
        <x:v>0</x:v>
      </x:c>
      <x:c r="N819" s="87" t="n">
        <x:f>H819+K819+M819</x:f>
        <x:v>14592</x:v>
      </x:c>
      <x:c r="O819" s="87" t="n">
        <x:f>N819*'01 Base Costs'!$B$7+L819</x:f>
        <x:v>70187520000</x:v>
      </x:c>
      <x:c r="P819" s="87" t="n">
        <x:f>D819*E819</x:f>
        <x:v>48</x:v>
      </x:c>
      <x:c r="Q819" s="87" t="n">
        <x:f>P819*'01 Base Costs'!$B$12</x:f>
        <x:v>93312000</x:v>
      </x:c>
      <x:c r="R819" s="87" t="n">
        <x:f>0</x:f>
        <x:v>0</x:v>
      </x:c>
      <x:c r="S819" s="87" t="n">
        <x:f>Q819+R819</x:f>
        <x:v>93312000</x:v>
      </x:c>
      <x:c r="T819" s="141" t="n">
        <x:f>S819/'01 Base Costs'!$B$14</x:f>
        <x:v>186.624</x:v>
      </x:c>
      <x:c r="U819" s="87" t="n">
        <x:f>INT(T819)</x:f>
        <x:v>186</x:v>
      </x:c>
      <x:c r="V819" s="87" t="n">
        <x:f>S819-U819*'01 Base Costs'!$B$14</x:f>
        <x:v>312000</x:v>
      </x:c>
      <x:c r="W819" s="120" t="n">
        <x:f>'01 Base Costs'!$B$19*0.8/10</x:f>
        <x:v>95.2</x:v>
      </x:c>
      <x:c r="X819" s="120" t="n">
        <x:f>0</x:f>
        <x:v>0</x:v>
      </x:c>
      <x:c r="Y819" s="87" t="n">
        <x:f>T819*(W819*'01 Base Costs'!$B$7+X819)</x:f>
        <x:v>85457369088</x:v>
      </x:c>
      <x:c r="Z819" s="87" t="n">
        <x:f>T819*'01 Base Costs'!$B$8</x:f>
        <x:v>140509209600</x:v>
      </x:c>
      <x:c r="AA819" s="87" t="n">
        <x:f>Z819*'01 Base Costs'!$B$11</x:f>
        <x:v>7025460480</x:v>
      </x:c>
      <x:c r="AB819" s="87" t="n">
        <x:f>Z819-AA819</x:f>
        <x:v>133483749120</x:v>
      </x:c>
      <x:c r="AC819" s="87" t="n">
        <x:f>O819+Y819</x:f>
        <x:v>155644889088</x:v>
      </x:c>
      <x:c r="AD819" s="87" t="n">
        <x:f>AB819-AC819</x:f>
        <x:v>-22161139968</x:v>
      </x:c>
      <x:c r="AE819" s="87" t="n">
        <x:f>AD819/D819</x:f>
        <x:v>-923380832</x:v>
      </x:c>
      <x:c r="AF819" s="87" t="n">
        <x:f>AD819/P819</x:f>
        <x:v>-461690416</x:v>
      </x:c>
      <x:c r="AG819" s="87" t="n">
        <x:f>IF(T819=0,0,AC819/T819/(1-'01 Base Costs'!$B$11))</x:f>
        <x:v>877897405.2414988</x:v>
      </x:c>
      <x:c r="AH819" s="88" t="str">
        <x:f>IF(AD819&gt;0,"PROFIT","LOSS")</x:f>
        <x:v>LOSS</x:v>
      </x:c>
      <x:c r="AI819" s="89" t="str">
        <x:v>Official 24M Omega sale example. MCT sale 20% off. 10-pack at 20% off.</x:v>
      </x:c>
    </x:row>
    <x:row r="820">
      <x:c r="A820" s="86" t="n">
        <x:v>818</x:v>
      </x:c>
      <x:c r="B820" s="88" t="str">
        <x:v>Sale/Event</x:v>
      </x:c>
      <x:c r="C820" s="88" t="str">
        <x:v>Winter 24M Omega sale</x:v>
      </x:c>
      <x:c r="D820" s="88" t="n">
        <x:v>24</x:v>
      </x:c>
      <x:c r="E820" s="88" t="n">
        <x:v>2</x:v>
      </x:c>
      <x:c r="F820" s="88" t="str">
        <x:v>NES MCT 20% sale</x:v>
      </x:c>
      <x:c r="G820" s="88" t="str">
        <x:v>NES 50-pack extractor 20% sale</x:v>
      </x:c>
      <x:c r="H820" s="87" t="n">
        <x:f>'01 Base Costs'!$B$29</x:f>
        <x:v>5280</x:v>
      </x:c>
      <x:c r="I820" s="87" t="n">
        <x:f>'01 Base Costs'!$B$16*0.8</x:f>
        <x:v>388</x:v>
      </x:c>
      <x:c r="J820" s="87" t="n">
        <x:f>0</x:f>
        <x:v>0</x:v>
      </x:c>
      <x:c r="K820" s="87" t="n">
        <x:f>D820*(E820-1)*I820</x:f>
        <x:v>9312</x:v>
      </x:c>
      <x:c r="L820" s="87" t="n">
        <x:f>D820*(E820-1)*J820</x:f>
        <x:v>0</x:v>
      </x:c>
      <x:c r="M820" s="87" t="n">
        <x:f>0</x:f>
        <x:v>0</x:v>
      </x:c>
      <x:c r="N820" s="87" t="n">
        <x:f>H820+K820+M820</x:f>
        <x:v>14592</x:v>
      </x:c>
      <x:c r="O820" s="87" t="n">
        <x:f>N820*'01 Base Costs'!$B$7+L820</x:f>
        <x:v>70187520000</x:v>
      </x:c>
      <x:c r="P820" s="87" t="n">
        <x:f>D820*E820</x:f>
        <x:v>48</x:v>
      </x:c>
      <x:c r="Q820" s="87" t="n">
        <x:f>P820*'01 Base Costs'!$B$12</x:f>
        <x:v>93312000</x:v>
      </x:c>
      <x:c r="R820" s="87" t="n">
        <x:f>0</x:f>
        <x:v>0</x:v>
      </x:c>
      <x:c r="S820" s="87" t="n">
        <x:f>Q820+R820</x:f>
        <x:v>93312000</x:v>
      </x:c>
      <x:c r="T820" s="141" t="n">
        <x:f>S820/'01 Base Costs'!$B$14</x:f>
        <x:v>186.624</x:v>
      </x:c>
      <x:c r="U820" s="87" t="n">
        <x:f>INT(T820)</x:f>
        <x:v>186</x:v>
      </x:c>
      <x:c r="V820" s="87" t="n">
        <x:f>S820-U820*'01 Base Costs'!$B$14</x:f>
        <x:v>312000</x:v>
      </x:c>
      <x:c r="W820" s="120" t="n">
        <x:f>'01 Base Costs'!$B$20*0.8/50</x:f>
        <x:v>89.6</x:v>
      </x:c>
      <x:c r="X820" s="120" t="n">
        <x:f>0</x:f>
        <x:v>0</x:v>
      </x:c>
      <x:c r="Y820" s="87" t="n">
        <x:f>T820*(W820*'01 Base Costs'!$B$7+X820)</x:f>
        <x:v>80430465024</x:v>
      </x:c>
      <x:c r="Z820" s="87" t="n">
        <x:f>T820*'01 Base Costs'!$B$8</x:f>
        <x:v>140509209600</x:v>
      </x:c>
      <x:c r="AA820" s="87" t="n">
        <x:f>Z820*'01 Base Costs'!$B$11</x:f>
        <x:v>7025460480</x:v>
      </x:c>
      <x:c r="AB820" s="87" t="n">
        <x:f>Z820-AA820</x:f>
        <x:v>133483749120</x:v>
      </x:c>
      <x:c r="AC820" s="87" t="n">
        <x:f>O820+Y820</x:f>
        <x:v>150617985024</x:v>
      </x:c>
      <x:c r="AD820" s="87" t="n">
        <x:f>AB820-AC820</x:f>
        <x:v>-17134235904</x:v>
      </x:c>
      <x:c r="AE820" s="87" t="n">
        <x:f>AD820/D820</x:f>
        <x:v>-713926496</x:v>
      </x:c>
      <x:c r="AF820" s="87" t="n">
        <x:f>AD820/P820</x:f>
        <x:v>-356963248</x:v>
      </x:c>
      <x:c r="AG820" s="87" t="n">
        <x:f>IF(T820=0,0,AC820/T820/(1-'01 Base Costs'!$B$11))</x:f>
        <x:v>849543721.0309726</x:v>
      </x:c>
      <x:c r="AH820" s="88" t="str">
        <x:f>IF(AD820&gt;0,"PROFIT","LOSS")</x:f>
        <x:v>LOSS</x:v>
      </x:c>
      <x:c r="AI820" s="89" t="str">
        <x:v>Official 24M Omega sale example. MCT sale 20% off. 50-pack at 20% off.</x:v>
      </x:c>
    </x:row>
    <x:row r="821">
      <x:c r="A821" s="86" t="n">
        <x:v>819</x:v>
      </x:c>
      <x:c r="B821" s="88" t="str">
        <x:v>Sale/Event</x:v>
      </x:c>
      <x:c r="C821" s="88" t="str">
        <x:v>Winter 24M Omega sale</x:v>
      </x:c>
      <x:c r="D821" s="88" t="n">
        <x:v>24</x:v>
      </x:c>
      <x:c r="E821" s="88" t="n">
        <x:v>2</x:v>
      </x:c>
      <x:c r="F821" s="88" t="str">
        <x:v>NES MCT 20% sale</x:v>
      </x:c>
      <x:c r="G821" s="88" t="str">
        <x:v>Market Skill Extractor</x:v>
      </x:c>
      <x:c r="H821" s="87" t="n">
        <x:f>'01 Base Costs'!$B$29</x:f>
        <x:v>5280</x:v>
      </x:c>
      <x:c r="I821" s="87" t="n">
        <x:f>'01 Base Costs'!$B$16*0.8</x:f>
        <x:v>388</x:v>
      </x:c>
      <x:c r="J821" s="87" t="n">
        <x:f>0</x:f>
        <x:v>0</x:v>
      </x:c>
      <x:c r="K821" s="87" t="n">
        <x:f>D821*(E821-1)*I821</x:f>
        <x:v>9312</x:v>
      </x:c>
      <x:c r="L821" s="87" t="n">
        <x:f>D821*(E821-1)*J821</x:f>
        <x:v>0</x:v>
      </x:c>
      <x:c r="M821" s="87" t="n">
        <x:f>0</x:f>
        <x:v>0</x:v>
      </x:c>
      <x:c r="N821" s="87" t="n">
        <x:f>H821+K821+M821</x:f>
        <x:v>14592</x:v>
      </x:c>
      <x:c r="O821" s="87" t="n">
        <x:f>N821*'01 Base Costs'!$B$7+L821</x:f>
        <x:v>70187520000</x:v>
      </x:c>
      <x:c r="P821" s="87" t="n">
        <x:f>D821*E821</x:f>
        <x:v>48</x:v>
      </x:c>
      <x:c r="Q821" s="87" t="n">
        <x:f>P821*'01 Base Costs'!$B$12</x:f>
        <x:v>93312000</x:v>
      </x:c>
      <x:c r="R821" s="87" t="n">
        <x:f>0</x:f>
        <x:v>0</x:v>
      </x:c>
      <x:c r="S821" s="87" t="n">
        <x:f>Q821+R821</x:f>
        <x:v>93312000</x:v>
      </x:c>
      <x:c r="T821" s="141" t="n">
        <x:f>S821/'01 Base Costs'!$B$14</x:f>
        <x:v>186.624</x:v>
      </x:c>
      <x:c r="U821" s="87" t="n">
        <x:f>INT(T821)</x:f>
        <x:v>186</x:v>
      </x:c>
      <x:c r="V821" s="87" t="n">
        <x:f>S821-U821*'01 Base Costs'!$B$14</x:f>
        <x:v>312000</x:v>
      </x:c>
      <x:c r="W821" s="120" t="n">
        <x:f>0</x:f>
        <x:v>0</x:v>
      </x:c>
      <x:c r="X821" s="120" t="n">
        <x:f>'01 Base Costs'!$B$9</x:f>
        <x:v>463500000</x:v>
      </x:c>
      <x:c r="Y821" s="87" t="n">
        <x:f>T821*(W821*'01 Base Costs'!$B$7+X821)</x:f>
        <x:v>86500224000</x:v>
      </x:c>
      <x:c r="Z821" s="87" t="n">
        <x:f>T821*'01 Base Costs'!$B$8</x:f>
        <x:v>140509209600</x:v>
      </x:c>
      <x:c r="AA821" s="87" t="n">
        <x:f>Z821*'01 Base Costs'!$B$11</x:f>
        <x:v>7025460480</x:v>
      </x:c>
      <x:c r="AB821" s="87" t="n">
        <x:f>Z821-AA821</x:f>
        <x:v>133483749120</x:v>
      </x:c>
      <x:c r="AC821" s="87" t="n">
        <x:f>O821+Y821</x:f>
        <x:v>156687744000</x:v>
      </x:c>
      <x:c r="AD821" s="87" t="n">
        <x:f>AB821-AC821</x:f>
        <x:v>-23203994880</x:v>
      </x:c>
      <x:c r="AE821" s="87" t="n">
        <x:f>AD821/D821</x:f>
        <x:v>-966833120</x:v>
      </x:c>
      <x:c r="AF821" s="87" t="n">
        <x:f>AD821/P821</x:f>
        <x:v>-483416560</x:v>
      </x:c>
      <x:c r="AG821" s="87" t="n">
        <x:f>IF(T821=0,0,AC821/T821/(1-'01 Base Costs'!$B$11))</x:f>
        <x:v>883779510.5046568</x:v>
      </x:c>
      <x:c r="AH821" s="88" t="str">
        <x:f>IF(AD821&gt;0,"PROFIT","LOSS")</x:f>
        <x:v>LOSS</x:v>
      </x:c>
      <x:c r="AI821" s="89" t="str">
        <x:v>Official 24M Omega sale example. MCT sale 20% off. Extractor bought on market with ISK.</x:v>
      </x:c>
    </x:row>
    <x:row r="822">
      <x:c r="A822" s="86" t="n">
        <x:v>820</x:v>
      </x:c>
      <x:c r="B822" s="88" t="str">
        <x:v>Sale/Event</x:v>
      </x:c>
      <x:c r="C822" s="88" t="str">
        <x:v>Winter 24M Omega sale</x:v>
      </x:c>
      <x:c r="D822" s="88" t="n">
        <x:v>24</x:v>
      </x:c>
      <x:c r="E822" s="88" t="n">
        <x:v>2</x:v>
      </x:c>
      <x:c r="F822" s="88" t="str">
        <x:v>NES MCT 30% sale</x:v>
      </x:c>
      <x:c r="G822" s="88" t="str">
        <x:v>NES single extractor</x:v>
      </x:c>
      <x:c r="H822" s="87" t="n">
        <x:f>'01 Base Costs'!$B$29</x:f>
        <x:v>5280</x:v>
      </x:c>
      <x:c r="I822" s="87" t="n">
        <x:f>'01 Base Costs'!$B$16*0.7</x:f>
        <x:v>339.5</x:v>
      </x:c>
      <x:c r="J822" s="87" t="n">
        <x:f>0</x:f>
        <x:v>0</x:v>
      </x:c>
      <x:c r="K822" s="87" t="n">
        <x:f>D822*(E822-1)*I822</x:f>
        <x:v>8148</x:v>
      </x:c>
      <x:c r="L822" s="87" t="n">
        <x:f>D822*(E822-1)*J822</x:f>
        <x:v>0</x:v>
      </x:c>
      <x:c r="M822" s="87" t="n">
        <x:f>0</x:f>
        <x:v>0</x:v>
      </x:c>
      <x:c r="N822" s="87" t="n">
        <x:f>H822+K822+M822</x:f>
        <x:v>13428</x:v>
      </x:c>
      <x:c r="O822" s="87" t="n">
        <x:f>N822*'01 Base Costs'!$B$7+L822</x:f>
        <x:v>64588680000</x:v>
      </x:c>
      <x:c r="P822" s="87" t="n">
        <x:f>D822*E822</x:f>
        <x:v>48</x:v>
      </x:c>
      <x:c r="Q822" s="87" t="n">
        <x:f>P822*'01 Base Costs'!$B$12</x:f>
        <x:v>93312000</x:v>
      </x:c>
      <x:c r="R822" s="87" t="n">
        <x:f>0</x:f>
        <x:v>0</x:v>
      </x:c>
      <x:c r="S822" s="87" t="n">
        <x:f>Q822+R822</x:f>
        <x:v>93312000</x:v>
      </x:c>
      <x:c r="T822" s="141" t="n">
        <x:f>S822/'01 Base Costs'!$B$14</x:f>
        <x:v>186.624</x:v>
      </x:c>
      <x:c r="U822" s="87" t="n">
        <x:f>INT(T822)</x:f>
        <x:v>186</x:v>
      </x:c>
      <x:c r="V822" s="87" t="n">
        <x:f>S822-U822*'01 Base Costs'!$B$14</x:f>
        <x:v>312000</x:v>
      </x:c>
      <x:c r="W822" s="120" t="n">
        <x:f>'01 Base Costs'!$B$17</x:f>
        <x:v>140</x:v>
      </x:c>
      <x:c r="X822" s="120" t="n">
        <x:f>0</x:f>
        <x:v>0</x:v>
      </x:c>
      <x:c r="Y822" s="87" t="n">
        <x:f>T822*(W822*'01 Base Costs'!$B$7+X822)</x:f>
        <x:v>125672601600</x:v>
      </x:c>
      <x:c r="Z822" s="87" t="n">
        <x:f>T822*'01 Base Costs'!$B$8</x:f>
        <x:v>140509209600</x:v>
      </x:c>
      <x:c r="AA822" s="87" t="n">
        <x:f>Z822*'01 Base Costs'!$B$11</x:f>
        <x:v>7025460480</x:v>
      </x:c>
      <x:c r="AB822" s="87" t="n">
        <x:f>Z822-AA822</x:f>
        <x:v>133483749120</x:v>
      </x:c>
      <x:c r="AC822" s="87" t="n">
        <x:f>O822+Y822</x:f>
        <x:v>190261281600</x:v>
      </x:c>
      <x:c r="AD822" s="87" t="n">
        <x:f>AB822-AC822</x:f>
        <x:v>-56777532480</x:v>
      </x:c>
      <x:c r="AE822" s="87" t="n">
        <x:f>AD822/D822</x:f>
        <x:v>-2365730520</x:v>
      </x:c>
      <x:c r="AF822" s="87" t="n">
        <x:f>AD822/P822</x:f>
        <x:v>-1182865260</x:v>
      </x:c>
      <x:c r="AG822" s="87" t="n">
        <x:f>IF(T822=0,0,AC822/T822/(1-'01 Base Costs'!$B$11))</x:f>
        <x:v>1073147254.7108513</x:v>
      </x:c>
      <x:c r="AH822" s="88" t="str">
        <x:f>IF(AD822&gt;0,"PROFIT","LOSS")</x:f>
        <x:v>LOSS</x:v>
      </x:c>
      <x:c r="AI822" s="89" t="str">
        <x:v>Official 24M Omega sale example. MCT sale 30% off. Base single extractor.</x:v>
      </x:c>
    </x:row>
    <x:row r="823">
      <x:c r="A823" s="86" t="n">
        <x:v>821</x:v>
      </x:c>
      <x:c r="B823" s="88" t="str">
        <x:v>Sale/Event</x:v>
      </x:c>
      <x:c r="C823" s="88" t="str">
        <x:v>Winter 24M Omega sale</x:v>
      </x:c>
      <x:c r="D823" s="88" t="n">
        <x:v>24</x:v>
      </x:c>
      <x:c r="E823" s="88" t="n">
        <x:v>2</x:v>
      </x:c>
      <x:c r="F823" s="88" t="str">
        <x:v>NES MCT 30% sale</x:v>
      </x:c>
      <x:c r="G823" s="88" t="str">
        <x:v>NES 5-pack extractor</x:v>
      </x:c>
      <x:c r="H823" s="87" t="n">
        <x:f>'01 Base Costs'!$B$29</x:f>
        <x:v>5280</x:v>
      </x:c>
      <x:c r="I823" s="87" t="n">
        <x:f>'01 Base Costs'!$B$16*0.7</x:f>
        <x:v>339.5</x:v>
      </x:c>
      <x:c r="J823" s="87" t="n">
        <x:f>0</x:f>
        <x:v>0</x:v>
      </x:c>
      <x:c r="K823" s="87" t="n">
        <x:f>D823*(E823-1)*I823</x:f>
        <x:v>8148</x:v>
      </x:c>
      <x:c r="L823" s="87" t="n">
        <x:f>D823*(E823-1)*J823</x:f>
        <x:v>0</x:v>
      </x:c>
      <x:c r="M823" s="87" t="n">
        <x:f>0</x:f>
        <x:v>0</x:v>
      </x:c>
      <x:c r="N823" s="87" t="n">
        <x:f>H823+K823+M823</x:f>
        <x:v>13428</x:v>
      </x:c>
      <x:c r="O823" s="87" t="n">
        <x:f>N823*'01 Base Costs'!$B$7+L823</x:f>
        <x:v>64588680000</x:v>
      </x:c>
      <x:c r="P823" s="87" t="n">
        <x:f>D823*E823</x:f>
        <x:v>48</x:v>
      </x:c>
      <x:c r="Q823" s="87" t="n">
        <x:f>P823*'01 Base Costs'!$B$12</x:f>
        <x:v>93312000</x:v>
      </x:c>
      <x:c r="R823" s="87" t="n">
        <x:f>0</x:f>
        <x:v>0</x:v>
      </x:c>
      <x:c r="S823" s="87" t="n">
        <x:f>Q823+R823</x:f>
        <x:v>93312000</x:v>
      </x:c>
      <x:c r="T823" s="141" t="n">
        <x:f>S823/'01 Base Costs'!$B$14</x:f>
        <x:v>186.624</x:v>
      </x:c>
      <x:c r="U823" s="87" t="n">
        <x:f>INT(T823)</x:f>
        <x:v>186</x:v>
      </x:c>
      <x:c r="V823" s="87" t="n">
        <x:f>S823-U823*'01 Base Costs'!$B$14</x:f>
        <x:v>312000</x:v>
      </x:c>
      <x:c r="W823" s="120" t="n">
        <x:f>'01 Base Costs'!$B$18/5</x:f>
        <x:v>126</x:v>
      </x:c>
      <x:c r="X823" s="120" t="n">
        <x:f>0</x:f>
        <x:v>0</x:v>
      </x:c>
      <x:c r="Y823" s="87" t="n">
        <x:f>T823*(W823*'01 Base Costs'!$B$7+X823)</x:f>
        <x:v>113105341440</x:v>
      </x:c>
      <x:c r="Z823" s="87" t="n">
        <x:f>T823*'01 Base Costs'!$B$8</x:f>
        <x:v>140509209600</x:v>
      </x:c>
      <x:c r="AA823" s="87" t="n">
        <x:f>Z823*'01 Base Costs'!$B$11</x:f>
        <x:v>7025460480</x:v>
      </x:c>
      <x:c r="AB823" s="87" t="n">
        <x:f>Z823-AA823</x:f>
        <x:v>133483749120</x:v>
      </x:c>
      <x:c r="AC823" s="87" t="n">
        <x:f>O823+Y823</x:f>
        <x:v>177694021440</x:v>
      </x:c>
      <x:c r="AD823" s="87" t="n">
        <x:f>AB823-AC823</x:f>
        <x:v>-44210272320</x:v>
      </x:c>
      <x:c r="AE823" s="87" t="n">
        <x:f>AD823/D823</x:f>
        <x:v>-1842094680</x:v>
      </x:c>
      <x:c r="AF823" s="87" t="n">
        <x:f>AD823/P823</x:f>
        <x:v>-921047340</x:v>
      </x:c>
      <x:c r="AG823" s="87" t="n">
        <x:f>IF(T823=0,0,AC823/T823/(1-'01 Base Costs'!$B$11))</x:f>
        <x:v>1002263044.1845355</x:v>
      </x:c>
      <x:c r="AH823" s="88" t="str">
        <x:f>IF(AD823&gt;0,"PROFIT","LOSS")</x:f>
        <x:v>LOSS</x:v>
      </x:c>
      <x:c r="AI823" s="89" t="str">
        <x:v>Official 24M Omega sale example. MCT sale 30% off. Base 5-pack average.</x:v>
      </x:c>
    </x:row>
    <x:row r="824">
      <x:c r="A824" s="86" t="n">
        <x:v>822</x:v>
      </x:c>
      <x:c r="B824" s="88" t="str">
        <x:v>Sale/Event</x:v>
      </x:c>
      <x:c r="C824" s="88" t="str">
        <x:v>Winter 24M Omega sale</x:v>
      </x:c>
      <x:c r="D824" s="88" t="n">
        <x:v>24</x:v>
      </x:c>
      <x:c r="E824" s="88" t="n">
        <x:v>2</x:v>
      </x:c>
      <x:c r="F824" s="88" t="str">
        <x:v>NES MCT 30% sale</x:v>
      </x:c>
      <x:c r="G824" s="88" t="str">
        <x:v>NES 10-pack extractor</x:v>
      </x:c>
      <x:c r="H824" s="87" t="n">
        <x:f>'01 Base Costs'!$B$29</x:f>
        <x:v>5280</x:v>
      </x:c>
      <x:c r="I824" s="87" t="n">
        <x:f>'01 Base Costs'!$B$16*0.7</x:f>
        <x:v>339.5</x:v>
      </x:c>
      <x:c r="J824" s="87" t="n">
        <x:f>0</x:f>
        <x:v>0</x:v>
      </x:c>
      <x:c r="K824" s="87" t="n">
        <x:f>D824*(E824-1)*I824</x:f>
        <x:v>8148</x:v>
      </x:c>
      <x:c r="L824" s="87" t="n">
        <x:f>D824*(E824-1)*J824</x:f>
        <x:v>0</x:v>
      </x:c>
      <x:c r="M824" s="87" t="n">
        <x:f>0</x:f>
        <x:v>0</x:v>
      </x:c>
      <x:c r="N824" s="87" t="n">
        <x:f>H824+K824+M824</x:f>
        <x:v>13428</x:v>
      </x:c>
      <x:c r="O824" s="87" t="n">
        <x:f>N824*'01 Base Costs'!$B$7+L824</x:f>
        <x:v>64588680000</x:v>
      </x:c>
      <x:c r="P824" s="87" t="n">
        <x:f>D824*E824</x:f>
        <x:v>48</x:v>
      </x:c>
      <x:c r="Q824" s="87" t="n">
        <x:f>P824*'01 Base Costs'!$B$12</x:f>
        <x:v>93312000</x:v>
      </x:c>
      <x:c r="R824" s="87" t="n">
        <x:f>0</x:f>
        <x:v>0</x:v>
      </x:c>
      <x:c r="S824" s="87" t="n">
        <x:f>Q824+R824</x:f>
        <x:v>93312000</x:v>
      </x:c>
      <x:c r="T824" s="141" t="n">
        <x:f>S824/'01 Base Costs'!$B$14</x:f>
        <x:v>186.624</x:v>
      </x:c>
      <x:c r="U824" s="87" t="n">
        <x:f>INT(T824)</x:f>
        <x:v>186</x:v>
      </x:c>
      <x:c r="V824" s="87" t="n">
        <x:f>S824-U824*'01 Base Costs'!$B$14</x:f>
        <x:v>312000</x:v>
      </x:c>
      <x:c r="W824" s="120" t="n">
        <x:f>'01 Base Costs'!$B$19/10</x:f>
        <x:v>119</x:v>
      </x:c>
      <x:c r="X824" s="120" t="n">
        <x:f>0</x:f>
        <x:v>0</x:v>
      </x:c>
      <x:c r="Y824" s="87" t="n">
        <x:f>T824*(W824*'01 Base Costs'!$B$7+X824)</x:f>
        <x:v>106821711360</x:v>
      </x:c>
      <x:c r="Z824" s="87" t="n">
        <x:f>T824*'01 Base Costs'!$B$8</x:f>
        <x:v>140509209600</x:v>
      </x:c>
      <x:c r="AA824" s="87" t="n">
        <x:f>Z824*'01 Base Costs'!$B$11</x:f>
        <x:v>7025460480</x:v>
      </x:c>
      <x:c r="AB824" s="87" t="n">
        <x:f>Z824-AA824</x:f>
        <x:v>133483749120</x:v>
      </x:c>
      <x:c r="AC824" s="87" t="n">
        <x:f>O824+Y824</x:f>
        <x:v>171410391360</x:v>
      </x:c>
      <x:c r="AD824" s="87" t="n">
        <x:f>AB824-AC824</x:f>
        <x:v>-37926642240</x:v>
      </x:c>
      <x:c r="AE824" s="87" t="n">
        <x:f>AD824/D824</x:f>
        <x:v>-1580276760</x:v>
      </x:c>
      <x:c r="AF824" s="87" t="n">
        <x:f>AD824/P824</x:f>
        <x:v>-790138380</x:v>
      </x:c>
      <x:c r="AG824" s="87" t="n">
        <x:f>IF(T824=0,0,AC824/T824/(1-'01 Base Costs'!$B$11))</x:f>
        <x:v>966820938.9213775</x:v>
      </x:c>
      <x:c r="AH824" s="88" t="str">
        <x:f>IF(AD824&gt;0,"PROFIT","LOSS")</x:f>
        <x:v>LOSS</x:v>
      </x:c>
      <x:c r="AI824" s="89" t="str">
        <x:v>Official 24M Omega sale example. MCT sale 30% off. Base 10-pack average.</x:v>
      </x:c>
    </x:row>
    <x:row r="825">
      <x:c r="A825" s="86" t="n">
        <x:v>823</x:v>
      </x:c>
      <x:c r="B825" s="88" t="str">
        <x:v>Sale/Event</x:v>
      </x:c>
      <x:c r="C825" s="88" t="str">
        <x:v>Winter 24M Omega sale</x:v>
      </x:c>
      <x:c r="D825" s="88" t="n">
        <x:v>24</x:v>
      </x:c>
      <x:c r="E825" s="88" t="n">
        <x:v>2</x:v>
      </x:c>
      <x:c r="F825" s="88" t="str">
        <x:v>NES MCT 30% sale</x:v>
      </x:c>
      <x:c r="G825" s="88" t="str">
        <x:v>NES 50-pack extractor</x:v>
      </x:c>
      <x:c r="H825" s="87" t="n">
        <x:f>'01 Base Costs'!$B$29</x:f>
        <x:v>5280</x:v>
      </x:c>
      <x:c r="I825" s="87" t="n">
        <x:f>'01 Base Costs'!$B$16*0.7</x:f>
        <x:v>339.5</x:v>
      </x:c>
      <x:c r="J825" s="87" t="n">
        <x:f>0</x:f>
        <x:v>0</x:v>
      </x:c>
      <x:c r="K825" s="87" t="n">
        <x:f>D825*(E825-1)*I825</x:f>
        <x:v>8148</x:v>
      </x:c>
      <x:c r="L825" s="87" t="n">
        <x:f>D825*(E825-1)*J825</x:f>
        <x:v>0</x:v>
      </x:c>
      <x:c r="M825" s="87" t="n">
        <x:f>0</x:f>
        <x:v>0</x:v>
      </x:c>
      <x:c r="N825" s="87" t="n">
        <x:f>H825+K825+M825</x:f>
        <x:v>13428</x:v>
      </x:c>
      <x:c r="O825" s="87" t="n">
        <x:f>N825*'01 Base Costs'!$B$7+L825</x:f>
        <x:v>64588680000</x:v>
      </x:c>
      <x:c r="P825" s="87" t="n">
        <x:f>D825*E825</x:f>
        <x:v>48</x:v>
      </x:c>
      <x:c r="Q825" s="87" t="n">
        <x:f>P825*'01 Base Costs'!$B$12</x:f>
        <x:v>93312000</x:v>
      </x:c>
      <x:c r="R825" s="87" t="n">
        <x:f>0</x:f>
        <x:v>0</x:v>
      </x:c>
      <x:c r="S825" s="87" t="n">
        <x:f>Q825+R825</x:f>
        <x:v>93312000</x:v>
      </x:c>
      <x:c r="T825" s="141" t="n">
        <x:f>S825/'01 Base Costs'!$B$14</x:f>
        <x:v>186.624</x:v>
      </x:c>
      <x:c r="U825" s="87" t="n">
        <x:f>INT(T825)</x:f>
        <x:v>186</x:v>
      </x:c>
      <x:c r="V825" s="87" t="n">
        <x:f>S825-U825*'01 Base Costs'!$B$14</x:f>
        <x:v>312000</x:v>
      </x:c>
      <x:c r="W825" s="120" t="n">
        <x:f>'01 Base Costs'!$B$20/50</x:f>
        <x:v>112</x:v>
      </x:c>
      <x:c r="X825" s="120" t="n">
        <x:f>0</x:f>
        <x:v>0</x:v>
      </x:c>
      <x:c r="Y825" s="87" t="n">
        <x:f>T825*(W825*'01 Base Costs'!$B$7+X825)</x:f>
        <x:v>100538081280</x:v>
      </x:c>
      <x:c r="Z825" s="87" t="n">
        <x:f>T825*'01 Base Costs'!$B$8</x:f>
        <x:v>140509209600</x:v>
      </x:c>
      <x:c r="AA825" s="87" t="n">
        <x:f>Z825*'01 Base Costs'!$B$11</x:f>
        <x:v>7025460480</x:v>
      </x:c>
      <x:c r="AB825" s="87" t="n">
        <x:f>Z825-AA825</x:f>
        <x:v>133483749120</x:v>
      </x:c>
      <x:c r="AC825" s="87" t="n">
        <x:f>O825+Y825</x:f>
        <x:v>165126761280</x:v>
      </x:c>
      <x:c r="AD825" s="87" t="n">
        <x:f>AB825-AC825</x:f>
        <x:v>-31643012160</x:v>
      </x:c>
      <x:c r="AE825" s="87" t="n">
        <x:f>AD825/D825</x:f>
        <x:v>-1318458840</x:v>
      </x:c>
      <x:c r="AF825" s="87" t="n">
        <x:f>AD825/P825</x:f>
        <x:v>-659229420</x:v>
      </x:c>
      <x:c r="AG825" s="87" t="n">
        <x:f>IF(T825=0,0,AC825/T825/(1-'01 Base Costs'!$B$11))</x:f>
        <x:v>931378833.6582197</x:v>
      </x:c>
      <x:c r="AH825" s="88" t="str">
        <x:f>IF(AD825&gt;0,"PROFIT","LOSS")</x:f>
        <x:v>LOSS</x:v>
      </x:c>
      <x:c r="AI825" s="89" t="str">
        <x:v>Official 24M Omega sale example. MCT sale 30% off. Base 50-pack average.</x:v>
      </x:c>
    </x:row>
    <x:row r="826">
      <x:c r="A826" s="86" t="n">
        <x:v>824</x:v>
      </x:c>
      <x:c r="B826" s="88" t="str">
        <x:v>Sale/Event</x:v>
      </x:c>
      <x:c r="C826" s="88" t="str">
        <x:v>Winter 24M Omega sale</x:v>
      </x:c>
      <x:c r="D826" s="88" t="n">
        <x:v>24</x:v>
      </x:c>
      <x:c r="E826" s="88" t="n">
        <x:v>2</x:v>
      </x:c>
      <x:c r="F826" s="88" t="str">
        <x:v>NES MCT 30% sale</x:v>
      </x:c>
      <x:c r="G826" s="88" t="str">
        <x:v>NES 3-for-2 extractor sale</x:v>
      </x:c>
      <x:c r="H826" s="87" t="n">
        <x:f>'01 Base Costs'!$B$29</x:f>
        <x:v>5280</x:v>
      </x:c>
      <x:c r="I826" s="87" t="n">
        <x:f>'01 Base Costs'!$B$16*0.7</x:f>
        <x:v>339.5</x:v>
      </x:c>
      <x:c r="J826" s="87" t="n">
        <x:f>0</x:f>
        <x:v>0</x:v>
      </x:c>
      <x:c r="K826" s="87" t="n">
        <x:f>D826*(E826-1)*I826</x:f>
        <x:v>8148</x:v>
      </x:c>
      <x:c r="L826" s="87" t="n">
        <x:f>D826*(E826-1)*J826</x:f>
        <x:v>0</x:v>
      </x:c>
      <x:c r="M826" s="87" t="n">
        <x:f>0</x:f>
        <x:v>0</x:v>
      </x:c>
      <x:c r="N826" s="87" t="n">
        <x:f>H826+K826+M826</x:f>
        <x:v>13428</x:v>
      </x:c>
      <x:c r="O826" s="87" t="n">
        <x:f>N826*'01 Base Costs'!$B$7+L826</x:f>
        <x:v>64588680000</x:v>
      </x:c>
      <x:c r="P826" s="87" t="n">
        <x:f>D826*E826</x:f>
        <x:v>48</x:v>
      </x:c>
      <x:c r="Q826" s="87" t="n">
        <x:f>P826*'01 Base Costs'!$B$12</x:f>
        <x:v>93312000</x:v>
      </x:c>
      <x:c r="R826" s="87" t="n">
        <x:f>0</x:f>
        <x:v>0</x:v>
      </x:c>
      <x:c r="S826" s="87" t="n">
        <x:f>Q826+R826</x:f>
        <x:v>93312000</x:v>
      </x:c>
      <x:c r="T826" s="141" t="n">
        <x:f>S826/'01 Base Costs'!$B$14</x:f>
        <x:v>186.624</x:v>
      </x:c>
      <x:c r="U826" s="87" t="n">
        <x:f>INT(T826)</x:f>
        <x:v>186</x:v>
      </x:c>
      <x:c r="V826" s="87" t="n">
        <x:f>S826-U826*'01 Base Costs'!$B$14</x:f>
        <x:v>312000</x:v>
      </x:c>
      <x:c r="W826" s="120" t="n">
        <x:f>'01 Base Costs'!$B$17*2/3</x:f>
        <x:v>93.33333333333333</x:v>
      </x:c>
      <x:c r="X826" s="120" t="n">
        <x:f>0</x:f>
        <x:v>0</x:v>
      </x:c>
      <x:c r="Y826" s="87" t="n">
        <x:f>T826*(W826*'01 Base Costs'!$B$7+X826)</x:f>
        <x:v>83781734400</x:v>
      </x:c>
      <x:c r="Z826" s="87" t="n">
        <x:f>T826*'01 Base Costs'!$B$8</x:f>
        <x:v>140509209600</x:v>
      </x:c>
      <x:c r="AA826" s="87" t="n">
        <x:f>Z826*'01 Base Costs'!$B$11</x:f>
        <x:v>7025460480</x:v>
      </x:c>
      <x:c r="AB826" s="87" t="n">
        <x:f>Z826-AA826</x:f>
        <x:v>133483749120</x:v>
      </x:c>
      <x:c r="AC826" s="87" t="n">
        <x:f>O826+Y826</x:f>
        <x:v>148370414400</x:v>
      </x:c>
      <x:c r="AD826" s="87" t="n">
        <x:f>AB826-AC826</x:f>
        <x:v>-14886665280</x:v>
      </x:c>
      <x:c r="AE826" s="87" t="n">
        <x:f>AD826/D826</x:f>
        <x:v>-620277720</x:v>
      </x:c>
      <x:c r="AF826" s="87" t="n">
        <x:f>AD826/P826</x:f>
        <x:v>-310138860</x:v>
      </x:c>
      <x:c r="AG826" s="87" t="n">
        <x:f>IF(T826=0,0,AC826/T826/(1-'01 Base Costs'!$B$11))</x:f>
        <x:v>836866552.9564654</x:v>
      </x:c>
      <x:c r="AH826" s="88" t="str">
        <x:f>IF(AD826&gt;0,"PROFIT","LOSS")</x:f>
        <x:v>LOSS</x:v>
      </x:c>
      <x:c r="AI826" s="89" t="str">
        <x:v>Official 24M Omega sale example. MCT sale 30% off. Extractor 3-for-2 sale.</x:v>
      </x:c>
    </x:row>
    <x:row r="827">
      <x:c r="A827" s="86" t="n">
        <x:v>825</x:v>
      </x:c>
      <x:c r="B827" s="88" t="str">
        <x:v>Sale/Event</x:v>
      </x:c>
      <x:c r="C827" s="88" t="str">
        <x:v>Winter 24M Omega sale</x:v>
      </x:c>
      <x:c r="D827" s="88" t="n">
        <x:v>24</x:v>
      </x:c>
      <x:c r="E827" s="88" t="n">
        <x:v>2</x:v>
      </x:c>
      <x:c r="F827" s="88" t="str">
        <x:v>NES MCT 30% sale</x:v>
      </x:c>
      <x:c r="G827" s="88" t="str">
        <x:v>NES 2-for-1 extractor sale</x:v>
      </x:c>
      <x:c r="H827" s="87" t="n">
        <x:f>'01 Base Costs'!$B$29</x:f>
        <x:v>5280</x:v>
      </x:c>
      <x:c r="I827" s="87" t="n">
        <x:f>'01 Base Costs'!$B$16*0.7</x:f>
        <x:v>339.5</x:v>
      </x:c>
      <x:c r="J827" s="87" t="n">
        <x:f>0</x:f>
        <x:v>0</x:v>
      </x:c>
      <x:c r="K827" s="87" t="n">
        <x:f>D827*(E827-1)*I827</x:f>
        <x:v>8148</x:v>
      </x:c>
      <x:c r="L827" s="87" t="n">
        <x:f>D827*(E827-1)*J827</x:f>
        <x:v>0</x:v>
      </x:c>
      <x:c r="M827" s="87" t="n">
        <x:f>0</x:f>
        <x:v>0</x:v>
      </x:c>
      <x:c r="N827" s="87" t="n">
        <x:f>H827+K827+M827</x:f>
        <x:v>13428</x:v>
      </x:c>
      <x:c r="O827" s="87" t="n">
        <x:f>N827*'01 Base Costs'!$B$7+L827</x:f>
        <x:v>64588680000</x:v>
      </x:c>
      <x:c r="P827" s="87" t="n">
        <x:f>D827*E827</x:f>
        <x:v>48</x:v>
      </x:c>
      <x:c r="Q827" s="87" t="n">
        <x:f>P827*'01 Base Costs'!$B$12</x:f>
        <x:v>93312000</x:v>
      </x:c>
      <x:c r="R827" s="87" t="n">
        <x:f>0</x:f>
        <x:v>0</x:v>
      </x:c>
      <x:c r="S827" s="87" t="n">
        <x:f>Q827+R827</x:f>
        <x:v>93312000</x:v>
      </x:c>
      <x:c r="T827" s="141" t="n">
        <x:f>S827/'01 Base Costs'!$B$14</x:f>
        <x:v>186.624</x:v>
      </x:c>
      <x:c r="U827" s="87" t="n">
        <x:f>INT(T827)</x:f>
        <x:v>186</x:v>
      </x:c>
      <x:c r="V827" s="87" t="n">
        <x:f>S827-U827*'01 Base Costs'!$B$14</x:f>
        <x:v>312000</x:v>
      </x:c>
      <x:c r="W827" s="120" t="n">
        <x:f>'01 Base Costs'!$B$17/2</x:f>
        <x:v>70</x:v>
      </x:c>
      <x:c r="X827" s="120" t="n">
        <x:f>0</x:f>
        <x:v>0</x:v>
      </x:c>
      <x:c r="Y827" s="87" t="n">
        <x:f>T827*(W827*'01 Base Costs'!$B$7+X827)</x:f>
        <x:v>62836300800</x:v>
      </x:c>
      <x:c r="Z827" s="87" t="n">
        <x:f>T827*'01 Base Costs'!$B$8</x:f>
        <x:v>140509209600</x:v>
      </x:c>
      <x:c r="AA827" s="87" t="n">
        <x:f>Z827*'01 Base Costs'!$B$11</x:f>
        <x:v>7025460480</x:v>
      </x:c>
      <x:c r="AB827" s="87" t="n">
        <x:f>Z827-AA827</x:f>
        <x:v>133483749120</x:v>
      </x:c>
      <x:c r="AC827" s="87" t="n">
        <x:f>O827+Y827</x:f>
        <x:v>127424980800</x:v>
      </x:c>
      <x:c r="AD827" s="87" t="n">
        <x:f>AB827-AC827</x:f>
        <x:v>6058768320</x:v>
      </x:c>
      <x:c r="AE827" s="87" t="n">
        <x:f>AD827/D827</x:f>
        <x:v>252448680</x:v>
      </x:c>
      <x:c r="AF827" s="87" t="n">
        <x:f>AD827/P827</x:f>
        <x:v>126224340</x:v>
      </x:c>
      <x:c r="AG827" s="87" t="n">
        <x:f>IF(T827=0,0,AC827/T827/(1-'01 Base Costs'!$B$11))</x:f>
        <x:v>718726202.0792723</x:v>
      </x:c>
      <x:c r="AH827" s="88" t="str">
        <x:f>IF(AD827&gt;0,"PROFIT","LOSS")</x:f>
        <x:v>PROFIT</x:v>
      </x:c>
      <x:c r="AI827" s="89" t="str">
        <x:v>Official 24M Omega sale example. MCT sale 30% off. Extractor 2-for-1 sale.</x:v>
      </x:c>
    </x:row>
    <x:row r="828">
      <x:c r="A828" s="86" t="n">
        <x:v>826</x:v>
      </x:c>
      <x:c r="B828" s="88" t="str">
        <x:v>Sale/Event</x:v>
      </x:c>
      <x:c r="C828" s="88" t="str">
        <x:v>Winter 24M Omega sale</x:v>
      </x:c>
      <x:c r="D828" s="88" t="n">
        <x:v>24</x:v>
      </x:c>
      <x:c r="E828" s="88" t="n">
        <x:v>2</x:v>
      </x:c>
      <x:c r="F828" s="88" t="str">
        <x:v>NES MCT 30% sale</x:v>
      </x:c>
      <x:c r="G828" s="88" t="str">
        <x:v>NES 10-pack extractor 20% sale</x:v>
      </x:c>
      <x:c r="H828" s="87" t="n">
        <x:f>'01 Base Costs'!$B$29</x:f>
        <x:v>5280</x:v>
      </x:c>
      <x:c r="I828" s="87" t="n">
        <x:f>'01 Base Costs'!$B$16*0.7</x:f>
        <x:v>339.5</x:v>
      </x:c>
      <x:c r="J828" s="87" t="n">
        <x:f>0</x:f>
        <x:v>0</x:v>
      </x:c>
      <x:c r="K828" s="87" t="n">
        <x:f>D828*(E828-1)*I828</x:f>
        <x:v>8148</x:v>
      </x:c>
      <x:c r="L828" s="87" t="n">
        <x:f>D828*(E828-1)*J828</x:f>
        <x:v>0</x:v>
      </x:c>
      <x:c r="M828" s="87" t="n">
        <x:f>0</x:f>
        <x:v>0</x:v>
      </x:c>
      <x:c r="N828" s="87" t="n">
        <x:f>H828+K828+M828</x:f>
        <x:v>13428</x:v>
      </x:c>
      <x:c r="O828" s="87" t="n">
        <x:f>N828*'01 Base Costs'!$B$7+L828</x:f>
        <x:v>64588680000</x:v>
      </x:c>
      <x:c r="P828" s="87" t="n">
        <x:f>D828*E828</x:f>
        <x:v>48</x:v>
      </x:c>
      <x:c r="Q828" s="87" t="n">
        <x:f>P828*'01 Base Costs'!$B$12</x:f>
        <x:v>93312000</x:v>
      </x:c>
      <x:c r="R828" s="87" t="n">
        <x:f>0</x:f>
        <x:v>0</x:v>
      </x:c>
      <x:c r="S828" s="87" t="n">
        <x:f>Q828+R828</x:f>
        <x:v>93312000</x:v>
      </x:c>
      <x:c r="T828" s="141" t="n">
        <x:f>S828/'01 Base Costs'!$B$14</x:f>
        <x:v>186.624</x:v>
      </x:c>
      <x:c r="U828" s="87" t="n">
        <x:f>INT(T828)</x:f>
        <x:v>186</x:v>
      </x:c>
      <x:c r="V828" s="87" t="n">
        <x:f>S828-U828*'01 Base Costs'!$B$14</x:f>
        <x:v>312000</x:v>
      </x:c>
      <x:c r="W828" s="120" t="n">
        <x:f>'01 Base Costs'!$B$19*0.8/10</x:f>
        <x:v>95.2</x:v>
      </x:c>
      <x:c r="X828" s="120" t="n">
        <x:f>0</x:f>
        <x:v>0</x:v>
      </x:c>
      <x:c r="Y828" s="87" t="n">
        <x:f>T828*(W828*'01 Base Costs'!$B$7+X828)</x:f>
        <x:v>85457369088</x:v>
      </x:c>
      <x:c r="Z828" s="87" t="n">
        <x:f>T828*'01 Base Costs'!$B$8</x:f>
        <x:v>140509209600</x:v>
      </x:c>
      <x:c r="AA828" s="87" t="n">
        <x:f>Z828*'01 Base Costs'!$B$11</x:f>
        <x:v>7025460480</x:v>
      </x:c>
      <x:c r="AB828" s="87" t="n">
        <x:f>Z828-AA828</x:f>
        <x:v>133483749120</x:v>
      </x:c>
      <x:c r="AC828" s="87" t="n">
        <x:f>O828+Y828</x:f>
        <x:v>150046049088</x:v>
      </x:c>
      <x:c r="AD828" s="87" t="n">
        <x:f>AB828-AC828</x:f>
        <x:v>-16562299968</x:v>
      </x:c>
      <x:c r="AE828" s="87" t="n">
        <x:f>AD828/D828</x:f>
        <x:v>-690095832</x:v>
      </x:c>
      <x:c r="AF828" s="87" t="n">
        <x:f>AD828/P828</x:f>
        <x:v>-345047916</x:v>
      </x:c>
      <x:c r="AG828" s="87" t="n">
        <x:f>IF(T828=0,0,AC828/T828/(1-'01 Base Costs'!$B$11))</x:f>
        <x:v>846317781.0266408</x:v>
      </x:c>
      <x:c r="AH828" s="88" t="str">
        <x:f>IF(AD828&gt;0,"PROFIT","LOSS")</x:f>
        <x:v>LOSS</x:v>
      </x:c>
      <x:c r="AI828" s="89" t="str">
        <x:v>Official 24M Omega sale example. MCT sale 30% off. 10-pack at 20% off.</x:v>
      </x:c>
    </x:row>
    <x:row r="829">
      <x:c r="A829" s="86" t="n">
        <x:v>827</x:v>
      </x:c>
      <x:c r="B829" s="88" t="str">
        <x:v>Sale/Event</x:v>
      </x:c>
      <x:c r="C829" s="88" t="str">
        <x:v>Winter 24M Omega sale</x:v>
      </x:c>
      <x:c r="D829" s="88" t="n">
        <x:v>24</x:v>
      </x:c>
      <x:c r="E829" s="88" t="n">
        <x:v>2</x:v>
      </x:c>
      <x:c r="F829" s="88" t="str">
        <x:v>NES MCT 30% sale</x:v>
      </x:c>
      <x:c r="G829" s="88" t="str">
        <x:v>NES 50-pack extractor 20% sale</x:v>
      </x:c>
      <x:c r="H829" s="87" t="n">
        <x:f>'01 Base Costs'!$B$29</x:f>
        <x:v>5280</x:v>
      </x:c>
      <x:c r="I829" s="87" t="n">
        <x:f>'01 Base Costs'!$B$16*0.7</x:f>
        <x:v>339.5</x:v>
      </x:c>
      <x:c r="J829" s="87" t="n">
        <x:f>0</x:f>
        <x:v>0</x:v>
      </x:c>
      <x:c r="K829" s="87" t="n">
        <x:f>D829*(E829-1)*I829</x:f>
        <x:v>8148</x:v>
      </x:c>
      <x:c r="L829" s="87" t="n">
        <x:f>D829*(E829-1)*J829</x:f>
        <x:v>0</x:v>
      </x:c>
      <x:c r="M829" s="87" t="n">
        <x:f>0</x:f>
        <x:v>0</x:v>
      </x:c>
      <x:c r="N829" s="87" t="n">
        <x:f>H829+K829+M829</x:f>
        <x:v>13428</x:v>
      </x:c>
      <x:c r="O829" s="87" t="n">
        <x:f>N829*'01 Base Costs'!$B$7+L829</x:f>
        <x:v>64588680000</x:v>
      </x:c>
      <x:c r="P829" s="87" t="n">
        <x:f>D829*E829</x:f>
        <x:v>48</x:v>
      </x:c>
      <x:c r="Q829" s="87" t="n">
        <x:f>P829*'01 Base Costs'!$B$12</x:f>
        <x:v>93312000</x:v>
      </x:c>
      <x:c r="R829" s="87" t="n">
        <x:f>0</x:f>
        <x:v>0</x:v>
      </x:c>
      <x:c r="S829" s="87" t="n">
        <x:f>Q829+R829</x:f>
        <x:v>93312000</x:v>
      </x:c>
      <x:c r="T829" s="141" t="n">
        <x:f>S829/'01 Base Costs'!$B$14</x:f>
        <x:v>186.624</x:v>
      </x:c>
      <x:c r="U829" s="87" t="n">
        <x:f>INT(T829)</x:f>
        <x:v>186</x:v>
      </x:c>
      <x:c r="V829" s="87" t="n">
        <x:f>S829-U829*'01 Base Costs'!$B$14</x:f>
        <x:v>312000</x:v>
      </x:c>
      <x:c r="W829" s="120" t="n">
        <x:f>'01 Base Costs'!$B$20*0.8/50</x:f>
        <x:v>89.6</x:v>
      </x:c>
      <x:c r="X829" s="120" t="n">
        <x:f>0</x:f>
        <x:v>0</x:v>
      </x:c>
      <x:c r="Y829" s="87" t="n">
        <x:f>T829*(W829*'01 Base Costs'!$B$7+X829)</x:f>
        <x:v>80430465024</x:v>
      </x:c>
      <x:c r="Z829" s="87" t="n">
        <x:f>T829*'01 Base Costs'!$B$8</x:f>
        <x:v>140509209600</x:v>
      </x:c>
      <x:c r="AA829" s="87" t="n">
        <x:f>Z829*'01 Base Costs'!$B$11</x:f>
        <x:v>7025460480</x:v>
      </x:c>
      <x:c r="AB829" s="87" t="n">
        <x:f>Z829-AA829</x:f>
        <x:v>133483749120</x:v>
      </x:c>
      <x:c r="AC829" s="87" t="n">
        <x:f>O829+Y829</x:f>
        <x:v>145019145024</x:v>
      </x:c>
      <x:c r="AD829" s="87" t="n">
        <x:f>AB829-AC829</x:f>
        <x:v>-11535395904</x:v>
      </x:c>
      <x:c r="AE829" s="87" t="n">
        <x:f>AD829/D829</x:f>
        <x:v>-480641496</x:v>
      </x:c>
      <x:c r="AF829" s="87" t="n">
        <x:f>AD829/P829</x:f>
        <x:v>-240320748</x:v>
      </x:c>
      <x:c r="AG829" s="87" t="n">
        <x:f>IF(T829=0,0,AC829/T829/(1-'01 Base Costs'!$B$11))</x:f>
        <x:v>817964096.8161144</x:v>
      </x:c>
      <x:c r="AH829" s="88" t="str">
        <x:f>IF(AD829&gt;0,"PROFIT","LOSS")</x:f>
        <x:v>LOSS</x:v>
      </x:c>
      <x:c r="AI829" s="89" t="str">
        <x:v>Official 24M Omega sale example. MCT sale 30% off. 50-pack at 20% off.</x:v>
      </x:c>
    </x:row>
    <x:row r="830">
      <x:c r="A830" s="86" t="n">
        <x:v>828</x:v>
      </x:c>
      <x:c r="B830" s="88" t="str">
        <x:v>Sale/Event</x:v>
      </x:c>
      <x:c r="C830" s="88" t="str">
        <x:v>Winter 24M Omega sale</x:v>
      </x:c>
      <x:c r="D830" s="88" t="n">
        <x:v>24</x:v>
      </x:c>
      <x:c r="E830" s="88" t="n">
        <x:v>2</x:v>
      </x:c>
      <x:c r="F830" s="88" t="str">
        <x:v>NES MCT 30% sale</x:v>
      </x:c>
      <x:c r="G830" s="88" t="str">
        <x:v>Market Skill Extractor</x:v>
      </x:c>
      <x:c r="H830" s="87" t="n">
        <x:f>'01 Base Costs'!$B$29</x:f>
        <x:v>5280</x:v>
      </x:c>
      <x:c r="I830" s="87" t="n">
        <x:f>'01 Base Costs'!$B$16*0.7</x:f>
        <x:v>339.5</x:v>
      </x:c>
      <x:c r="J830" s="87" t="n">
        <x:f>0</x:f>
        <x:v>0</x:v>
      </x:c>
      <x:c r="K830" s="87" t="n">
        <x:f>D830*(E830-1)*I830</x:f>
        <x:v>8148</x:v>
      </x:c>
      <x:c r="L830" s="87" t="n">
        <x:f>D830*(E830-1)*J830</x:f>
        <x:v>0</x:v>
      </x:c>
      <x:c r="M830" s="87" t="n">
        <x:f>0</x:f>
        <x:v>0</x:v>
      </x:c>
      <x:c r="N830" s="87" t="n">
        <x:f>H830+K830+M830</x:f>
        <x:v>13428</x:v>
      </x:c>
      <x:c r="O830" s="87" t="n">
        <x:f>N830*'01 Base Costs'!$B$7+L830</x:f>
        <x:v>64588680000</x:v>
      </x:c>
      <x:c r="P830" s="87" t="n">
        <x:f>D830*E830</x:f>
        <x:v>48</x:v>
      </x:c>
      <x:c r="Q830" s="87" t="n">
        <x:f>P830*'01 Base Costs'!$B$12</x:f>
        <x:v>93312000</x:v>
      </x:c>
      <x:c r="R830" s="87" t="n">
        <x:f>0</x:f>
        <x:v>0</x:v>
      </x:c>
      <x:c r="S830" s="87" t="n">
        <x:f>Q830+R830</x:f>
        <x:v>93312000</x:v>
      </x:c>
      <x:c r="T830" s="141" t="n">
        <x:f>S830/'01 Base Costs'!$B$14</x:f>
        <x:v>186.624</x:v>
      </x:c>
      <x:c r="U830" s="87" t="n">
        <x:f>INT(T830)</x:f>
        <x:v>186</x:v>
      </x:c>
      <x:c r="V830" s="87" t="n">
        <x:f>S830-U830*'01 Base Costs'!$B$14</x:f>
        <x:v>312000</x:v>
      </x:c>
      <x:c r="W830" s="120" t="n">
        <x:f>0</x:f>
        <x:v>0</x:v>
      </x:c>
      <x:c r="X830" s="120" t="n">
        <x:f>'01 Base Costs'!$B$9</x:f>
        <x:v>463500000</x:v>
      </x:c>
      <x:c r="Y830" s="87" t="n">
        <x:f>T830*(W830*'01 Base Costs'!$B$7+X830)</x:f>
        <x:v>86500224000</x:v>
      </x:c>
      <x:c r="Z830" s="87" t="n">
        <x:f>T830*'01 Base Costs'!$B$8</x:f>
        <x:v>140509209600</x:v>
      </x:c>
      <x:c r="AA830" s="87" t="n">
        <x:f>Z830*'01 Base Costs'!$B$11</x:f>
        <x:v>7025460480</x:v>
      </x:c>
      <x:c r="AB830" s="87" t="n">
        <x:f>Z830-AA830</x:f>
        <x:v>133483749120</x:v>
      </x:c>
      <x:c r="AC830" s="87" t="n">
        <x:f>O830+Y830</x:f>
        <x:v>151088904000</x:v>
      </x:c>
      <x:c r="AD830" s="87" t="n">
        <x:f>AB830-AC830</x:f>
        <x:v>-17605154880</x:v>
      </x:c>
      <x:c r="AE830" s="87" t="n">
        <x:f>AD830/D830</x:f>
        <x:v>-733548120</x:v>
      </x:c>
      <x:c r="AF830" s="87" t="n">
        <x:f>AD830/P830</x:f>
        <x:v>-366774060</x:v>
      </x:c>
      <x:c r="AG830" s="87" t="n">
        <x:f>IF(T830=0,0,AC830/T830/(1-'01 Base Costs'!$B$11))</x:f>
        <x:v>852199886.2897986</x:v>
      </x:c>
      <x:c r="AH830" s="88" t="str">
        <x:f>IF(AD830&gt;0,"PROFIT","LOSS")</x:f>
        <x:v>LOSS</x:v>
      </x:c>
      <x:c r="AI830" s="89" t="str">
        <x:v>Official 24M Omega sale example. MCT sale 30% off. Extractor bought on market with ISK.</x:v>
      </x:c>
    </x:row>
    <x:row r="831">
      <x:c r="A831" s="86" t="n">
        <x:v>829</x:v>
      </x:c>
      <x:c r="B831" s="88" t="str">
        <x:v>Sale/Event</x:v>
      </x:c>
      <x:c r="C831" s="88" t="str">
        <x:v>Winter 24M Omega sale</x:v>
      </x:c>
      <x:c r="D831" s="88" t="n">
        <x:v>24</x:v>
      </x:c>
      <x:c r="E831" s="88" t="n">
        <x:v>2</x:v>
      </x:c>
      <x:c r="F831" s="88" t="str">
        <x:v>NES MCT 40% sale</x:v>
      </x:c>
      <x:c r="G831" s="88" t="str">
        <x:v>NES single extractor</x:v>
      </x:c>
      <x:c r="H831" s="87" t="n">
        <x:f>'01 Base Costs'!$B$29</x:f>
        <x:v>5280</x:v>
      </x:c>
      <x:c r="I831" s="87" t="n">
        <x:f>'01 Base Costs'!$B$16*0.6</x:f>
        <x:v>291</x:v>
      </x:c>
      <x:c r="J831" s="87" t="n">
        <x:f>0</x:f>
        <x:v>0</x:v>
      </x:c>
      <x:c r="K831" s="87" t="n">
        <x:f>D831*(E831-1)*I831</x:f>
        <x:v>6984</x:v>
      </x:c>
      <x:c r="L831" s="87" t="n">
        <x:f>D831*(E831-1)*J831</x:f>
        <x:v>0</x:v>
      </x:c>
      <x:c r="M831" s="87" t="n">
        <x:f>0</x:f>
        <x:v>0</x:v>
      </x:c>
      <x:c r="N831" s="87" t="n">
        <x:f>H831+K831+M831</x:f>
        <x:v>12264</x:v>
      </x:c>
      <x:c r="O831" s="87" t="n">
        <x:f>N831*'01 Base Costs'!$B$7+L831</x:f>
        <x:v>58989840000</x:v>
      </x:c>
      <x:c r="P831" s="87" t="n">
        <x:f>D831*E831</x:f>
        <x:v>48</x:v>
      </x:c>
      <x:c r="Q831" s="87" t="n">
        <x:f>P831*'01 Base Costs'!$B$12</x:f>
        <x:v>93312000</x:v>
      </x:c>
      <x:c r="R831" s="87" t="n">
        <x:f>0</x:f>
        <x:v>0</x:v>
      </x:c>
      <x:c r="S831" s="87" t="n">
        <x:f>Q831+R831</x:f>
        <x:v>93312000</x:v>
      </x:c>
      <x:c r="T831" s="141" t="n">
        <x:f>S831/'01 Base Costs'!$B$14</x:f>
        <x:v>186.624</x:v>
      </x:c>
      <x:c r="U831" s="87" t="n">
        <x:f>INT(T831)</x:f>
        <x:v>186</x:v>
      </x:c>
      <x:c r="V831" s="87" t="n">
        <x:f>S831-U831*'01 Base Costs'!$B$14</x:f>
        <x:v>312000</x:v>
      </x:c>
      <x:c r="W831" s="120" t="n">
        <x:f>'01 Base Costs'!$B$17</x:f>
        <x:v>140</x:v>
      </x:c>
      <x:c r="X831" s="120" t="n">
        <x:f>0</x:f>
        <x:v>0</x:v>
      </x:c>
      <x:c r="Y831" s="87" t="n">
        <x:f>T831*(W831*'01 Base Costs'!$B$7+X831)</x:f>
        <x:v>125672601600</x:v>
      </x:c>
      <x:c r="Z831" s="87" t="n">
        <x:f>T831*'01 Base Costs'!$B$8</x:f>
        <x:v>140509209600</x:v>
      </x:c>
      <x:c r="AA831" s="87" t="n">
        <x:f>Z831*'01 Base Costs'!$B$11</x:f>
        <x:v>7025460480</x:v>
      </x:c>
      <x:c r="AB831" s="87" t="n">
        <x:f>Z831-AA831</x:f>
        <x:v>133483749120</x:v>
      </x:c>
      <x:c r="AC831" s="87" t="n">
        <x:f>O831+Y831</x:f>
        <x:v>184662441600</x:v>
      </x:c>
      <x:c r="AD831" s="87" t="n">
        <x:f>AB831-AC831</x:f>
        <x:v>-51178692480</x:v>
      </x:c>
      <x:c r="AE831" s="87" t="n">
        <x:f>AD831/D831</x:f>
        <x:v>-2132445520</x:v>
      </x:c>
      <x:c r="AF831" s="87" t="n">
        <x:f>AD831/P831</x:f>
        <x:v>-1066222760</x:v>
      </x:c>
      <x:c r="AG831" s="87" t="n">
        <x:f>IF(T831=0,0,AC831/T831/(1-'01 Base Costs'!$B$11))</x:f>
        <x:v>1041567630.4959931</x:v>
      </x:c>
      <x:c r="AH831" s="88" t="str">
        <x:f>IF(AD831&gt;0,"PROFIT","LOSS")</x:f>
        <x:v>LOSS</x:v>
      </x:c>
      <x:c r="AI831" s="89" t="str">
        <x:v>Official 24M Omega sale example. MCT sale 40% off. Base single extractor.</x:v>
      </x:c>
    </x:row>
    <x:row r="832">
      <x:c r="A832" s="86" t="n">
        <x:v>830</x:v>
      </x:c>
      <x:c r="B832" s="88" t="str">
        <x:v>Sale/Event</x:v>
      </x:c>
      <x:c r="C832" s="88" t="str">
        <x:v>Winter 24M Omega sale</x:v>
      </x:c>
      <x:c r="D832" s="88" t="n">
        <x:v>24</x:v>
      </x:c>
      <x:c r="E832" s="88" t="n">
        <x:v>2</x:v>
      </x:c>
      <x:c r="F832" s="88" t="str">
        <x:v>NES MCT 40% sale</x:v>
      </x:c>
      <x:c r="G832" s="88" t="str">
        <x:v>NES 5-pack extractor</x:v>
      </x:c>
      <x:c r="H832" s="87" t="n">
        <x:f>'01 Base Costs'!$B$29</x:f>
        <x:v>5280</x:v>
      </x:c>
      <x:c r="I832" s="87" t="n">
        <x:f>'01 Base Costs'!$B$16*0.6</x:f>
        <x:v>291</x:v>
      </x:c>
      <x:c r="J832" s="87" t="n">
        <x:f>0</x:f>
        <x:v>0</x:v>
      </x:c>
      <x:c r="K832" s="87" t="n">
        <x:f>D832*(E832-1)*I832</x:f>
        <x:v>6984</x:v>
      </x:c>
      <x:c r="L832" s="87" t="n">
        <x:f>D832*(E832-1)*J832</x:f>
        <x:v>0</x:v>
      </x:c>
      <x:c r="M832" s="87" t="n">
        <x:f>0</x:f>
        <x:v>0</x:v>
      </x:c>
      <x:c r="N832" s="87" t="n">
        <x:f>H832+K832+M832</x:f>
        <x:v>12264</x:v>
      </x:c>
      <x:c r="O832" s="87" t="n">
        <x:f>N832*'01 Base Costs'!$B$7+L832</x:f>
        <x:v>58989840000</x:v>
      </x:c>
      <x:c r="P832" s="87" t="n">
        <x:f>D832*E832</x:f>
        <x:v>48</x:v>
      </x:c>
      <x:c r="Q832" s="87" t="n">
        <x:f>P832*'01 Base Costs'!$B$12</x:f>
        <x:v>93312000</x:v>
      </x:c>
      <x:c r="R832" s="87" t="n">
        <x:f>0</x:f>
        <x:v>0</x:v>
      </x:c>
      <x:c r="S832" s="87" t="n">
        <x:f>Q832+R832</x:f>
        <x:v>93312000</x:v>
      </x:c>
      <x:c r="T832" s="141" t="n">
        <x:f>S832/'01 Base Costs'!$B$14</x:f>
        <x:v>186.624</x:v>
      </x:c>
      <x:c r="U832" s="87" t="n">
        <x:f>INT(T832)</x:f>
        <x:v>186</x:v>
      </x:c>
      <x:c r="V832" s="87" t="n">
        <x:f>S832-U832*'01 Base Costs'!$B$14</x:f>
        <x:v>312000</x:v>
      </x:c>
      <x:c r="W832" s="120" t="n">
        <x:f>'01 Base Costs'!$B$18/5</x:f>
        <x:v>126</x:v>
      </x:c>
      <x:c r="X832" s="120" t="n">
        <x:f>0</x:f>
        <x:v>0</x:v>
      </x:c>
      <x:c r="Y832" s="87" t="n">
        <x:f>T832*(W832*'01 Base Costs'!$B$7+X832)</x:f>
        <x:v>113105341440</x:v>
      </x:c>
      <x:c r="Z832" s="87" t="n">
        <x:f>T832*'01 Base Costs'!$B$8</x:f>
        <x:v>140509209600</x:v>
      </x:c>
      <x:c r="AA832" s="87" t="n">
        <x:f>Z832*'01 Base Costs'!$B$11</x:f>
        <x:v>7025460480</x:v>
      </x:c>
      <x:c r="AB832" s="87" t="n">
        <x:f>Z832-AA832</x:f>
        <x:v>133483749120</x:v>
      </x:c>
      <x:c r="AC832" s="87" t="n">
        <x:f>O832+Y832</x:f>
        <x:v>172095181440</x:v>
      </x:c>
      <x:c r="AD832" s="87" t="n">
        <x:f>AB832-AC832</x:f>
        <x:v>-38611432320</x:v>
      </x:c>
      <x:c r="AE832" s="87" t="n">
        <x:f>AD832/D832</x:f>
        <x:v>-1608809680</x:v>
      </x:c>
      <x:c r="AF832" s="87" t="n">
        <x:f>AD832/P832</x:f>
        <x:v>-804404840</x:v>
      </x:c>
      <x:c r="AG832" s="87" t="n">
        <x:f>IF(T832=0,0,AC832/T832/(1-'01 Base Costs'!$B$11))</x:f>
        <x:v>970683419.9696773</x:v>
      </x:c>
      <x:c r="AH832" s="88" t="str">
        <x:f>IF(AD832&gt;0,"PROFIT","LOSS")</x:f>
        <x:v>LOSS</x:v>
      </x:c>
      <x:c r="AI832" s="89" t="str">
        <x:v>Official 24M Omega sale example. MCT sale 40% off. Base 5-pack average.</x:v>
      </x:c>
    </x:row>
    <x:row r="833">
      <x:c r="A833" s="86" t="n">
        <x:v>831</x:v>
      </x:c>
      <x:c r="B833" s="88" t="str">
        <x:v>Sale/Event</x:v>
      </x:c>
      <x:c r="C833" s="88" t="str">
        <x:v>Winter 24M Omega sale</x:v>
      </x:c>
      <x:c r="D833" s="88" t="n">
        <x:v>24</x:v>
      </x:c>
      <x:c r="E833" s="88" t="n">
        <x:v>2</x:v>
      </x:c>
      <x:c r="F833" s="88" t="str">
        <x:v>NES MCT 40% sale</x:v>
      </x:c>
      <x:c r="G833" s="88" t="str">
        <x:v>NES 10-pack extractor</x:v>
      </x:c>
      <x:c r="H833" s="87" t="n">
        <x:f>'01 Base Costs'!$B$29</x:f>
        <x:v>5280</x:v>
      </x:c>
      <x:c r="I833" s="87" t="n">
        <x:f>'01 Base Costs'!$B$16*0.6</x:f>
        <x:v>291</x:v>
      </x:c>
      <x:c r="J833" s="87" t="n">
        <x:f>0</x:f>
        <x:v>0</x:v>
      </x:c>
      <x:c r="K833" s="87" t="n">
        <x:f>D833*(E833-1)*I833</x:f>
        <x:v>6984</x:v>
      </x:c>
      <x:c r="L833" s="87" t="n">
        <x:f>D833*(E833-1)*J833</x:f>
        <x:v>0</x:v>
      </x:c>
      <x:c r="M833" s="87" t="n">
        <x:f>0</x:f>
        <x:v>0</x:v>
      </x:c>
      <x:c r="N833" s="87" t="n">
        <x:f>H833+K833+M833</x:f>
        <x:v>12264</x:v>
      </x:c>
      <x:c r="O833" s="87" t="n">
        <x:f>N833*'01 Base Costs'!$B$7+L833</x:f>
        <x:v>58989840000</x:v>
      </x:c>
      <x:c r="P833" s="87" t="n">
        <x:f>D833*E833</x:f>
        <x:v>48</x:v>
      </x:c>
      <x:c r="Q833" s="87" t="n">
        <x:f>P833*'01 Base Costs'!$B$12</x:f>
        <x:v>93312000</x:v>
      </x:c>
      <x:c r="R833" s="87" t="n">
        <x:f>0</x:f>
        <x:v>0</x:v>
      </x:c>
      <x:c r="S833" s="87" t="n">
        <x:f>Q833+R833</x:f>
        <x:v>93312000</x:v>
      </x:c>
      <x:c r="T833" s="141" t="n">
        <x:f>S833/'01 Base Costs'!$B$14</x:f>
        <x:v>186.624</x:v>
      </x:c>
      <x:c r="U833" s="87" t="n">
        <x:f>INT(T833)</x:f>
        <x:v>186</x:v>
      </x:c>
      <x:c r="V833" s="87" t="n">
        <x:f>S833-U833*'01 Base Costs'!$B$14</x:f>
        <x:v>312000</x:v>
      </x:c>
      <x:c r="W833" s="120" t="n">
        <x:f>'01 Base Costs'!$B$19/10</x:f>
        <x:v>119</x:v>
      </x:c>
      <x:c r="X833" s="120" t="n">
        <x:f>0</x:f>
        <x:v>0</x:v>
      </x:c>
      <x:c r="Y833" s="87" t="n">
        <x:f>T833*(W833*'01 Base Costs'!$B$7+X833)</x:f>
        <x:v>106821711360</x:v>
      </x:c>
      <x:c r="Z833" s="87" t="n">
        <x:f>T833*'01 Base Costs'!$B$8</x:f>
        <x:v>140509209600</x:v>
      </x:c>
      <x:c r="AA833" s="87" t="n">
        <x:f>Z833*'01 Base Costs'!$B$11</x:f>
        <x:v>7025460480</x:v>
      </x:c>
      <x:c r="AB833" s="87" t="n">
        <x:f>Z833-AA833</x:f>
        <x:v>133483749120</x:v>
      </x:c>
      <x:c r="AC833" s="87" t="n">
        <x:f>O833+Y833</x:f>
        <x:v>165811551360</x:v>
      </x:c>
      <x:c r="AD833" s="87" t="n">
        <x:f>AB833-AC833</x:f>
        <x:v>-32327802240</x:v>
      </x:c>
      <x:c r="AE833" s="87" t="n">
        <x:f>AD833/D833</x:f>
        <x:v>-1346991760</x:v>
      </x:c>
      <x:c r="AF833" s="87" t="n">
        <x:f>AD833/P833</x:f>
        <x:v>-673495880</x:v>
      </x:c>
      <x:c r="AG833" s="87" t="n">
        <x:f>IF(T833=0,0,AC833/T833/(1-'01 Base Costs'!$B$11))</x:f>
        <x:v>935241314.7065195</x:v>
      </x:c>
      <x:c r="AH833" s="88" t="str">
        <x:f>IF(AD833&gt;0,"PROFIT","LOSS")</x:f>
        <x:v>LOSS</x:v>
      </x:c>
      <x:c r="AI833" s="89" t="str">
        <x:v>Official 24M Omega sale example. MCT sale 40% off. Base 10-pack average.</x:v>
      </x:c>
    </x:row>
    <x:row r="834">
      <x:c r="A834" s="86" t="n">
        <x:v>832</x:v>
      </x:c>
      <x:c r="B834" s="88" t="str">
        <x:v>Sale/Event</x:v>
      </x:c>
      <x:c r="C834" s="88" t="str">
        <x:v>Winter 24M Omega sale</x:v>
      </x:c>
      <x:c r="D834" s="88" t="n">
        <x:v>24</x:v>
      </x:c>
      <x:c r="E834" s="88" t="n">
        <x:v>2</x:v>
      </x:c>
      <x:c r="F834" s="88" t="str">
        <x:v>NES MCT 40% sale</x:v>
      </x:c>
      <x:c r="G834" s="88" t="str">
        <x:v>NES 50-pack extractor</x:v>
      </x:c>
      <x:c r="H834" s="87" t="n">
        <x:f>'01 Base Costs'!$B$29</x:f>
        <x:v>5280</x:v>
      </x:c>
      <x:c r="I834" s="87" t="n">
        <x:f>'01 Base Costs'!$B$16*0.6</x:f>
        <x:v>291</x:v>
      </x:c>
      <x:c r="J834" s="87" t="n">
        <x:f>0</x:f>
        <x:v>0</x:v>
      </x:c>
      <x:c r="K834" s="87" t="n">
        <x:f>D834*(E834-1)*I834</x:f>
        <x:v>6984</x:v>
      </x:c>
      <x:c r="L834" s="87" t="n">
        <x:f>D834*(E834-1)*J834</x:f>
        <x:v>0</x:v>
      </x:c>
      <x:c r="M834" s="87" t="n">
        <x:f>0</x:f>
        <x:v>0</x:v>
      </x:c>
      <x:c r="N834" s="87" t="n">
        <x:f>H834+K834+M834</x:f>
        <x:v>12264</x:v>
      </x:c>
      <x:c r="O834" s="87" t="n">
        <x:f>N834*'01 Base Costs'!$B$7+L834</x:f>
        <x:v>58989840000</x:v>
      </x:c>
      <x:c r="P834" s="87" t="n">
        <x:f>D834*E834</x:f>
        <x:v>48</x:v>
      </x:c>
      <x:c r="Q834" s="87" t="n">
        <x:f>P834*'01 Base Costs'!$B$12</x:f>
        <x:v>93312000</x:v>
      </x:c>
      <x:c r="R834" s="87" t="n">
        <x:f>0</x:f>
        <x:v>0</x:v>
      </x:c>
      <x:c r="S834" s="87" t="n">
        <x:f>Q834+R834</x:f>
        <x:v>93312000</x:v>
      </x:c>
      <x:c r="T834" s="141" t="n">
        <x:f>S834/'01 Base Costs'!$B$14</x:f>
        <x:v>186.624</x:v>
      </x:c>
      <x:c r="U834" s="87" t="n">
        <x:f>INT(T834)</x:f>
        <x:v>186</x:v>
      </x:c>
      <x:c r="V834" s="87" t="n">
        <x:f>S834-U834*'01 Base Costs'!$B$14</x:f>
        <x:v>312000</x:v>
      </x:c>
      <x:c r="W834" s="120" t="n">
        <x:f>'01 Base Costs'!$B$20/50</x:f>
        <x:v>112</x:v>
      </x:c>
      <x:c r="X834" s="120" t="n">
        <x:f>0</x:f>
        <x:v>0</x:v>
      </x:c>
      <x:c r="Y834" s="87" t="n">
        <x:f>T834*(W834*'01 Base Costs'!$B$7+X834)</x:f>
        <x:v>100538081280</x:v>
      </x:c>
      <x:c r="Z834" s="87" t="n">
        <x:f>T834*'01 Base Costs'!$B$8</x:f>
        <x:v>140509209600</x:v>
      </x:c>
      <x:c r="AA834" s="87" t="n">
        <x:f>Z834*'01 Base Costs'!$B$11</x:f>
        <x:v>7025460480</x:v>
      </x:c>
      <x:c r="AB834" s="87" t="n">
        <x:f>Z834-AA834</x:f>
        <x:v>133483749120</x:v>
      </x:c>
      <x:c r="AC834" s="87" t="n">
        <x:f>O834+Y834</x:f>
        <x:v>159527921280</x:v>
      </x:c>
      <x:c r="AD834" s="87" t="n">
        <x:f>AB834-AC834</x:f>
        <x:v>-26044172160</x:v>
      </x:c>
      <x:c r="AE834" s="87" t="n">
        <x:f>AD834/D834</x:f>
        <x:v>-1085173840</x:v>
      </x:c>
      <x:c r="AF834" s="87" t="n">
        <x:f>AD834/P834</x:f>
        <x:v>-542586920</x:v>
      </x:c>
      <x:c r="AG834" s="87" t="n">
        <x:f>IF(T834=0,0,AC834/T834/(1-'01 Base Costs'!$B$11))</x:f>
        <x:v>899799209.4433615</x:v>
      </x:c>
      <x:c r="AH834" s="88" t="str">
        <x:f>IF(AD834&gt;0,"PROFIT","LOSS")</x:f>
        <x:v>LOSS</x:v>
      </x:c>
      <x:c r="AI834" s="89" t="str">
        <x:v>Official 24M Omega sale example. MCT sale 40% off. Base 50-pack average.</x:v>
      </x:c>
    </x:row>
    <x:row r="835">
      <x:c r="A835" s="86" t="n">
        <x:v>833</x:v>
      </x:c>
      <x:c r="B835" s="88" t="str">
        <x:v>Sale/Event</x:v>
      </x:c>
      <x:c r="C835" s="88" t="str">
        <x:v>Winter 24M Omega sale</x:v>
      </x:c>
      <x:c r="D835" s="88" t="n">
        <x:v>24</x:v>
      </x:c>
      <x:c r="E835" s="88" t="n">
        <x:v>2</x:v>
      </x:c>
      <x:c r="F835" s="88" t="str">
        <x:v>NES MCT 40% sale</x:v>
      </x:c>
      <x:c r="G835" s="88" t="str">
        <x:v>NES 3-for-2 extractor sale</x:v>
      </x:c>
      <x:c r="H835" s="87" t="n">
        <x:f>'01 Base Costs'!$B$29</x:f>
        <x:v>5280</x:v>
      </x:c>
      <x:c r="I835" s="87" t="n">
        <x:f>'01 Base Costs'!$B$16*0.6</x:f>
        <x:v>291</x:v>
      </x:c>
      <x:c r="J835" s="87" t="n">
        <x:f>0</x:f>
        <x:v>0</x:v>
      </x:c>
      <x:c r="K835" s="87" t="n">
        <x:f>D835*(E835-1)*I835</x:f>
        <x:v>6984</x:v>
      </x:c>
      <x:c r="L835" s="87" t="n">
        <x:f>D835*(E835-1)*J835</x:f>
        <x:v>0</x:v>
      </x:c>
      <x:c r="M835" s="87" t="n">
        <x:f>0</x:f>
        <x:v>0</x:v>
      </x:c>
      <x:c r="N835" s="87" t="n">
        <x:f>H835+K835+M835</x:f>
        <x:v>12264</x:v>
      </x:c>
      <x:c r="O835" s="87" t="n">
        <x:f>N835*'01 Base Costs'!$B$7+L835</x:f>
        <x:v>58989840000</x:v>
      </x:c>
      <x:c r="P835" s="87" t="n">
        <x:f>D835*E835</x:f>
        <x:v>48</x:v>
      </x:c>
      <x:c r="Q835" s="87" t="n">
        <x:f>P835*'01 Base Costs'!$B$12</x:f>
        <x:v>93312000</x:v>
      </x:c>
      <x:c r="R835" s="87" t="n">
        <x:f>0</x:f>
        <x:v>0</x:v>
      </x:c>
      <x:c r="S835" s="87" t="n">
        <x:f>Q835+R835</x:f>
        <x:v>93312000</x:v>
      </x:c>
      <x:c r="T835" s="141" t="n">
        <x:f>S835/'01 Base Costs'!$B$14</x:f>
        <x:v>186.624</x:v>
      </x:c>
      <x:c r="U835" s="87" t="n">
        <x:f>INT(T835)</x:f>
        <x:v>186</x:v>
      </x:c>
      <x:c r="V835" s="87" t="n">
        <x:f>S835-U835*'01 Base Costs'!$B$14</x:f>
        <x:v>312000</x:v>
      </x:c>
      <x:c r="W835" s="120" t="n">
        <x:f>'01 Base Costs'!$B$17*2/3</x:f>
        <x:v>93.33333333333333</x:v>
      </x:c>
      <x:c r="X835" s="120" t="n">
        <x:f>0</x:f>
        <x:v>0</x:v>
      </x:c>
      <x:c r="Y835" s="87" t="n">
        <x:f>T835*(W835*'01 Base Costs'!$B$7+X835)</x:f>
        <x:v>83781734400</x:v>
      </x:c>
      <x:c r="Z835" s="87" t="n">
        <x:f>T835*'01 Base Costs'!$B$8</x:f>
        <x:v>140509209600</x:v>
      </x:c>
      <x:c r="AA835" s="87" t="n">
        <x:f>Z835*'01 Base Costs'!$B$11</x:f>
        <x:v>7025460480</x:v>
      </x:c>
      <x:c r="AB835" s="87" t="n">
        <x:f>Z835-AA835</x:f>
        <x:v>133483749120</x:v>
      </x:c>
      <x:c r="AC835" s="87" t="n">
        <x:f>O835+Y835</x:f>
        <x:v>142771574400</x:v>
      </x:c>
      <x:c r="AD835" s="87" t="n">
        <x:f>AB835-AC835</x:f>
        <x:v>-9287825280</x:v>
      </x:c>
      <x:c r="AE835" s="87" t="n">
        <x:f>AD835/D835</x:f>
        <x:v>-386992720</x:v>
      </x:c>
      <x:c r="AF835" s="87" t="n">
        <x:f>AD835/P835</x:f>
        <x:v>-193496360</x:v>
      </x:c>
      <x:c r="AG835" s="87" t="n">
        <x:f>IF(T835=0,0,AC835/T835/(1-'01 Base Costs'!$B$11))</x:f>
        <x:v>805286928.7416072</x:v>
      </x:c>
      <x:c r="AH835" s="88" t="str">
        <x:f>IF(AD835&gt;0,"PROFIT","LOSS")</x:f>
        <x:v>LOSS</x:v>
      </x:c>
      <x:c r="AI835" s="89" t="str">
        <x:v>Official 24M Omega sale example. MCT sale 40% off. Extractor 3-for-2 sale.</x:v>
      </x:c>
    </x:row>
    <x:row r="836">
      <x:c r="A836" s="86" t="n">
        <x:v>834</x:v>
      </x:c>
      <x:c r="B836" s="88" t="str">
        <x:v>Sale/Event</x:v>
      </x:c>
      <x:c r="C836" s="88" t="str">
        <x:v>Winter 24M Omega sale</x:v>
      </x:c>
      <x:c r="D836" s="88" t="n">
        <x:v>24</x:v>
      </x:c>
      <x:c r="E836" s="88" t="n">
        <x:v>2</x:v>
      </x:c>
      <x:c r="F836" s="88" t="str">
        <x:v>NES MCT 40% sale</x:v>
      </x:c>
      <x:c r="G836" s="88" t="str">
        <x:v>NES 2-for-1 extractor sale</x:v>
      </x:c>
      <x:c r="H836" s="87" t="n">
        <x:f>'01 Base Costs'!$B$29</x:f>
        <x:v>5280</x:v>
      </x:c>
      <x:c r="I836" s="87" t="n">
        <x:f>'01 Base Costs'!$B$16*0.6</x:f>
        <x:v>291</x:v>
      </x:c>
      <x:c r="J836" s="87" t="n">
        <x:f>0</x:f>
        <x:v>0</x:v>
      </x:c>
      <x:c r="K836" s="87" t="n">
        <x:f>D836*(E836-1)*I836</x:f>
        <x:v>6984</x:v>
      </x:c>
      <x:c r="L836" s="87" t="n">
        <x:f>D836*(E836-1)*J836</x:f>
        <x:v>0</x:v>
      </x:c>
      <x:c r="M836" s="87" t="n">
        <x:f>0</x:f>
        <x:v>0</x:v>
      </x:c>
      <x:c r="N836" s="87" t="n">
        <x:f>H836+K836+M836</x:f>
        <x:v>12264</x:v>
      </x:c>
      <x:c r="O836" s="87" t="n">
        <x:f>N836*'01 Base Costs'!$B$7+L836</x:f>
        <x:v>58989840000</x:v>
      </x:c>
      <x:c r="P836" s="87" t="n">
        <x:f>D836*E836</x:f>
        <x:v>48</x:v>
      </x:c>
      <x:c r="Q836" s="87" t="n">
        <x:f>P836*'01 Base Costs'!$B$12</x:f>
        <x:v>93312000</x:v>
      </x:c>
      <x:c r="R836" s="87" t="n">
        <x:f>0</x:f>
        <x:v>0</x:v>
      </x:c>
      <x:c r="S836" s="87" t="n">
        <x:f>Q836+R836</x:f>
        <x:v>93312000</x:v>
      </x:c>
      <x:c r="T836" s="141" t="n">
        <x:f>S836/'01 Base Costs'!$B$14</x:f>
        <x:v>186.624</x:v>
      </x:c>
      <x:c r="U836" s="87" t="n">
        <x:f>INT(T836)</x:f>
        <x:v>186</x:v>
      </x:c>
      <x:c r="V836" s="87" t="n">
        <x:f>S836-U836*'01 Base Costs'!$B$14</x:f>
        <x:v>312000</x:v>
      </x:c>
      <x:c r="W836" s="120" t="n">
        <x:f>'01 Base Costs'!$B$17/2</x:f>
        <x:v>70</x:v>
      </x:c>
      <x:c r="X836" s="120" t="n">
        <x:f>0</x:f>
        <x:v>0</x:v>
      </x:c>
      <x:c r="Y836" s="87" t="n">
        <x:f>T836*(W836*'01 Base Costs'!$B$7+X836)</x:f>
        <x:v>62836300800</x:v>
      </x:c>
      <x:c r="Z836" s="87" t="n">
        <x:f>T836*'01 Base Costs'!$B$8</x:f>
        <x:v>140509209600</x:v>
      </x:c>
      <x:c r="AA836" s="87" t="n">
        <x:f>Z836*'01 Base Costs'!$B$11</x:f>
        <x:v>7025460480</x:v>
      </x:c>
      <x:c r="AB836" s="87" t="n">
        <x:f>Z836-AA836</x:f>
        <x:v>133483749120</x:v>
      </x:c>
      <x:c r="AC836" s="87" t="n">
        <x:f>O836+Y836</x:f>
        <x:v>121826140800</x:v>
      </x:c>
      <x:c r="AD836" s="87" t="n">
        <x:f>AB836-AC836</x:f>
        <x:v>11657608320</x:v>
      </x:c>
      <x:c r="AE836" s="87" t="n">
        <x:f>AD836/D836</x:f>
        <x:v>485733680</x:v>
      </x:c>
      <x:c r="AF836" s="87" t="n">
        <x:f>AD836/P836</x:f>
        <x:v>242866840</x:v>
      </x:c>
      <x:c r="AG836" s="87" t="n">
        <x:f>IF(T836=0,0,AC836/T836/(1-'01 Base Costs'!$B$11))</x:f>
        <x:v>687146577.8644142</x:v>
      </x:c>
      <x:c r="AH836" s="88" t="str">
        <x:f>IF(AD836&gt;0,"PROFIT","LOSS")</x:f>
        <x:v>PROFIT</x:v>
      </x:c>
      <x:c r="AI836" s="89" t="str">
        <x:v>Official 24M Omega sale example. MCT sale 40% off. Extractor 2-for-1 sale.</x:v>
      </x:c>
    </x:row>
    <x:row r="837">
      <x:c r="A837" s="86" t="n">
        <x:v>835</x:v>
      </x:c>
      <x:c r="B837" s="88" t="str">
        <x:v>Sale/Event</x:v>
      </x:c>
      <x:c r="C837" s="88" t="str">
        <x:v>Winter 24M Omega sale</x:v>
      </x:c>
      <x:c r="D837" s="88" t="n">
        <x:v>24</x:v>
      </x:c>
      <x:c r="E837" s="88" t="n">
        <x:v>2</x:v>
      </x:c>
      <x:c r="F837" s="88" t="str">
        <x:v>NES MCT 40% sale</x:v>
      </x:c>
      <x:c r="G837" s="88" t="str">
        <x:v>NES 10-pack extractor 20% sale</x:v>
      </x:c>
      <x:c r="H837" s="87" t="n">
        <x:f>'01 Base Costs'!$B$29</x:f>
        <x:v>5280</x:v>
      </x:c>
      <x:c r="I837" s="87" t="n">
        <x:f>'01 Base Costs'!$B$16*0.6</x:f>
        <x:v>291</x:v>
      </x:c>
      <x:c r="J837" s="87" t="n">
        <x:f>0</x:f>
        <x:v>0</x:v>
      </x:c>
      <x:c r="K837" s="87" t="n">
        <x:f>D837*(E837-1)*I837</x:f>
        <x:v>6984</x:v>
      </x:c>
      <x:c r="L837" s="87" t="n">
        <x:f>D837*(E837-1)*J837</x:f>
        <x:v>0</x:v>
      </x:c>
      <x:c r="M837" s="87" t="n">
        <x:f>0</x:f>
        <x:v>0</x:v>
      </x:c>
      <x:c r="N837" s="87" t="n">
        <x:f>H837+K837+M837</x:f>
        <x:v>12264</x:v>
      </x:c>
      <x:c r="O837" s="87" t="n">
        <x:f>N837*'01 Base Costs'!$B$7+L837</x:f>
        <x:v>58989840000</x:v>
      </x:c>
      <x:c r="P837" s="87" t="n">
        <x:f>D837*E837</x:f>
        <x:v>48</x:v>
      </x:c>
      <x:c r="Q837" s="87" t="n">
        <x:f>P837*'01 Base Costs'!$B$12</x:f>
        <x:v>93312000</x:v>
      </x:c>
      <x:c r="R837" s="87" t="n">
        <x:f>0</x:f>
        <x:v>0</x:v>
      </x:c>
      <x:c r="S837" s="87" t="n">
        <x:f>Q837+R837</x:f>
        <x:v>93312000</x:v>
      </x:c>
      <x:c r="T837" s="141" t="n">
        <x:f>S837/'01 Base Costs'!$B$14</x:f>
        <x:v>186.624</x:v>
      </x:c>
      <x:c r="U837" s="87" t="n">
        <x:f>INT(T837)</x:f>
        <x:v>186</x:v>
      </x:c>
      <x:c r="V837" s="87" t="n">
        <x:f>S837-U837*'01 Base Costs'!$B$14</x:f>
        <x:v>312000</x:v>
      </x:c>
      <x:c r="W837" s="120" t="n">
        <x:f>'01 Base Costs'!$B$19*0.8/10</x:f>
        <x:v>95.2</x:v>
      </x:c>
      <x:c r="X837" s="120" t="n">
        <x:f>0</x:f>
        <x:v>0</x:v>
      </x:c>
      <x:c r="Y837" s="87" t="n">
        <x:f>T837*(W837*'01 Base Costs'!$B$7+X837)</x:f>
        <x:v>85457369088</x:v>
      </x:c>
      <x:c r="Z837" s="87" t="n">
        <x:f>T837*'01 Base Costs'!$B$8</x:f>
        <x:v>140509209600</x:v>
      </x:c>
      <x:c r="AA837" s="87" t="n">
        <x:f>Z837*'01 Base Costs'!$B$11</x:f>
        <x:v>7025460480</x:v>
      </x:c>
      <x:c r="AB837" s="87" t="n">
        <x:f>Z837-AA837</x:f>
        <x:v>133483749120</x:v>
      </x:c>
      <x:c r="AC837" s="87" t="n">
        <x:f>O837+Y837</x:f>
        <x:v>144447209088</x:v>
      </x:c>
      <x:c r="AD837" s="87" t="n">
        <x:f>AB837-AC837</x:f>
        <x:v>-10963459968</x:v>
      </x:c>
      <x:c r="AE837" s="87" t="n">
        <x:f>AD837/D837</x:f>
        <x:v>-456810832</x:v>
      </x:c>
      <x:c r="AF837" s="87" t="n">
        <x:f>AD837/P837</x:f>
        <x:v>-228405416</x:v>
      </x:c>
      <x:c r="AG837" s="87" t="n">
        <x:f>IF(T837=0,0,AC837/T837/(1-'01 Base Costs'!$B$11))</x:f>
        <x:v>814738156.8117826</x:v>
      </x:c>
      <x:c r="AH837" s="88" t="str">
        <x:f>IF(AD837&gt;0,"PROFIT","LOSS")</x:f>
        <x:v>LOSS</x:v>
      </x:c>
      <x:c r="AI837" s="89" t="str">
        <x:v>Official 24M Omega sale example. MCT sale 40% off. 10-pack at 20% off.</x:v>
      </x:c>
    </x:row>
    <x:row r="838">
      <x:c r="A838" s="86" t="n">
        <x:v>836</x:v>
      </x:c>
      <x:c r="B838" s="88" t="str">
        <x:v>Sale/Event</x:v>
      </x:c>
      <x:c r="C838" s="88" t="str">
        <x:v>Winter 24M Omega sale</x:v>
      </x:c>
      <x:c r="D838" s="88" t="n">
        <x:v>24</x:v>
      </x:c>
      <x:c r="E838" s="88" t="n">
        <x:v>2</x:v>
      </x:c>
      <x:c r="F838" s="88" t="str">
        <x:v>NES MCT 40% sale</x:v>
      </x:c>
      <x:c r="G838" s="88" t="str">
        <x:v>NES 50-pack extractor 20% sale</x:v>
      </x:c>
      <x:c r="H838" s="87" t="n">
        <x:f>'01 Base Costs'!$B$29</x:f>
        <x:v>5280</x:v>
      </x:c>
      <x:c r="I838" s="87" t="n">
        <x:f>'01 Base Costs'!$B$16*0.6</x:f>
        <x:v>291</x:v>
      </x:c>
      <x:c r="J838" s="87" t="n">
        <x:f>0</x:f>
        <x:v>0</x:v>
      </x:c>
      <x:c r="K838" s="87" t="n">
        <x:f>D838*(E838-1)*I838</x:f>
        <x:v>6984</x:v>
      </x:c>
      <x:c r="L838" s="87" t="n">
        <x:f>D838*(E838-1)*J838</x:f>
        <x:v>0</x:v>
      </x:c>
      <x:c r="M838" s="87" t="n">
        <x:f>0</x:f>
        <x:v>0</x:v>
      </x:c>
      <x:c r="N838" s="87" t="n">
        <x:f>H838+K838+M838</x:f>
        <x:v>12264</x:v>
      </x:c>
      <x:c r="O838" s="87" t="n">
        <x:f>N838*'01 Base Costs'!$B$7+L838</x:f>
        <x:v>58989840000</x:v>
      </x:c>
      <x:c r="P838" s="87" t="n">
        <x:f>D838*E838</x:f>
        <x:v>48</x:v>
      </x:c>
      <x:c r="Q838" s="87" t="n">
        <x:f>P838*'01 Base Costs'!$B$12</x:f>
        <x:v>93312000</x:v>
      </x:c>
      <x:c r="R838" s="87" t="n">
        <x:f>0</x:f>
        <x:v>0</x:v>
      </x:c>
      <x:c r="S838" s="87" t="n">
        <x:f>Q838+R838</x:f>
        <x:v>93312000</x:v>
      </x:c>
      <x:c r="T838" s="141" t="n">
        <x:f>S838/'01 Base Costs'!$B$14</x:f>
        <x:v>186.624</x:v>
      </x:c>
      <x:c r="U838" s="87" t="n">
        <x:f>INT(T838)</x:f>
        <x:v>186</x:v>
      </x:c>
      <x:c r="V838" s="87" t="n">
        <x:f>S838-U838*'01 Base Costs'!$B$14</x:f>
        <x:v>312000</x:v>
      </x:c>
      <x:c r="W838" s="120" t="n">
        <x:f>'01 Base Costs'!$B$20*0.8/50</x:f>
        <x:v>89.6</x:v>
      </x:c>
      <x:c r="X838" s="120" t="n">
        <x:f>0</x:f>
        <x:v>0</x:v>
      </x:c>
      <x:c r="Y838" s="87" t="n">
        <x:f>T838*(W838*'01 Base Costs'!$B$7+X838)</x:f>
        <x:v>80430465024</x:v>
      </x:c>
      <x:c r="Z838" s="87" t="n">
        <x:f>T838*'01 Base Costs'!$B$8</x:f>
        <x:v>140509209600</x:v>
      </x:c>
      <x:c r="AA838" s="87" t="n">
        <x:f>Z838*'01 Base Costs'!$B$11</x:f>
        <x:v>7025460480</x:v>
      </x:c>
      <x:c r="AB838" s="87" t="n">
        <x:f>Z838-AA838</x:f>
        <x:v>133483749120</x:v>
      </x:c>
      <x:c r="AC838" s="87" t="n">
        <x:f>O838+Y838</x:f>
        <x:v>139420305024</x:v>
      </x:c>
      <x:c r="AD838" s="87" t="n">
        <x:f>AB838-AC838</x:f>
        <x:v>-5936555904</x:v>
      </x:c>
      <x:c r="AE838" s="87" t="n">
        <x:f>AD838/D838</x:f>
        <x:v>-247356496</x:v>
      </x:c>
      <x:c r="AF838" s="87" t="n">
        <x:f>AD838/P838</x:f>
        <x:v>-123678248</x:v>
      </x:c>
      <x:c r="AG838" s="87" t="n">
        <x:f>IF(T838=0,0,AC838/T838/(1-'01 Base Costs'!$B$11))</x:f>
        <x:v>786384472.6012563</x:v>
      </x:c>
      <x:c r="AH838" s="88" t="str">
        <x:f>IF(AD838&gt;0,"PROFIT","LOSS")</x:f>
        <x:v>LOSS</x:v>
      </x:c>
      <x:c r="AI838" s="89" t="str">
        <x:v>Official 24M Omega sale example. MCT sale 40% off. 50-pack at 20% off.</x:v>
      </x:c>
    </x:row>
    <x:row r="839">
      <x:c r="A839" s="86" t="n">
        <x:v>837</x:v>
      </x:c>
      <x:c r="B839" s="88" t="str">
        <x:v>Sale/Event</x:v>
      </x:c>
      <x:c r="C839" s="88" t="str">
        <x:v>Winter 24M Omega sale</x:v>
      </x:c>
      <x:c r="D839" s="88" t="n">
        <x:v>24</x:v>
      </x:c>
      <x:c r="E839" s="88" t="n">
        <x:v>2</x:v>
      </x:c>
      <x:c r="F839" s="88" t="str">
        <x:v>NES MCT 40% sale</x:v>
      </x:c>
      <x:c r="G839" s="88" t="str">
        <x:v>Market Skill Extractor</x:v>
      </x:c>
      <x:c r="H839" s="87" t="n">
        <x:f>'01 Base Costs'!$B$29</x:f>
        <x:v>5280</x:v>
      </x:c>
      <x:c r="I839" s="87" t="n">
        <x:f>'01 Base Costs'!$B$16*0.6</x:f>
        <x:v>291</x:v>
      </x:c>
      <x:c r="J839" s="87" t="n">
        <x:f>0</x:f>
        <x:v>0</x:v>
      </x:c>
      <x:c r="K839" s="87" t="n">
        <x:f>D839*(E839-1)*I839</x:f>
        <x:v>6984</x:v>
      </x:c>
      <x:c r="L839" s="87" t="n">
        <x:f>D839*(E839-1)*J839</x:f>
        <x:v>0</x:v>
      </x:c>
      <x:c r="M839" s="87" t="n">
        <x:f>0</x:f>
        <x:v>0</x:v>
      </x:c>
      <x:c r="N839" s="87" t="n">
        <x:f>H839+K839+M839</x:f>
        <x:v>12264</x:v>
      </x:c>
      <x:c r="O839" s="87" t="n">
        <x:f>N839*'01 Base Costs'!$B$7+L839</x:f>
        <x:v>58989840000</x:v>
      </x:c>
      <x:c r="P839" s="87" t="n">
        <x:f>D839*E839</x:f>
        <x:v>48</x:v>
      </x:c>
      <x:c r="Q839" s="87" t="n">
        <x:f>P839*'01 Base Costs'!$B$12</x:f>
        <x:v>93312000</x:v>
      </x:c>
      <x:c r="R839" s="87" t="n">
        <x:f>0</x:f>
        <x:v>0</x:v>
      </x:c>
      <x:c r="S839" s="87" t="n">
        <x:f>Q839+R839</x:f>
        <x:v>93312000</x:v>
      </x:c>
      <x:c r="T839" s="141" t="n">
        <x:f>S839/'01 Base Costs'!$B$14</x:f>
        <x:v>186.624</x:v>
      </x:c>
      <x:c r="U839" s="87" t="n">
        <x:f>INT(T839)</x:f>
        <x:v>186</x:v>
      </x:c>
      <x:c r="V839" s="87" t="n">
        <x:f>S839-U839*'01 Base Costs'!$B$14</x:f>
        <x:v>312000</x:v>
      </x:c>
      <x:c r="W839" s="120" t="n">
        <x:f>0</x:f>
        <x:v>0</x:v>
      </x:c>
      <x:c r="X839" s="120" t="n">
        <x:f>'01 Base Costs'!$B$9</x:f>
        <x:v>463500000</x:v>
      </x:c>
      <x:c r="Y839" s="87" t="n">
        <x:f>T839*(W839*'01 Base Costs'!$B$7+X839)</x:f>
        <x:v>86500224000</x:v>
      </x:c>
      <x:c r="Z839" s="87" t="n">
        <x:f>T839*'01 Base Costs'!$B$8</x:f>
        <x:v>140509209600</x:v>
      </x:c>
      <x:c r="AA839" s="87" t="n">
        <x:f>Z839*'01 Base Costs'!$B$11</x:f>
        <x:v>7025460480</x:v>
      </x:c>
      <x:c r="AB839" s="87" t="n">
        <x:f>Z839-AA839</x:f>
        <x:v>133483749120</x:v>
      </x:c>
      <x:c r="AC839" s="87" t="n">
        <x:f>O839+Y839</x:f>
        <x:v>145490064000</x:v>
      </x:c>
      <x:c r="AD839" s="87" t="n">
        <x:f>AB839-AC839</x:f>
        <x:v>-12006314880</x:v>
      </x:c>
      <x:c r="AE839" s="87" t="n">
        <x:f>AD839/D839</x:f>
        <x:v>-500263120</x:v>
      </x:c>
      <x:c r="AF839" s="87" t="n">
        <x:f>AD839/P839</x:f>
        <x:v>-250131560</x:v>
      </x:c>
      <x:c r="AG839" s="87" t="n">
        <x:f>IF(T839=0,0,AC839/T839/(1-'01 Base Costs'!$B$11))</x:f>
        <x:v>820620262.0749404</x:v>
      </x:c>
      <x:c r="AH839" s="88" t="str">
        <x:f>IF(AD839&gt;0,"PROFIT","LOSS")</x:f>
        <x:v>LOSS</x:v>
      </x:c>
      <x:c r="AI839" s="89" t="str">
        <x:v>Official 24M Omega sale example. MCT sale 40% off. Extractor bought on market with ISK.</x:v>
      </x:c>
    </x:row>
    <x:row r="840">
      <x:c r="A840" s="86" t="n">
        <x:v>838</x:v>
      </x:c>
      <x:c r="B840" s="88" t="str">
        <x:v>Sale/Event</x:v>
      </x:c>
      <x:c r="C840" s="88" t="str">
        <x:v>Winter 24M Omega sale</x:v>
      </x:c>
      <x:c r="D840" s="88" t="n">
        <x:v>24</x:v>
      </x:c>
      <x:c r="E840" s="88" t="n">
        <x:v>2</x:v>
      </x:c>
      <x:c r="F840" s="88" t="str">
        <x:v>Market MCT certificate</x:v>
      </x:c>
      <x:c r="G840" s="88" t="str">
        <x:v>NES single extractor</x:v>
      </x:c>
      <x:c r="H840" s="87" t="n">
        <x:f>'01 Base Costs'!$B$29</x:f>
        <x:v>5280</x:v>
      </x:c>
      <x:c r="I840" s="87" t="n">
        <x:f>0</x:f>
        <x:v>0</x:v>
      </x:c>
      <x:c r="J840" s="87" t="n">
        <x:f>'01 Base Costs'!$B$10</x:f>
        <x:v>2332850000</x:v>
      </x:c>
      <x:c r="K840" s="87" t="n">
        <x:f>D840*(E840-1)*I840</x:f>
        <x:v>0</x:v>
      </x:c>
      <x:c r="L840" s="87" t="n">
        <x:f>D840*(E840-1)*J840</x:f>
        <x:v>55988400000</x:v>
      </x:c>
      <x:c r="M840" s="87" t="n">
        <x:f>0</x:f>
        <x:v>0</x:v>
      </x:c>
      <x:c r="N840" s="87" t="n">
        <x:f>H840+K840+M840</x:f>
        <x:v>5280</x:v>
      </x:c>
      <x:c r="O840" s="87" t="n">
        <x:f>N840*'01 Base Costs'!$B$7+L840</x:f>
        <x:v>81385200000</x:v>
      </x:c>
      <x:c r="P840" s="87" t="n">
        <x:f>D840*E840</x:f>
        <x:v>48</x:v>
      </x:c>
      <x:c r="Q840" s="87" t="n">
        <x:f>P840*'01 Base Costs'!$B$12</x:f>
        <x:v>93312000</x:v>
      </x:c>
      <x:c r="R840" s="87" t="n">
        <x:f>0</x:f>
        <x:v>0</x:v>
      </x:c>
      <x:c r="S840" s="87" t="n">
        <x:f>Q840+R840</x:f>
        <x:v>93312000</x:v>
      </x:c>
      <x:c r="T840" s="141" t="n">
        <x:f>S840/'01 Base Costs'!$B$14</x:f>
        <x:v>186.624</x:v>
      </x:c>
      <x:c r="U840" s="87" t="n">
        <x:f>INT(T840)</x:f>
        <x:v>186</x:v>
      </x:c>
      <x:c r="V840" s="87" t="n">
        <x:f>S840-U840*'01 Base Costs'!$B$14</x:f>
        <x:v>312000</x:v>
      </x:c>
      <x:c r="W840" s="120" t="n">
        <x:f>'01 Base Costs'!$B$17</x:f>
        <x:v>140</x:v>
      </x:c>
      <x:c r="X840" s="120" t="n">
        <x:f>0</x:f>
        <x:v>0</x:v>
      </x:c>
      <x:c r="Y840" s="87" t="n">
        <x:f>T840*(W840*'01 Base Costs'!$B$7+X840)</x:f>
        <x:v>125672601600</x:v>
      </x:c>
      <x:c r="Z840" s="87" t="n">
        <x:f>T840*'01 Base Costs'!$B$8</x:f>
        <x:v>140509209600</x:v>
      </x:c>
      <x:c r="AA840" s="87" t="n">
        <x:f>Z840*'01 Base Costs'!$B$11</x:f>
        <x:v>7025460480</x:v>
      </x:c>
      <x:c r="AB840" s="87" t="n">
        <x:f>Z840-AA840</x:f>
        <x:v>133483749120</x:v>
      </x:c>
      <x:c r="AC840" s="87" t="n">
        <x:f>O840+Y840</x:f>
        <x:v>207057801600</x:v>
      </x:c>
      <x:c r="AD840" s="87" t="n">
        <x:f>AB840-AC840</x:f>
        <x:v>-73574052480</x:v>
      </x:c>
      <x:c r="AE840" s="87" t="n">
        <x:f>AD840/D840</x:f>
        <x:v>-3065585520</x:v>
      </x:c>
      <x:c r="AF840" s="87" t="n">
        <x:f>AD840/P840</x:f>
        <x:v>-1532792760</x:v>
      </x:c>
      <x:c r="AG840" s="87" t="n">
        <x:f>IF(T840=0,0,AC840/T840/(1-'01 Base Costs'!$B$11))</x:f>
        <x:v>1167886127.3554258</x:v>
      </x:c>
      <x:c r="AH840" s="88" t="str">
        <x:f>IF(AD840&gt;0,"PROFIT","LOSS")</x:f>
        <x:v>LOSS</x:v>
      </x:c>
      <x:c r="AI840" s="89" t="str">
        <x:v>Official 24M Omega sale example. MCT certificate bought with ISK market price. Base single extractor.</x:v>
      </x:c>
    </x:row>
    <x:row r="841">
      <x:c r="A841" s="86" t="n">
        <x:v>839</x:v>
      </x:c>
      <x:c r="B841" s="88" t="str">
        <x:v>Sale/Event</x:v>
      </x:c>
      <x:c r="C841" s="88" t="str">
        <x:v>Winter 24M Omega sale</x:v>
      </x:c>
      <x:c r="D841" s="88" t="n">
        <x:v>24</x:v>
      </x:c>
      <x:c r="E841" s="88" t="n">
        <x:v>2</x:v>
      </x:c>
      <x:c r="F841" s="88" t="str">
        <x:v>Market MCT certificate</x:v>
      </x:c>
      <x:c r="G841" s="88" t="str">
        <x:v>NES 5-pack extractor</x:v>
      </x:c>
      <x:c r="H841" s="87" t="n">
        <x:f>'01 Base Costs'!$B$29</x:f>
        <x:v>5280</x:v>
      </x:c>
      <x:c r="I841" s="87" t="n">
        <x:f>0</x:f>
        <x:v>0</x:v>
      </x:c>
      <x:c r="J841" s="87" t="n">
        <x:f>'01 Base Costs'!$B$10</x:f>
        <x:v>2332850000</x:v>
      </x:c>
      <x:c r="K841" s="87" t="n">
        <x:f>D841*(E841-1)*I841</x:f>
        <x:v>0</x:v>
      </x:c>
      <x:c r="L841" s="87" t="n">
        <x:f>D841*(E841-1)*J841</x:f>
        <x:v>55988400000</x:v>
      </x:c>
      <x:c r="M841" s="87" t="n">
        <x:f>0</x:f>
        <x:v>0</x:v>
      </x:c>
      <x:c r="N841" s="87" t="n">
        <x:f>H841+K841+M841</x:f>
        <x:v>5280</x:v>
      </x:c>
      <x:c r="O841" s="87" t="n">
        <x:f>N841*'01 Base Costs'!$B$7+L841</x:f>
        <x:v>81385200000</x:v>
      </x:c>
      <x:c r="P841" s="87" t="n">
        <x:f>D841*E841</x:f>
        <x:v>48</x:v>
      </x:c>
      <x:c r="Q841" s="87" t="n">
        <x:f>P841*'01 Base Costs'!$B$12</x:f>
        <x:v>93312000</x:v>
      </x:c>
      <x:c r="R841" s="87" t="n">
        <x:f>0</x:f>
        <x:v>0</x:v>
      </x:c>
      <x:c r="S841" s="87" t="n">
        <x:f>Q841+R841</x:f>
        <x:v>93312000</x:v>
      </x:c>
      <x:c r="T841" s="141" t="n">
        <x:f>S841/'01 Base Costs'!$B$14</x:f>
        <x:v>186.624</x:v>
      </x:c>
      <x:c r="U841" s="87" t="n">
        <x:f>INT(T841)</x:f>
        <x:v>186</x:v>
      </x:c>
      <x:c r="V841" s="87" t="n">
        <x:f>S841-U841*'01 Base Costs'!$B$14</x:f>
        <x:v>312000</x:v>
      </x:c>
      <x:c r="W841" s="120" t="n">
        <x:f>'01 Base Costs'!$B$18/5</x:f>
        <x:v>126</x:v>
      </x:c>
      <x:c r="X841" s="120" t="n">
        <x:f>0</x:f>
        <x:v>0</x:v>
      </x:c>
      <x:c r="Y841" s="87" t="n">
        <x:f>T841*(W841*'01 Base Costs'!$B$7+X841)</x:f>
        <x:v>113105341440</x:v>
      </x:c>
      <x:c r="Z841" s="87" t="n">
        <x:f>T841*'01 Base Costs'!$B$8</x:f>
        <x:v>140509209600</x:v>
      </x:c>
      <x:c r="AA841" s="87" t="n">
        <x:f>Z841*'01 Base Costs'!$B$11</x:f>
        <x:v>7025460480</x:v>
      </x:c>
      <x:c r="AB841" s="87" t="n">
        <x:f>Z841-AA841</x:f>
        <x:v>133483749120</x:v>
      </x:c>
      <x:c r="AC841" s="87" t="n">
        <x:f>O841+Y841</x:f>
        <x:v>194490541440</x:v>
      </x:c>
      <x:c r="AD841" s="87" t="n">
        <x:f>AB841-AC841</x:f>
        <x:v>-61006792320</x:v>
      </x:c>
      <x:c r="AE841" s="87" t="n">
        <x:f>AD841/D841</x:f>
        <x:v>-2541949680</x:v>
      </x:c>
      <x:c r="AF841" s="87" t="n">
        <x:f>AD841/P841</x:f>
        <x:v>-1270974840</x:v>
      </x:c>
      <x:c r="AG841" s="87" t="n">
        <x:f>IF(T841=0,0,AC841/T841/(1-'01 Base Costs'!$B$11))</x:f>
        <x:v>1097001916.82911</x:v>
      </x:c>
      <x:c r="AH841" s="88" t="str">
        <x:f>IF(AD841&gt;0,"PROFIT","LOSS")</x:f>
        <x:v>LOSS</x:v>
      </x:c>
      <x:c r="AI841" s="89" t="str">
        <x:v>Official 24M Omega sale example. MCT certificate bought with ISK market price. Base 5-pack average.</x:v>
      </x:c>
    </x:row>
    <x:row r="842">
      <x:c r="A842" s="86" t="n">
        <x:v>840</x:v>
      </x:c>
      <x:c r="B842" s="88" t="str">
        <x:v>Sale/Event</x:v>
      </x:c>
      <x:c r="C842" s="88" t="str">
        <x:v>Winter 24M Omega sale</x:v>
      </x:c>
      <x:c r="D842" s="88" t="n">
        <x:v>24</x:v>
      </x:c>
      <x:c r="E842" s="88" t="n">
        <x:v>2</x:v>
      </x:c>
      <x:c r="F842" s="88" t="str">
        <x:v>Market MCT certificate</x:v>
      </x:c>
      <x:c r="G842" s="88" t="str">
        <x:v>NES 10-pack extractor</x:v>
      </x:c>
      <x:c r="H842" s="87" t="n">
        <x:f>'01 Base Costs'!$B$29</x:f>
        <x:v>5280</x:v>
      </x:c>
      <x:c r="I842" s="87" t="n">
        <x:f>0</x:f>
        <x:v>0</x:v>
      </x:c>
      <x:c r="J842" s="87" t="n">
        <x:f>'01 Base Costs'!$B$10</x:f>
        <x:v>2332850000</x:v>
      </x:c>
      <x:c r="K842" s="87" t="n">
        <x:f>D842*(E842-1)*I842</x:f>
        <x:v>0</x:v>
      </x:c>
      <x:c r="L842" s="87" t="n">
        <x:f>D842*(E842-1)*J842</x:f>
        <x:v>55988400000</x:v>
      </x:c>
      <x:c r="M842" s="87" t="n">
        <x:f>0</x:f>
        <x:v>0</x:v>
      </x:c>
      <x:c r="N842" s="87" t="n">
        <x:f>H842+K842+M842</x:f>
        <x:v>5280</x:v>
      </x:c>
      <x:c r="O842" s="87" t="n">
        <x:f>N842*'01 Base Costs'!$B$7+L842</x:f>
        <x:v>81385200000</x:v>
      </x:c>
      <x:c r="P842" s="87" t="n">
        <x:f>D842*E842</x:f>
        <x:v>48</x:v>
      </x:c>
      <x:c r="Q842" s="87" t="n">
        <x:f>P842*'01 Base Costs'!$B$12</x:f>
        <x:v>93312000</x:v>
      </x:c>
      <x:c r="R842" s="87" t="n">
        <x:f>0</x:f>
        <x:v>0</x:v>
      </x:c>
      <x:c r="S842" s="87" t="n">
        <x:f>Q842+R842</x:f>
        <x:v>93312000</x:v>
      </x:c>
      <x:c r="T842" s="141" t="n">
        <x:f>S842/'01 Base Costs'!$B$14</x:f>
        <x:v>186.624</x:v>
      </x:c>
      <x:c r="U842" s="87" t="n">
        <x:f>INT(T842)</x:f>
        <x:v>186</x:v>
      </x:c>
      <x:c r="V842" s="87" t="n">
        <x:f>S842-U842*'01 Base Costs'!$B$14</x:f>
        <x:v>312000</x:v>
      </x:c>
      <x:c r="W842" s="120" t="n">
        <x:f>'01 Base Costs'!$B$19/10</x:f>
        <x:v>119</x:v>
      </x:c>
      <x:c r="X842" s="120" t="n">
        <x:f>0</x:f>
        <x:v>0</x:v>
      </x:c>
      <x:c r="Y842" s="87" t="n">
        <x:f>T842*(W842*'01 Base Costs'!$B$7+X842)</x:f>
        <x:v>106821711360</x:v>
      </x:c>
      <x:c r="Z842" s="87" t="n">
        <x:f>T842*'01 Base Costs'!$B$8</x:f>
        <x:v>140509209600</x:v>
      </x:c>
      <x:c r="AA842" s="87" t="n">
        <x:f>Z842*'01 Base Costs'!$B$11</x:f>
        <x:v>7025460480</x:v>
      </x:c>
      <x:c r="AB842" s="87" t="n">
        <x:f>Z842-AA842</x:f>
        <x:v>133483749120</x:v>
      </x:c>
      <x:c r="AC842" s="87" t="n">
        <x:f>O842+Y842</x:f>
        <x:v>188206911360</x:v>
      </x:c>
      <x:c r="AD842" s="87" t="n">
        <x:f>AB842-AC842</x:f>
        <x:v>-54723162240</x:v>
      </x:c>
      <x:c r="AE842" s="87" t="n">
        <x:f>AD842/D842</x:f>
        <x:v>-2280131760</x:v>
      </x:c>
      <x:c r="AF842" s="87" t="n">
        <x:f>AD842/P842</x:f>
        <x:v>-1140065880</x:v>
      </x:c>
      <x:c r="AG842" s="87" t="n">
        <x:f>IF(T842=0,0,AC842/T842/(1-'01 Base Costs'!$B$11))</x:f>
        <x:v>1061559811.565952</x:v>
      </x:c>
      <x:c r="AH842" s="88" t="str">
        <x:f>IF(AD842&gt;0,"PROFIT","LOSS")</x:f>
        <x:v>LOSS</x:v>
      </x:c>
      <x:c r="AI842" s="89" t="str">
        <x:v>Official 24M Omega sale example. MCT certificate bought with ISK market price. Base 10-pack average.</x:v>
      </x:c>
    </x:row>
    <x:row r="843">
      <x:c r="A843" s="86" t="n">
        <x:v>841</x:v>
      </x:c>
      <x:c r="B843" s="88" t="str">
        <x:v>Sale/Event</x:v>
      </x:c>
      <x:c r="C843" s="88" t="str">
        <x:v>Winter 24M Omega sale</x:v>
      </x:c>
      <x:c r="D843" s="88" t="n">
        <x:v>24</x:v>
      </x:c>
      <x:c r="E843" s="88" t="n">
        <x:v>2</x:v>
      </x:c>
      <x:c r="F843" s="88" t="str">
        <x:v>Market MCT certificate</x:v>
      </x:c>
      <x:c r="G843" s="88" t="str">
        <x:v>NES 50-pack extractor</x:v>
      </x:c>
      <x:c r="H843" s="87" t="n">
        <x:f>'01 Base Costs'!$B$29</x:f>
        <x:v>5280</x:v>
      </x:c>
      <x:c r="I843" s="87" t="n">
        <x:f>0</x:f>
        <x:v>0</x:v>
      </x:c>
      <x:c r="J843" s="87" t="n">
        <x:f>'01 Base Costs'!$B$10</x:f>
        <x:v>2332850000</x:v>
      </x:c>
      <x:c r="K843" s="87" t="n">
        <x:f>D843*(E843-1)*I843</x:f>
        <x:v>0</x:v>
      </x:c>
      <x:c r="L843" s="87" t="n">
        <x:f>D843*(E843-1)*J843</x:f>
        <x:v>55988400000</x:v>
      </x:c>
      <x:c r="M843" s="87" t="n">
        <x:f>0</x:f>
        <x:v>0</x:v>
      </x:c>
      <x:c r="N843" s="87" t="n">
        <x:f>H843+K843+M843</x:f>
        <x:v>5280</x:v>
      </x:c>
      <x:c r="O843" s="87" t="n">
        <x:f>N843*'01 Base Costs'!$B$7+L843</x:f>
        <x:v>81385200000</x:v>
      </x:c>
      <x:c r="P843" s="87" t="n">
        <x:f>D843*E843</x:f>
        <x:v>48</x:v>
      </x:c>
      <x:c r="Q843" s="87" t="n">
        <x:f>P843*'01 Base Costs'!$B$12</x:f>
        <x:v>93312000</x:v>
      </x:c>
      <x:c r="R843" s="87" t="n">
        <x:f>0</x:f>
        <x:v>0</x:v>
      </x:c>
      <x:c r="S843" s="87" t="n">
        <x:f>Q843+R843</x:f>
        <x:v>93312000</x:v>
      </x:c>
      <x:c r="T843" s="141" t="n">
        <x:f>S843/'01 Base Costs'!$B$14</x:f>
        <x:v>186.624</x:v>
      </x:c>
      <x:c r="U843" s="87" t="n">
        <x:f>INT(T843)</x:f>
        <x:v>186</x:v>
      </x:c>
      <x:c r="V843" s="87" t="n">
        <x:f>S843-U843*'01 Base Costs'!$B$14</x:f>
        <x:v>312000</x:v>
      </x:c>
      <x:c r="W843" s="120" t="n">
        <x:f>'01 Base Costs'!$B$20/50</x:f>
        <x:v>112</x:v>
      </x:c>
      <x:c r="X843" s="120" t="n">
        <x:f>0</x:f>
        <x:v>0</x:v>
      </x:c>
      <x:c r="Y843" s="87" t="n">
        <x:f>T843*(W843*'01 Base Costs'!$B$7+X843)</x:f>
        <x:v>100538081280</x:v>
      </x:c>
      <x:c r="Z843" s="87" t="n">
        <x:f>T843*'01 Base Costs'!$B$8</x:f>
        <x:v>140509209600</x:v>
      </x:c>
      <x:c r="AA843" s="87" t="n">
        <x:f>Z843*'01 Base Costs'!$B$11</x:f>
        <x:v>7025460480</x:v>
      </x:c>
      <x:c r="AB843" s="87" t="n">
        <x:f>Z843-AA843</x:f>
        <x:v>133483749120</x:v>
      </x:c>
      <x:c r="AC843" s="87" t="n">
        <x:f>O843+Y843</x:f>
        <x:v>181923281280</x:v>
      </x:c>
      <x:c r="AD843" s="87" t="n">
        <x:f>AB843-AC843</x:f>
        <x:v>-48439532160</x:v>
      </x:c>
      <x:c r="AE843" s="87" t="n">
        <x:f>AD843/D843</x:f>
        <x:v>-2018313840</x:v>
      </x:c>
      <x:c r="AF843" s="87" t="n">
        <x:f>AD843/P843</x:f>
        <x:v>-1009156920</x:v>
      </x:c>
      <x:c r="AG843" s="87" t="n">
        <x:f>IF(T843=0,0,AC843/T843/(1-'01 Base Costs'!$B$11))</x:f>
        <x:v>1026117706.3027941</x:v>
      </x:c>
      <x:c r="AH843" s="88" t="str">
        <x:f>IF(AD843&gt;0,"PROFIT","LOSS")</x:f>
        <x:v>LOSS</x:v>
      </x:c>
      <x:c r="AI843" s="89" t="str">
        <x:v>Official 24M Omega sale example. MCT certificate bought with ISK market price. Base 50-pack average.</x:v>
      </x:c>
    </x:row>
    <x:row r="844">
      <x:c r="A844" s="86" t="n">
        <x:v>842</x:v>
      </x:c>
      <x:c r="B844" s="88" t="str">
        <x:v>Sale/Event</x:v>
      </x:c>
      <x:c r="C844" s="88" t="str">
        <x:v>Winter 24M Omega sale</x:v>
      </x:c>
      <x:c r="D844" s="88" t="n">
        <x:v>24</x:v>
      </x:c>
      <x:c r="E844" s="88" t="n">
        <x:v>2</x:v>
      </x:c>
      <x:c r="F844" s="88" t="str">
        <x:v>Market MCT certificate</x:v>
      </x:c>
      <x:c r="G844" s="88" t="str">
        <x:v>NES 3-for-2 extractor sale</x:v>
      </x:c>
      <x:c r="H844" s="87" t="n">
        <x:f>'01 Base Costs'!$B$29</x:f>
        <x:v>5280</x:v>
      </x:c>
      <x:c r="I844" s="87" t="n">
        <x:f>0</x:f>
        <x:v>0</x:v>
      </x:c>
      <x:c r="J844" s="87" t="n">
        <x:f>'01 Base Costs'!$B$10</x:f>
        <x:v>2332850000</x:v>
      </x:c>
      <x:c r="K844" s="87" t="n">
        <x:f>D844*(E844-1)*I844</x:f>
        <x:v>0</x:v>
      </x:c>
      <x:c r="L844" s="87" t="n">
        <x:f>D844*(E844-1)*J844</x:f>
        <x:v>55988400000</x:v>
      </x:c>
      <x:c r="M844" s="87" t="n">
        <x:f>0</x:f>
        <x:v>0</x:v>
      </x:c>
      <x:c r="N844" s="87" t="n">
        <x:f>H844+K844+M844</x:f>
        <x:v>5280</x:v>
      </x:c>
      <x:c r="O844" s="87" t="n">
        <x:f>N844*'01 Base Costs'!$B$7+L844</x:f>
        <x:v>81385200000</x:v>
      </x:c>
      <x:c r="P844" s="87" t="n">
        <x:f>D844*E844</x:f>
        <x:v>48</x:v>
      </x:c>
      <x:c r="Q844" s="87" t="n">
        <x:f>P844*'01 Base Costs'!$B$12</x:f>
        <x:v>93312000</x:v>
      </x:c>
      <x:c r="R844" s="87" t="n">
        <x:f>0</x:f>
        <x:v>0</x:v>
      </x:c>
      <x:c r="S844" s="87" t="n">
        <x:f>Q844+R844</x:f>
        <x:v>93312000</x:v>
      </x:c>
      <x:c r="T844" s="141" t="n">
        <x:f>S844/'01 Base Costs'!$B$14</x:f>
        <x:v>186.624</x:v>
      </x:c>
      <x:c r="U844" s="87" t="n">
        <x:f>INT(T844)</x:f>
        <x:v>186</x:v>
      </x:c>
      <x:c r="V844" s="87" t="n">
        <x:f>S844-U844*'01 Base Costs'!$B$14</x:f>
        <x:v>312000</x:v>
      </x:c>
      <x:c r="W844" s="120" t="n">
        <x:f>'01 Base Costs'!$B$17*2/3</x:f>
        <x:v>93.33333333333333</x:v>
      </x:c>
      <x:c r="X844" s="120" t="n">
        <x:f>0</x:f>
        <x:v>0</x:v>
      </x:c>
      <x:c r="Y844" s="87" t="n">
        <x:f>T844*(W844*'01 Base Costs'!$B$7+X844)</x:f>
        <x:v>83781734400</x:v>
      </x:c>
      <x:c r="Z844" s="87" t="n">
        <x:f>T844*'01 Base Costs'!$B$8</x:f>
        <x:v>140509209600</x:v>
      </x:c>
      <x:c r="AA844" s="87" t="n">
        <x:f>Z844*'01 Base Costs'!$B$11</x:f>
        <x:v>7025460480</x:v>
      </x:c>
      <x:c r="AB844" s="87" t="n">
        <x:f>Z844-AA844</x:f>
        <x:v>133483749120</x:v>
      </x:c>
      <x:c r="AC844" s="87" t="n">
        <x:f>O844+Y844</x:f>
        <x:v>165166934400</x:v>
      </x:c>
      <x:c r="AD844" s="87" t="n">
        <x:f>AB844-AC844</x:f>
        <x:v>-31683185280</x:v>
      </x:c>
      <x:c r="AE844" s="87" t="n">
        <x:f>AD844/D844</x:f>
        <x:v>-1320132720</x:v>
      </x:c>
      <x:c r="AF844" s="87" t="n">
        <x:f>AD844/P844</x:f>
        <x:v>-660066360</x:v>
      </x:c>
      <x:c r="AG844" s="87" t="n">
        <x:f>IF(T844=0,0,AC844/T844/(1-'01 Base Costs'!$B$11))</x:f>
        <x:v>931605425.6010398</x:v>
      </x:c>
      <x:c r="AH844" s="88" t="str">
        <x:f>IF(AD844&gt;0,"PROFIT","LOSS")</x:f>
        <x:v>LOSS</x:v>
      </x:c>
      <x:c r="AI844" s="89" t="str">
        <x:v>Official 24M Omega sale example. MCT certificate bought with ISK market price. Extractor 3-for-2 sale.</x:v>
      </x:c>
    </x:row>
    <x:row r="845">
      <x:c r="A845" s="86" t="n">
        <x:v>843</x:v>
      </x:c>
      <x:c r="B845" s="88" t="str">
        <x:v>Sale/Event</x:v>
      </x:c>
      <x:c r="C845" s="88" t="str">
        <x:v>Winter 24M Omega sale</x:v>
      </x:c>
      <x:c r="D845" s="88" t="n">
        <x:v>24</x:v>
      </x:c>
      <x:c r="E845" s="88" t="n">
        <x:v>2</x:v>
      </x:c>
      <x:c r="F845" s="88" t="str">
        <x:v>Market MCT certificate</x:v>
      </x:c>
      <x:c r="G845" s="88" t="str">
        <x:v>NES 2-for-1 extractor sale</x:v>
      </x:c>
      <x:c r="H845" s="87" t="n">
        <x:f>'01 Base Costs'!$B$29</x:f>
        <x:v>5280</x:v>
      </x:c>
      <x:c r="I845" s="87" t="n">
        <x:f>0</x:f>
        <x:v>0</x:v>
      </x:c>
      <x:c r="J845" s="87" t="n">
        <x:f>'01 Base Costs'!$B$10</x:f>
        <x:v>2332850000</x:v>
      </x:c>
      <x:c r="K845" s="87" t="n">
        <x:f>D845*(E845-1)*I845</x:f>
        <x:v>0</x:v>
      </x:c>
      <x:c r="L845" s="87" t="n">
        <x:f>D845*(E845-1)*J845</x:f>
        <x:v>55988400000</x:v>
      </x:c>
      <x:c r="M845" s="87" t="n">
        <x:f>0</x:f>
        <x:v>0</x:v>
      </x:c>
      <x:c r="N845" s="87" t="n">
        <x:f>H845+K845+M845</x:f>
        <x:v>5280</x:v>
      </x:c>
      <x:c r="O845" s="87" t="n">
        <x:f>N845*'01 Base Costs'!$B$7+L845</x:f>
        <x:v>81385200000</x:v>
      </x:c>
      <x:c r="P845" s="87" t="n">
        <x:f>D845*E845</x:f>
        <x:v>48</x:v>
      </x:c>
      <x:c r="Q845" s="87" t="n">
        <x:f>P845*'01 Base Costs'!$B$12</x:f>
        <x:v>93312000</x:v>
      </x:c>
      <x:c r="R845" s="87" t="n">
        <x:f>0</x:f>
        <x:v>0</x:v>
      </x:c>
      <x:c r="S845" s="87" t="n">
        <x:f>Q845+R845</x:f>
        <x:v>93312000</x:v>
      </x:c>
      <x:c r="T845" s="141" t="n">
        <x:f>S845/'01 Base Costs'!$B$14</x:f>
        <x:v>186.624</x:v>
      </x:c>
      <x:c r="U845" s="87" t="n">
        <x:f>INT(T845)</x:f>
        <x:v>186</x:v>
      </x:c>
      <x:c r="V845" s="87" t="n">
        <x:f>S845-U845*'01 Base Costs'!$B$14</x:f>
        <x:v>312000</x:v>
      </x:c>
      <x:c r="W845" s="120" t="n">
        <x:f>'01 Base Costs'!$B$17/2</x:f>
        <x:v>70</x:v>
      </x:c>
      <x:c r="X845" s="120" t="n">
        <x:f>0</x:f>
        <x:v>0</x:v>
      </x:c>
      <x:c r="Y845" s="87" t="n">
        <x:f>T845*(W845*'01 Base Costs'!$B$7+X845)</x:f>
        <x:v>62836300800</x:v>
      </x:c>
      <x:c r="Z845" s="87" t="n">
        <x:f>T845*'01 Base Costs'!$B$8</x:f>
        <x:v>140509209600</x:v>
      </x:c>
      <x:c r="AA845" s="87" t="n">
        <x:f>Z845*'01 Base Costs'!$B$11</x:f>
        <x:v>7025460480</x:v>
      </x:c>
      <x:c r="AB845" s="87" t="n">
        <x:f>Z845-AA845</x:f>
        <x:v>133483749120</x:v>
      </x:c>
      <x:c r="AC845" s="87" t="n">
        <x:f>O845+Y845</x:f>
        <x:v>144221500800</x:v>
      </x:c>
      <x:c r="AD845" s="87" t="n">
        <x:f>AB845-AC845</x:f>
        <x:v>-10737751680</x:v>
      </x:c>
      <x:c r="AE845" s="87" t="n">
        <x:f>AD845/D845</x:f>
        <x:v>-447406320</x:v>
      </x:c>
      <x:c r="AF845" s="87" t="n">
        <x:f>AD845/P845</x:f>
        <x:v>-223703160</x:v>
      </x:c>
      <x:c r="AG845" s="87" t="n">
        <x:f>IF(T845=0,0,AC845/T845/(1-'01 Base Costs'!$B$11))</x:f>
        <x:v>813465074.7238467</x:v>
      </x:c>
      <x:c r="AH845" s="88" t="str">
        <x:f>IF(AD845&gt;0,"PROFIT","LOSS")</x:f>
        <x:v>LOSS</x:v>
      </x:c>
      <x:c r="AI845" s="89" t="str">
        <x:v>Official 24M Omega sale example. MCT certificate bought with ISK market price. Extractor 2-for-1 sale.</x:v>
      </x:c>
    </x:row>
    <x:row r="846">
      <x:c r="A846" s="86" t="n">
        <x:v>844</x:v>
      </x:c>
      <x:c r="B846" s="88" t="str">
        <x:v>Sale/Event</x:v>
      </x:c>
      <x:c r="C846" s="88" t="str">
        <x:v>Winter 24M Omega sale</x:v>
      </x:c>
      <x:c r="D846" s="88" t="n">
        <x:v>24</x:v>
      </x:c>
      <x:c r="E846" s="88" t="n">
        <x:v>2</x:v>
      </x:c>
      <x:c r="F846" s="88" t="str">
        <x:v>Market MCT certificate</x:v>
      </x:c>
      <x:c r="G846" s="88" t="str">
        <x:v>NES 10-pack extractor 20% sale</x:v>
      </x:c>
      <x:c r="H846" s="87" t="n">
        <x:f>'01 Base Costs'!$B$29</x:f>
        <x:v>5280</x:v>
      </x:c>
      <x:c r="I846" s="87" t="n">
        <x:f>0</x:f>
        <x:v>0</x:v>
      </x:c>
      <x:c r="J846" s="87" t="n">
        <x:f>'01 Base Costs'!$B$10</x:f>
        <x:v>2332850000</x:v>
      </x:c>
      <x:c r="K846" s="87" t="n">
        <x:f>D846*(E846-1)*I846</x:f>
        <x:v>0</x:v>
      </x:c>
      <x:c r="L846" s="87" t="n">
        <x:f>D846*(E846-1)*J846</x:f>
        <x:v>55988400000</x:v>
      </x:c>
      <x:c r="M846" s="87" t="n">
        <x:f>0</x:f>
        <x:v>0</x:v>
      </x:c>
      <x:c r="N846" s="87" t="n">
        <x:f>H846+K846+M846</x:f>
        <x:v>5280</x:v>
      </x:c>
      <x:c r="O846" s="87" t="n">
        <x:f>N846*'01 Base Costs'!$B$7+L846</x:f>
        <x:v>81385200000</x:v>
      </x:c>
      <x:c r="P846" s="87" t="n">
        <x:f>D846*E846</x:f>
        <x:v>48</x:v>
      </x:c>
      <x:c r="Q846" s="87" t="n">
        <x:f>P846*'01 Base Costs'!$B$12</x:f>
        <x:v>93312000</x:v>
      </x:c>
      <x:c r="R846" s="87" t="n">
        <x:f>0</x:f>
        <x:v>0</x:v>
      </x:c>
      <x:c r="S846" s="87" t="n">
        <x:f>Q846+R846</x:f>
        <x:v>93312000</x:v>
      </x:c>
      <x:c r="T846" s="141" t="n">
        <x:f>S846/'01 Base Costs'!$B$14</x:f>
        <x:v>186.624</x:v>
      </x:c>
      <x:c r="U846" s="87" t="n">
        <x:f>INT(T846)</x:f>
        <x:v>186</x:v>
      </x:c>
      <x:c r="V846" s="87" t="n">
        <x:f>S846-U846*'01 Base Costs'!$B$14</x:f>
        <x:v>312000</x:v>
      </x:c>
      <x:c r="W846" s="120" t="n">
        <x:f>'01 Base Costs'!$B$19*0.8/10</x:f>
        <x:v>95.2</x:v>
      </x:c>
      <x:c r="X846" s="120" t="n">
        <x:f>0</x:f>
        <x:v>0</x:v>
      </x:c>
      <x:c r="Y846" s="87" t="n">
        <x:f>T846*(W846*'01 Base Costs'!$B$7+X846)</x:f>
        <x:v>85457369088</x:v>
      </x:c>
      <x:c r="Z846" s="87" t="n">
        <x:f>T846*'01 Base Costs'!$B$8</x:f>
        <x:v>140509209600</x:v>
      </x:c>
      <x:c r="AA846" s="87" t="n">
        <x:f>Z846*'01 Base Costs'!$B$11</x:f>
        <x:v>7025460480</x:v>
      </x:c>
      <x:c r="AB846" s="87" t="n">
        <x:f>Z846-AA846</x:f>
        <x:v>133483749120</x:v>
      </x:c>
      <x:c r="AC846" s="87" t="n">
        <x:f>O846+Y846</x:f>
        <x:v>166842569088</x:v>
      </x:c>
      <x:c r="AD846" s="87" t="n">
        <x:f>AB846-AC846</x:f>
        <x:v>-33358819968</x:v>
      </x:c>
      <x:c r="AE846" s="87" t="n">
        <x:f>AD846/D846</x:f>
        <x:v>-1389950832</x:v>
      </x:c>
      <x:c r="AF846" s="87" t="n">
        <x:f>AD846/P846</x:f>
        <x:v>-694975416</x:v>
      </x:c>
      <x:c r="AG846" s="87" t="n">
        <x:f>IF(T846=0,0,AC846/T846/(1-'01 Base Costs'!$B$11))</x:f>
        <x:v>941056653.6712152</x:v>
      </x:c>
      <x:c r="AH846" s="88" t="str">
        <x:f>IF(AD846&gt;0,"PROFIT","LOSS")</x:f>
        <x:v>LOSS</x:v>
      </x:c>
      <x:c r="AI846" s="89" t="str">
        <x:v>Official 24M Omega sale example. MCT certificate bought with ISK market price. 10-pack at 20% off.</x:v>
      </x:c>
    </x:row>
    <x:row r="847">
      <x:c r="A847" s="86" t="n">
        <x:v>845</x:v>
      </x:c>
      <x:c r="B847" s="88" t="str">
        <x:v>Sale/Event</x:v>
      </x:c>
      <x:c r="C847" s="88" t="str">
        <x:v>Winter 24M Omega sale</x:v>
      </x:c>
      <x:c r="D847" s="88" t="n">
        <x:v>24</x:v>
      </x:c>
      <x:c r="E847" s="88" t="n">
        <x:v>2</x:v>
      </x:c>
      <x:c r="F847" s="88" t="str">
        <x:v>Market MCT certificate</x:v>
      </x:c>
      <x:c r="G847" s="88" t="str">
        <x:v>NES 50-pack extractor 20% sale</x:v>
      </x:c>
      <x:c r="H847" s="87" t="n">
        <x:f>'01 Base Costs'!$B$29</x:f>
        <x:v>5280</x:v>
      </x:c>
      <x:c r="I847" s="87" t="n">
        <x:f>0</x:f>
        <x:v>0</x:v>
      </x:c>
      <x:c r="J847" s="87" t="n">
        <x:f>'01 Base Costs'!$B$10</x:f>
        <x:v>2332850000</x:v>
      </x:c>
      <x:c r="K847" s="87" t="n">
        <x:f>D847*(E847-1)*I847</x:f>
        <x:v>0</x:v>
      </x:c>
      <x:c r="L847" s="87" t="n">
        <x:f>D847*(E847-1)*J847</x:f>
        <x:v>55988400000</x:v>
      </x:c>
      <x:c r="M847" s="87" t="n">
        <x:f>0</x:f>
        <x:v>0</x:v>
      </x:c>
      <x:c r="N847" s="87" t="n">
        <x:f>H847+K847+M847</x:f>
        <x:v>5280</x:v>
      </x:c>
      <x:c r="O847" s="87" t="n">
        <x:f>N847*'01 Base Costs'!$B$7+L847</x:f>
        <x:v>81385200000</x:v>
      </x:c>
      <x:c r="P847" s="87" t="n">
        <x:f>D847*E847</x:f>
        <x:v>48</x:v>
      </x:c>
      <x:c r="Q847" s="87" t="n">
        <x:f>P847*'01 Base Costs'!$B$12</x:f>
        <x:v>93312000</x:v>
      </x:c>
      <x:c r="R847" s="87" t="n">
        <x:f>0</x:f>
        <x:v>0</x:v>
      </x:c>
      <x:c r="S847" s="87" t="n">
        <x:f>Q847+R847</x:f>
        <x:v>93312000</x:v>
      </x:c>
      <x:c r="T847" s="141" t="n">
        <x:f>S847/'01 Base Costs'!$B$14</x:f>
        <x:v>186.624</x:v>
      </x:c>
      <x:c r="U847" s="87" t="n">
        <x:f>INT(T847)</x:f>
        <x:v>186</x:v>
      </x:c>
      <x:c r="V847" s="87" t="n">
        <x:f>S847-U847*'01 Base Costs'!$B$14</x:f>
        <x:v>312000</x:v>
      </x:c>
      <x:c r="W847" s="120" t="n">
        <x:f>'01 Base Costs'!$B$20*0.8/50</x:f>
        <x:v>89.6</x:v>
      </x:c>
      <x:c r="X847" s="120" t="n">
        <x:f>0</x:f>
        <x:v>0</x:v>
      </x:c>
      <x:c r="Y847" s="87" t="n">
        <x:f>T847*(W847*'01 Base Costs'!$B$7+X847)</x:f>
        <x:v>80430465024</x:v>
      </x:c>
      <x:c r="Z847" s="87" t="n">
        <x:f>T847*'01 Base Costs'!$B$8</x:f>
        <x:v>140509209600</x:v>
      </x:c>
      <x:c r="AA847" s="87" t="n">
        <x:f>Z847*'01 Base Costs'!$B$11</x:f>
        <x:v>7025460480</x:v>
      </x:c>
      <x:c r="AB847" s="87" t="n">
        <x:f>Z847-AA847</x:f>
        <x:v>133483749120</x:v>
      </x:c>
      <x:c r="AC847" s="87" t="n">
        <x:f>O847+Y847</x:f>
        <x:v>161815665024</x:v>
      </x:c>
      <x:c r="AD847" s="87" t="n">
        <x:f>AB847-AC847</x:f>
        <x:v>-28331915904</x:v>
      </x:c>
      <x:c r="AE847" s="87" t="n">
        <x:f>AD847/D847</x:f>
        <x:v>-1180496496</x:v>
      </x:c>
      <x:c r="AF847" s="87" t="n">
        <x:f>AD847/P847</x:f>
        <x:v>-590248248</x:v>
      </x:c>
      <x:c r="AG847" s="87" t="n">
        <x:f>IF(T847=0,0,AC847/T847/(1-'01 Base Costs'!$B$11))</x:f>
        <x:v>912702969.4606888</x:v>
      </x:c>
      <x:c r="AH847" s="88" t="str">
        <x:f>IF(AD847&gt;0,"PROFIT","LOSS")</x:f>
        <x:v>LOSS</x:v>
      </x:c>
      <x:c r="AI847" s="89" t="str">
        <x:v>Official 24M Omega sale example. MCT certificate bought with ISK market price. 50-pack at 20% off.</x:v>
      </x:c>
    </x:row>
    <x:row r="848">
      <x:c r="A848" s="86" t="n">
        <x:v>846</x:v>
      </x:c>
      <x:c r="B848" s="88" t="str">
        <x:v>Sale/Event</x:v>
      </x:c>
      <x:c r="C848" s="88" t="str">
        <x:v>Winter 24M Omega sale</x:v>
      </x:c>
      <x:c r="D848" s="88" t="n">
        <x:v>24</x:v>
      </x:c>
      <x:c r="E848" s="88" t="n">
        <x:v>2</x:v>
      </x:c>
      <x:c r="F848" s="88" t="str">
        <x:v>Market MCT certificate</x:v>
      </x:c>
      <x:c r="G848" s="88" t="str">
        <x:v>Market Skill Extractor</x:v>
      </x:c>
      <x:c r="H848" s="87" t="n">
        <x:f>'01 Base Costs'!$B$29</x:f>
        <x:v>5280</x:v>
      </x:c>
      <x:c r="I848" s="87" t="n">
        <x:f>0</x:f>
        <x:v>0</x:v>
      </x:c>
      <x:c r="J848" s="87" t="n">
        <x:f>'01 Base Costs'!$B$10</x:f>
        <x:v>2332850000</x:v>
      </x:c>
      <x:c r="K848" s="87" t="n">
        <x:f>D848*(E848-1)*I848</x:f>
        <x:v>0</x:v>
      </x:c>
      <x:c r="L848" s="87" t="n">
        <x:f>D848*(E848-1)*J848</x:f>
        <x:v>55988400000</x:v>
      </x:c>
      <x:c r="M848" s="87" t="n">
        <x:f>0</x:f>
        <x:v>0</x:v>
      </x:c>
      <x:c r="N848" s="87" t="n">
        <x:f>H848+K848+M848</x:f>
        <x:v>5280</x:v>
      </x:c>
      <x:c r="O848" s="87" t="n">
        <x:f>N848*'01 Base Costs'!$B$7+L848</x:f>
        <x:v>81385200000</x:v>
      </x:c>
      <x:c r="P848" s="87" t="n">
        <x:f>D848*E848</x:f>
        <x:v>48</x:v>
      </x:c>
      <x:c r="Q848" s="87" t="n">
        <x:f>P848*'01 Base Costs'!$B$12</x:f>
        <x:v>93312000</x:v>
      </x:c>
      <x:c r="R848" s="87" t="n">
        <x:f>0</x:f>
        <x:v>0</x:v>
      </x:c>
      <x:c r="S848" s="87" t="n">
        <x:f>Q848+R848</x:f>
        <x:v>93312000</x:v>
      </x:c>
      <x:c r="T848" s="141" t="n">
        <x:f>S848/'01 Base Costs'!$B$14</x:f>
        <x:v>186.624</x:v>
      </x:c>
      <x:c r="U848" s="87" t="n">
        <x:f>INT(T848)</x:f>
        <x:v>186</x:v>
      </x:c>
      <x:c r="V848" s="87" t="n">
        <x:f>S848-U848*'01 Base Costs'!$B$14</x:f>
        <x:v>312000</x:v>
      </x:c>
      <x:c r="W848" s="120" t="n">
        <x:f>0</x:f>
        <x:v>0</x:v>
      </x:c>
      <x:c r="X848" s="120" t="n">
        <x:f>'01 Base Costs'!$B$9</x:f>
        <x:v>463500000</x:v>
      </x:c>
      <x:c r="Y848" s="87" t="n">
        <x:f>T848*(W848*'01 Base Costs'!$B$7+X848)</x:f>
        <x:v>86500224000</x:v>
      </x:c>
      <x:c r="Z848" s="87" t="n">
        <x:f>T848*'01 Base Costs'!$B$8</x:f>
        <x:v>140509209600</x:v>
      </x:c>
      <x:c r="AA848" s="87" t="n">
        <x:f>Z848*'01 Base Costs'!$B$11</x:f>
        <x:v>7025460480</x:v>
      </x:c>
      <x:c r="AB848" s="87" t="n">
        <x:f>Z848-AA848</x:f>
        <x:v>133483749120</x:v>
      </x:c>
      <x:c r="AC848" s="87" t="n">
        <x:f>O848+Y848</x:f>
        <x:v>167885424000</x:v>
      </x:c>
      <x:c r="AD848" s="87" t="n">
        <x:f>AB848-AC848</x:f>
        <x:v>-34401674880</x:v>
      </x:c>
      <x:c r="AE848" s="87" t="n">
        <x:f>AD848/D848</x:f>
        <x:v>-1433403120</x:v>
      </x:c>
      <x:c r="AF848" s="87" t="n">
        <x:f>AD848/P848</x:f>
        <x:v>-716701560</x:v>
      </x:c>
      <x:c r="AG848" s="87" t="n">
        <x:f>IF(T848=0,0,AC848/T848/(1-'01 Base Costs'!$B$11))</x:f>
        <x:v>946938758.934373</x:v>
      </x:c>
      <x:c r="AH848" s="88" t="str">
        <x:f>IF(AD848&gt;0,"PROFIT","LOSS")</x:f>
        <x:v>LOSS</x:v>
      </x:c>
      <x:c r="AI848" s="89" t="str">
        <x:v>Official 24M Omega sale example. MCT certificate bought with ISK market price. Extractor bought on market with ISK.</x:v>
      </x:c>
    </x:row>
    <x:row r="849">
      <x:c r="A849" s="86" t="n">
        <x:v>847</x:v>
      </x:c>
      <x:c r="B849" s="88" t="str">
        <x:v>Sale/Event</x:v>
      </x:c>
      <x:c r="C849" s="88" t="str">
        <x:v>Winter 24M Omega sale</x:v>
      </x:c>
      <x:c r="D849" s="88" t="n">
        <x:v>24</x:v>
      </x:c>
      <x:c r="E849" s="88" t="n">
        <x:v>3</x:v>
      </x:c>
      <x:c r="F849" s="88" t="str">
        <x:v>NES base MCT</x:v>
      </x:c>
      <x:c r="G849" s="88" t="str">
        <x:v>NES single extractor</x:v>
      </x:c>
      <x:c r="H849" s="87" t="n">
        <x:f>'01 Base Costs'!$B$29</x:f>
        <x:v>5280</x:v>
      </x:c>
      <x:c r="I849" s="87" t="n">
        <x:f>'01 Base Costs'!$B$16</x:f>
        <x:v>485</x:v>
      </x:c>
      <x:c r="J849" s="87" t="n">
        <x:f>0</x:f>
        <x:v>0</x:v>
      </x:c>
      <x:c r="K849" s="87" t="n">
        <x:f>D849*(E849-1)*I849</x:f>
        <x:v>23280</x:v>
      </x:c>
      <x:c r="L849" s="87" t="n">
        <x:f>D849*(E849-1)*J849</x:f>
        <x:v>0</x:v>
      </x:c>
      <x:c r="M849" s="87" t="n">
        <x:f>0</x:f>
        <x:v>0</x:v>
      </x:c>
      <x:c r="N849" s="87" t="n">
        <x:f>H849+K849+M849</x:f>
        <x:v>28560</x:v>
      </x:c>
      <x:c r="O849" s="87" t="n">
        <x:f>N849*'01 Base Costs'!$B$7+L849</x:f>
        <x:v>137373600000</x:v>
      </x:c>
      <x:c r="P849" s="87" t="n">
        <x:f>D849*E849</x:f>
        <x:v>72</x:v>
      </x:c>
      <x:c r="Q849" s="87" t="n">
        <x:f>P849*'01 Base Costs'!$B$12</x:f>
        <x:v>139968000</x:v>
      </x:c>
      <x:c r="R849" s="87" t="n">
        <x:f>0</x:f>
        <x:v>0</x:v>
      </x:c>
      <x:c r="S849" s="87" t="n">
        <x:f>Q849+R849</x:f>
        <x:v>139968000</x:v>
      </x:c>
      <x:c r="T849" s="141" t="n">
        <x:f>S849/'01 Base Costs'!$B$14</x:f>
        <x:v>279.936</x:v>
      </x:c>
      <x:c r="U849" s="87" t="n">
        <x:f>INT(T849)</x:f>
        <x:v>279</x:v>
      </x:c>
      <x:c r="V849" s="87" t="n">
        <x:f>S849-U849*'01 Base Costs'!$B$14</x:f>
        <x:v>468000</x:v>
      </x:c>
      <x:c r="W849" s="120" t="n">
        <x:f>'01 Base Costs'!$B$17</x:f>
        <x:v>140</x:v>
      </x:c>
      <x:c r="X849" s="120" t="n">
        <x:f>0</x:f>
        <x:v>0</x:v>
      </x:c>
      <x:c r="Y849" s="87" t="n">
        <x:f>T849*(W849*'01 Base Costs'!$B$7+X849)</x:f>
        <x:v>188508902400</x:v>
      </x:c>
      <x:c r="Z849" s="87" t="n">
        <x:f>T849*'01 Base Costs'!$B$8</x:f>
        <x:v>210763814399.99997</x:v>
      </x:c>
      <x:c r="AA849" s="87" t="n">
        <x:f>Z849*'01 Base Costs'!$B$11</x:f>
        <x:v>10538190720</x:v>
      </x:c>
      <x:c r="AB849" s="87" t="n">
        <x:f>Z849-AA849</x:f>
        <x:v>200225623679.99997</x:v>
      </x:c>
      <x:c r="AC849" s="87" t="n">
        <x:f>O849+Y849</x:f>
        <x:v>325882502400</x:v>
      </x:c>
      <x:c r="AD849" s="87" t="n">
        <x:f>AB849-AC849</x:f>
        <x:v>-125656878720.00003</x:v>
      </x:c>
      <x:c r="AE849" s="87" t="n">
        <x:f>AD849/D849</x:f>
        <x:v>-5235703280.000001</x:v>
      </x:c>
      <x:c r="AF849" s="87" t="n">
        <x:f>AD849/P849</x:f>
        <x:v>-1745234426.666667</x:v>
      </x:c>
      <x:c r="AG849" s="87" t="n">
        <x:f>IF(T849=0,0,AC849/T849/(1-'01 Base Costs'!$B$11))</x:f>
        <x:v>1225402281.4237242</x:v>
      </x:c>
      <x:c r="AH849" s="88" t="str">
        <x:f>IF(AD849&gt;0,"PROFIT","LOSS")</x:f>
        <x:v>LOSS</x:v>
      </x:c>
      <x:c r="AI849" s="89" t="str">
        <x:v>Official 24M Omega sale example. MCT purchased with PLEX in NES. Base single extractor.</x:v>
      </x:c>
    </x:row>
    <x:row r="850">
      <x:c r="A850" s="86" t="n">
        <x:v>848</x:v>
      </x:c>
      <x:c r="B850" s="88" t="str">
        <x:v>Sale/Event</x:v>
      </x:c>
      <x:c r="C850" s="88" t="str">
        <x:v>Winter 24M Omega sale</x:v>
      </x:c>
      <x:c r="D850" s="88" t="n">
        <x:v>24</x:v>
      </x:c>
      <x:c r="E850" s="88" t="n">
        <x:v>3</x:v>
      </x:c>
      <x:c r="F850" s="88" t="str">
        <x:v>NES base MCT</x:v>
      </x:c>
      <x:c r="G850" s="88" t="str">
        <x:v>NES 5-pack extractor</x:v>
      </x:c>
      <x:c r="H850" s="87" t="n">
        <x:f>'01 Base Costs'!$B$29</x:f>
        <x:v>5280</x:v>
      </x:c>
      <x:c r="I850" s="87" t="n">
        <x:f>'01 Base Costs'!$B$16</x:f>
        <x:v>485</x:v>
      </x:c>
      <x:c r="J850" s="87" t="n">
        <x:f>0</x:f>
        <x:v>0</x:v>
      </x:c>
      <x:c r="K850" s="87" t="n">
        <x:f>D850*(E850-1)*I850</x:f>
        <x:v>23280</x:v>
      </x:c>
      <x:c r="L850" s="87" t="n">
        <x:f>D850*(E850-1)*J850</x:f>
        <x:v>0</x:v>
      </x:c>
      <x:c r="M850" s="87" t="n">
        <x:f>0</x:f>
        <x:v>0</x:v>
      </x:c>
      <x:c r="N850" s="87" t="n">
        <x:f>H850+K850+M850</x:f>
        <x:v>28560</x:v>
      </x:c>
      <x:c r="O850" s="87" t="n">
        <x:f>N850*'01 Base Costs'!$B$7+L850</x:f>
        <x:v>137373600000</x:v>
      </x:c>
      <x:c r="P850" s="87" t="n">
        <x:f>D850*E850</x:f>
        <x:v>72</x:v>
      </x:c>
      <x:c r="Q850" s="87" t="n">
        <x:f>P850*'01 Base Costs'!$B$12</x:f>
        <x:v>139968000</x:v>
      </x:c>
      <x:c r="R850" s="87" t="n">
        <x:f>0</x:f>
        <x:v>0</x:v>
      </x:c>
      <x:c r="S850" s="87" t="n">
        <x:f>Q850+R850</x:f>
        <x:v>139968000</x:v>
      </x:c>
      <x:c r="T850" s="141" t="n">
        <x:f>S850/'01 Base Costs'!$B$14</x:f>
        <x:v>279.936</x:v>
      </x:c>
      <x:c r="U850" s="87" t="n">
        <x:f>INT(T850)</x:f>
        <x:v>279</x:v>
      </x:c>
      <x:c r="V850" s="87" t="n">
        <x:f>S850-U850*'01 Base Costs'!$B$14</x:f>
        <x:v>468000</x:v>
      </x:c>
      <x:c r="W850" s="120" t="n">
        <x:f>'01 Base Costs'!$B$18/5</x:f>
        <x:v>126</x:v>
      </x:c>
      <x:c r="X850" s="120" t="n">
        <x:f>0</x:f>
        <x:v>0</x:v>
      </x:c>
      <x:c r="Y850" s="87" t="n">
        <x:f>T850*(W850*'01 Base Costs'!$B$7+X850)</x:f>
        <x:v>169658012160</x:v>
      </x:c>
      <x:c r="Z850" s="87" t="n">
        <x:f>T850*'01 Base Costs'!$B$8</x:f>
        <x:v>210763814399.99997</x:v>
      </x:c>
      <x:c r="AA850" s="87" t="n">
        <x:f>Z850*'01 Base Costs'!$B$11</x:f>
        <x:v>10538190720</x:v>
      </x:c>
      <x:c r="AB850" s="87" t="n">
        <x:f>Z850-AA850</x:f>
        <x:v>200225623679.99997</x:v>
      </x:c>
      <x:c r="AC850" s="87" t="n">
        <x:f>O850+Y850</x:f>
        <x:v>307031612160</x:v>
      </x:c>
      <x:c r="AD850" s="87" t="n">
        <x:f>AB850-AC850</x:f>
        <x:v>-106805988480.00003</x:v>
      </x:c>
      <x:c r="AE850" s="87" t="n">
        <x:f>AD850/D850</x:f>
        <x:v>-4450249520.000001</x:v>
      </x:c>
      <x:c r="AF850" s="87" t="n">
        <x:f>AD850/P850</x:f>
        <x:v>-1483416506.666667</x:v>
      </x:c>
      <x:c r="AG850" s="87" t="n">
        <x:f>IF(T850=0,0,AC850/T850/(1-'01 Base Costs'!$B$11))</x:f>
        <x:v>1154518070.8974082</x:v>
      </x:c>
      <x:c r="AH850" s="88" t="str">
        <x:f>IF(AD850&gt;0,"PROFIT","LOSS")</x:f>
        <x:v>LOSS</x:v>
      </x:c>
      <x:c r="AI850" s="89" t="str">
        <x:v>Official 24M Omega sale example. MCT purchased with PLEX in NES. Base 5-pack average.</x:v>
      </x:c>
    </x:row>
    <x:row r="851">
      <x:c r="A851" s="86" t="n">
        <x:v>849</x:v>
      </x:c>
      <x:c r="B851" s="88" t="str">
        <x:v>Sale/Event</x:v>
      </x:c>
      <x:c r="C851" s="88" t="str">
        <x:v>Winter 24M Omega sale</x:v>
      </x:c>
      <x:c r="D851" s="88" t="n">
        <x:v>24</x:v>
      </x:c>
      <x:c r="E851" s="88" t="n">
        <x:v>3</x:v>
      </x:c>
      <x:c r="F851" s="88" t="str">
        <x:v>NES base MCT</x:v>
      </x:c>
      <x:c r="G851" s="88" t="str">
        <x:v>NES 10-pack extractor</x:v>
      </x:c>
      <x:c r="H851" s="87" t="n">
        <x:f>'01 Base Costs'!$B$29</x:f>
        <x:v>5280</x:v>
      </x:c>
      <x:c r="I851" s="87" t="n">
        <x:f>'01 Base Costs'!$B$16</x:f>
        <x:v>485</x:v>
      </x:c>
      <x:c r="J851" s="87" t="n">
        <x:f>0</x:f>
        <x:v>0</x:v>
      </x:c>
      <x:c r="K851" s="87" t="n">
        <x:f>D851*(E851-1)*I851</x:f>
        <x:v>23280</x:v>
      </x:c>
      <x:c r="L851" s="87" t="n">
        <x:f>D851*(E851-1)*J851</x:f>
        <x:v>0</x:v>
      </x:c>
      <x:c r="M851" s="87" t="n">
        <x:f>0</x:f>
        <x:v>0</x:v>
      </x:c>
      <x:c r="N851" s="87" t="n">
        <x:f>H851+K851+M851</x:f>
        <x:v>28560</x:v>
      </x:c>
      <x:c r="O851" s="87" t="n">
        <x:f>N851*'01 Base Costs'!$B$7+L851</x:f>
        <x:v>137373600000</x:v>
      </x:c>
      <x:c r="P851" s="87" t="n">
        <x:f>D851*E851</x:f>
        <x:v>72</x:v>
      </x:c>
      <x:c r="Q851" s="87" t="n">
        <x:f>P851*'01 Base Costs'!$B$12</x:f>
        <x:v>139968000</x:v>
      </x:c>
      <x:c r="R851" s="87" t="n">
        <x:f>0</x:f>
        <x:v>0</x:v>
      </x:c>
      <x:c r="S851" s="87" t="n">
        <x:f>Q851+R851</x:f>
        <x:v>139968000</x:v>
      </x:c>
      <x:c r="T851" s="141" t="n">
        <x:f>S851/'01 Base Costs'!$B$14</x:f>
        <x:v>279.936</x:v>
      </x:c>
      <x:c r="U851" s="87" t="n">
        <x:f>INT(T851)</x:f>
        <x:v>279</x:v>
      </x:c>
      <x:c r="V851" s="87" t="n">
        <x:f>S851-U851*'01 Base Costs'!$B$14</x:f>
        <x:v>468000</x:v>
      </x:c>
      <x:c r="W851" s="120" t="n">
        <x:f>'01 Base Costs'!$B$19/10</x:f>
        <x:v>119</x:v>
      </x:c>
      <x:c r="X851" s="120" t="n">
        <x:f>0</x:f>
        <x:v>0</x:v>
      </x:c>
      <x:c r="Y851" s="87" t="n">
        <x:f>T851*(W851*'01 Base Costs'!$B$7+X851)</x:f>
        <x:v>160232567040</x:v>
      </x:c>
      <x:c r="Z851" s="87" t="n">
        <x:f>T851*'01 Base Costs'!$B$8</x:f>
        <x:v>210763814399.99997</x:v>
      </x:c>
      <x:c r="AA851" s="87" t="n">
        <x:f>Z851*'01 Base Costs'!$B$11</x:f>
        <x:v>10538190720</x:v>
      </x:c>
      <x:c r="AB851" s="87" t="n">
        <x:f>Z851-AA851</x:f>
        <x:v>200225623679.99997</x:v>
      </x:c>
      <x:c r="AC851" s="87" t="n">
        <x:f>O851+Y851</x:f>
        <x:v>297606167040</x:v>
      </x:c>
      <x:c r="AD851" s="87" t="n">
        <x:f>AB851-AC851</x:f>
        <x:v>-97380543360.00003</x:v>
      </x:c>
      <x:c r="AE851" s="87" t="n">
        <x:f>AD851/D851</x:f>
        <x:v>-4057522640.0000014</x:v>
      </x:c>
      <x:c r="AF851" s="87" t="n">
        <x:f>AD851/P851</x:f>
        <x:v>-1352507546.666667</x:v>
      </x:c>
      <x:c r="AG851" s="87" t="n">
        <x:f>IF(T851=0,0,AC851/T851/(1-'01 Base Costs'!$B$11))</x:f>
        <x:v>1119075965.6342504</x:v>
      </x:c>
      <x:c r="AH851" s="88" t="str">
        <x:f>IF(AD851&gt;0,"PROFIT","LOSS")</x:f>
        <x:v>LOSS</x:v>
      </x:c>
      <x:c r="AI851" s="89" t="str">
        <x:v>Official 24M Omega sale example. MCT purchased with PLEX in NES. Base 10-pack average.</x:v>
      </x:c>
    </x:row>
    <x:row r="852">
      <x:c r="A852" s="86" t="n">
        <x:v>850</x:v>
      </x:c>
      <x:c r="B852" s="88" t="str">
        <x:v>Sale/Event</x:v>
      </x:c>
      <x:c r="C852" s="88" t="str">
        <x:v>Winter 24M Omega sale</x:v>
      </x:c>
      <x:c r="D852" s="88" t="n">
        <x:v>24</x:v>
      </x:c>
      <x:c r="E852" s="88" t="n">
        <x:v>3</x:v>
      </x:c>
      <x:c r="F852" s="88" t="str">
        <x:v>NES base MCT</x:v>
      </x:c>
      <x:c r="G852" s="88" t="str">
        <x:v>NES 50-pack extractor</x:v>
      </x:c>
      <x:c r="H852" s="87" t="n">
        <x:f>'01 Base Costs'!$B$29</x:f>
        <x:v>5280</x:v>
      </x:c>
      <x:c r="I852" s="87" t="n">
        <x:f>'01 Base Costs'!$B$16</x:f>
        <x:v>485</x:v>
      </x:c>
      <x:c r="J852" s="87" t="n">
        <x:f>0</x:f>
        <x:v>0</x:v>
      </x:c>
      <x:c r="K852" s="87" t="n">
        <x:f>D852*(E852-1)*I852</x:f>
        <x:v>23280</x:v>
      </x:c>
      <x:c r="L852" s="87" t="n">
        <x:f>D852*(E852-1)*J852</x:f>
        <x:v>0</x:v>
      </x:c>
      <x:c r="M852" s="87" t="n">
        <x:f>0</x:f>
        <x:v>0</x:v>
      </x:c>
      <x:c r="N852" s="87" t="n">
        <x:f>H852+K852+M852</x:f>
        <x:v>28560</x:v>
      </x:c>
      <x:c r="O852" s="87" t="n">
        <x:f>N852*'01 Base Costs'!$B$7+L852</x:f>
        <x:v>137373600000</x:v>
      </x:c>
      <x:c r="P852" s="87" t="n">
        <x:f>D852*E852</x:f>
        <x:v>72</x:v>
      </x:c>
      <x:c r="Q852" s="87" t="n">
        <x:f>P852*'01 Base Costs'!$B$12</x:f>
        <x:v>139968000</x:v>
      </x:c>
      <x:c r="R852" s="87" t="n">
        <x:f>0</x:f>
        <x:v>0</x:v>
      </x:c>
      <x:c r="S852" s="87" t="n">
        <x:f>Q852+R852</x:f>
        <x:v>139968000</x:v>
      </x:c>
      <x:c r="T852" s="141" t="n">
        <x:f>S852/'01 Base Costs'!$B$14</x:f>
        <x:v>279.936</x:v>
      </x:c>
      <x:c r="U852" s="87" t="n">
        <x:f>INT(T852)</x:f>
        <x:v>279</x:v>
      </x:c>
      <x:c r="V852" s="87" t="n">
        <x:f>S852-U852*'01 Base Costs'!$B$14</x:f>
        <x:v>468000</x:v>
      </x:c>
      <x:c r="W852" s="120" t="n">
        <x:f>'01 Base Costs'!$B$20/50</x:f>
        <x:v>112</x:v>
      </x:c>
      <x:c r="X852" s="120" t="n">
        <x:f>0</x:f>
        <x:v>0</x:v>
      </x:c>
      <x:c r="Y852" s="87" t="n">
        <x:f>T852*(W852*'01 Base Costs'!$B$7+X852)</x:f>
        <x:v>150807121920</x:v>
      </x:c>
      <x:c r="Z852" s="87" t="n">
        <x:f>T852*'01 Base Costs'!$B$8</x:f>
        <x:v>210763814399.99997</x:v>
      </x:c>
      <x:c r="AA852" s="87" t="n">
        <x:f>Z852*'01 Base Costs'!$B$11</x:f>
        <x:v>10538190720</x:v>
      </x:c>
      <x:c r="AB852" s="87" t="n">
        <x:f>Z852-AA852</x:f>
        <x:v>200225623679.99997</x:v>
      </x:c>
      <x:c r="AC852" s="87" t="n">
        <x:f>O852+Y852</x:f>
        <x:v>288180721920</x:v>
      </x:c>
      <x:c r="AD852" s="87" t="n">
        <x:f>AB852-AC852</x:f>
        <x:v>-87955098240.00003</x:v>
      </x:c>
      <x:c r="AE852" s="87" t="n">
        <x:f>AD852/D852</x:f>
        <x:v>-3664795760.0000014</x:v>
      </x:c>
      <x:c r="AF852" s="87" t="n">
        <x:f>AD852/P852</x:f>
        <x:v>-1221598586.666667</x:v>
      </x:c>
      <x:c r="AG852" s="87" t="n">
        <x:f>IF(T852=0,0,AC852/T852/(1-'01 Base Costs'!$B$11))</x:f>
        <x:v>1083633860.3710923</x:v>
      </x:c>
      <x:c r="AH852" s="88" t="str">
        <x:f>IF(AD852&gt;0,"PROFIT","LOSS")</x:f>
        <x:v>LOSS</x:v>
      </x:c>
      <x:c r="AI852" s="89" t="str">
        <x:v>Official 24M Omega sale example. MCT purchased with PLEX in NES. Base 50-pack average.</x:v>
      </x:c>
    </x:row>
    <x:row r="853">
      <x:c r="A853" s="86" t="n">
        <x:v>851</x:v>
      </x:c>
      <x:c r="B853" s="88" t="str">
        <x:v>Sale/Event</x:v>
      </x:c>
      <x:c r="C853" s="88" t="str">
        <x:v>Winter 24M Omega sale</x:v>
      </x:c>
      <x:c r="D853" s="88" t="n">
        <x:v>24</x:v>
      </x:c>
      <x:c r="E853" s="88" t="n">
        <x:v>3</x:v>
      </x:c>
      <x:c r="F853" s="88" t="str">
        <x:v>NES base MCT</x:v>
      </x:c>
      <x:c r="G853" s="88" t="str">
        <x:v>NES 3-for-2 extractor sale</x:v>
      </x:c>
      <x:c r="H853" s="87" t="n">
        <x:f>'01 Base Costs'!$B$29</x:f>
        <x:v>5280</x:v>
      </x:c>
      <x:c r="I853" s="87" t="n">
        <x:f>'01 Base Costs'!$B$16</x:f>
        <x:v>485</x:v>
      </x:c>
      <x:c r="J853" s="87" t="n">
        <x:f>0</x:f>
        <x:v>0</x:v>
      </x:c>
      <x:c r="K853" s="87" t="n">
        <x:f>D853*(E853-1)*I853</x:f>
        <x:v>23280</x:v>
      </x:c>
      <x:c r="L853" s="87" t="n">
        <x:f>D853*(E853-1)*J853</x:f>
        <x:v>0</x:v>
      </x:c>
      <x:c r="M853" s="87" t="n">
        <x:f>0</x:f>
        <x:v>0</x:v>
      </x:c>
      <x:c r="N853" s="87" t="n">
        <x:f>H853+K853+M853</x:f>
        <x:v>28560</x:v>
      </x:c>
      <x:c r="O853" s="87" t="n">
        <x:f>N853*'01 Base Costs'!$B$7+L853</x:f>
        <x:v>137373600000</x:v>
      </x:c>
      <x:c r="P853" s="87" t="n">
        <x:f>D853*E853</x:f>
        <x:v>72</x:v>
      </x:c>
      <x:c r="Q853" s="87" t="n">
        <x:f>P853*'01 Base Costs'!$B$12</x:f>
        <x:v>139968000</x:v>
      </x:c>
      <x:c r="R853" s="87" t="n">
        <x:f>0</x:f>
        <x:v>0</x:v>
      </x:c>
      <x:c r="S853" s="87" t="n">
        <x:f>Q853+R853</x:f>
        <x:v>139968000</x:v>
      </x:c>
      <x:c r="T853" s="141" t="n">
        <x:f>S853/'01 Base Costs'!$B$14</x:f>
        <x:v>279.936</x:v>
      </x:c>
      <x:c r="U853" s="87" t="n">
        <x:f>INT(T853)</x:f>
        <x:v>279</x:v>
      </x:c>
      <x:c r="V853" s="87" t="n">
        <x:f>S853-U853*'01 Base Costs'!$B$14</x:f>
        <x:v>468000</x:v>
      </x:c>
      <x:c r="W853" s="120" t="n">
        <x:f>'01 Base Costs'!$B$17*2/3</x:f>
        <x:v>93.33333333333333</x:v>
      </x:c>
      <x:c r="X853" s="120" t="n">
        <x:f>0</x:f>
        <x:v>0</x:v>
      </x:c>
      <x:c r="Y853" s="87" t="n">
        <x:f>T853*(W853*'01 Base Costs'!$B$7+X853)</x:f>
        <x:v>125672601599.99998</x:v>
      </x:c>
      <x:c r="Z853" s="87" t="n">
        <x:f>T853*'01 Base Costs'!$B$8</x:f>
        <x:v>210763814399.99997</x:v>
      </x:c>
      <x:c r="AA853" s="87" t="n">
        <x:f>Z853*'01 Base Costs'!$B$11</x:f>
        <x:v>10538190720</x:v>
      </x:c>
      <x:c r="AB853" s="87" t="n">
        <x:f>Z853-AA853</x:f>
        <x:v>200225623679.99997</x:v>
      </x:c>
      <x:c r="AC853" s="87" t="n">
        <x:f>O853+Y853</x:f>
        <x:v>263046201600</x:v>
      </x:c>
      <x:c r="AD853" s="87" t="n">
        <x:f>AB853-AC853</x:f>
        <x:v>-62820577920.00003</x:v>
      </x:c>
      <x:c r="AE853" s="87" t="n">
        <x:f>AD853/D853</x:f>
        <x:v>-2617524080.0000014</x:v>
      </x:c>
      <x:c r="AF853" s="87" t="n">
        <x:f>AD853/P853</x:f>
        <x:v>-872508026.6666671</x:v>
      </x:c>
      <x:c r="AG853" s="87" t="n">
        <x:f>IF(T853=0,0,AC853/T853/(1-'01 Base Costs'!$B$11))</x:f>
        <x:v>989121579.6693381</x:v>
      </x:c>
      <x:c r="AH853" s="88" t="str">
        <x:f>IF(AD853&gt;0,"PROFIT","LOSS")</x:f>
        <x:v>LOSS</x:v>
      </x:c>
      <x:c r="AI853" s="89" t="str">
        <x:v>Official 24M Omega sale example. MCT purchased with PLEX in NES. Extractor 3-for-2 sale.</x:v>
      </x:c>
    </x:row>
    <x:row r="854">
      <x:c r="A854" s="86" t="n">
        <x:v>852</x:v>
      </x:c>
      <x:c r="B854" s="88" t="str">
        <x:v>Sale/Event</x:v>
      </x:c>
      <x:c r="C854" s="88" t="str">
        <x:v>Winter 24M Omega sale</x:v>
      </x:c>
      <x:c r="D854" s="88" t="n">
        <x:v>24</x:v>
      </x:c>
      <x:c r="E854" s="88" t="n">
        <x:v>3</x:v>
      </x:c>
      <x:c r="F854" s="88" t="str">
        <x:v>NES base MCT</x:v>
      </x:c>
      <x:c r="G854" s="88" t="str">
        <x:v>NES 2-for-1 extractor sale</x:v>
      </x:c>
      <x:c r="H854" s="87" t="n">
        <x:f>'01 Base Costs'!$B$29</x:f>
        <x:v>5280</x:v>
      </x:c>
      <x:c r="I854" s="87" t="n">
        <x:f>'01 Base Costs'!$B$16</x:f>
        <x:v>485</x:v>
      </x:c>
      <x:c r="J854" s="87" t="n">
        <x:f>0</x:f>
        <x:v>0</x:v>
      </x:c>
      <x:c r="K854" s="87" t="n">
        <x:f>D854*(E854-1)*I854</x:f>
        <x:v>23280</x:v>
      </x:c>
      <x:c r="L854" s="87" t="n">
        <x:f>D854*(E854-1)*J854</x:f>
        <x:v>0</x:v>
      </x:c>
      <x:c r="M854" s="87" t="n">
        <x:f>0</x:f>
        <x:v>0</x:v>
      </x:c>
      <x:c r="N854" s="87" t="n">
        <x:f>H854+K854+M854</x:f>
        <x:v>28560</x:v>
      </x:c>
      <x:c r="O854" s="87" t="n">
        <x:f>N854*'01 Base Costs'!$B$7+L854</x:f>
        <x:v>137373600000</x:v>
      </x:c>
      <x:c r="P854" s="87" t="n">
        <x:f>D854*E854</x:f>
        <x:v>72</x:v>
      </x:c>
      <x:c r="Q854" s="87" t="n">
        <x:f>P854*'01 Base Costs'!$B$12</x:f>
        <x:v>139968000</x:v>
      </x:c>
      <x:c r="R854" s="87" t="n">
        <x:f>0</x:f>
        <x:v>0</x:v>
      </x:c>
      <x:c r="S854" s="87" t="n">
        <x:f>Q854+R854</x:f>
        <x:v>139968000</x:v>
      </x:c>
      <x:c r="T854" s="141" t="n">
        <x:f>S854/'01 Base Costs'!$B$14</x:f>
        <x:v>279.936</x:v>
      </x:c>
      <x:c r="U854" s="87" t="n">
        <x:f>INT(T854)</x:f>
        <x:v>279</x:v>
      </x:c>
      <x:c r="V854" s="87" t="n">
        <x:f>S854-U854*'01 Base Costs'!$B$14</x:f>
        <x:v>468000</x:v>
      </x:c>
      <x:c r="W854" s="120" t="n">
        <x:f>'01 Base Costs'!$B$17/2</x:f>
        <x:v>70</x:v>
      </x:c>
      <x:c r="X854" s="120" t="n">
        <x:f>0</x:f>
        <x:v>0</x:v>
      </x:c>
      <x:c r="Y854" s="87" t="n">
        <x:f>T854*(W854*'01 Base Costs'!$B$7+X854)</x:f>
        <x:v>94254451200</x:v>
      </x:c>
      <x:c r="Z854" s="87" t="n">
        <x:f>T854*'01 Base Costs'!$B$8</x:f>
        <x:v>210763814399.99997</x:v>
      </x:c>
      <x:c r="AA854" s="87" t="n">
        <x:f>Z854*'01 Base Costs'!$B$11</x:f>
        <x:v>10538190720</x:v>
      </x:c>
      <x:c r="AB854" s="87" t="n">
        <x:f>Z854-AA854</x:f>
        <x:v>200225623679.99997</x:v>
      </x:c>
      <x:c r="AC854" s="87" t="n">
        <x:f>O854+Y854</x:f>
        <x:v>231628051200</x:v>
      </x:c>
      <x:c r="AD854" s="87" t="n">
        <x:f>AB854-AC854</x:f>
        <x:v>-31402427520.00003</x:v>
      </x:c>
      <x:c r="AE854" s="87" t="n">
        <x:f>AD854/D854</x:f>
        <x:v>-1308434480.0000012</x:v>
      </x:c>
      <x:c r="AF854" s="87" t="n">
        <x:f>AD854/P854</x:f>
        <x:v>-436144826.6666671</x:v>
      </x:c>
      <x:c r="AG854" s="87" t="n">
        <x:f>IF(T854=0,0,AC854/T854/(1-'01 Base Costs'!$B$11))</x:f>
        <x:v>870981228.792145</x:v>
      </x:c>
      <x:c r="AH854" s="88" t="str">
        <x:f>IF(AD854&gt;0,"PROFIT","LOSS")</x:f>
        <x:v>LOSS</x:v>
      </x:c>
      <x:c r="AI854" s="89" t="str">
        <x:v>Official 24M Omega sale example. MCT purchased with PLEX in NES. Extractor 2-for-1 sale.</x:v>
      </x:c>
    </x:row>
    <x:row r="855">
      <x:c r="A855" s="86" t="n">
        <x:v>853</x:v>
      </x:c>
      <x:c r="B855" s="88" t="str">
        <x:v>Sale/Event</x:v>
      </x:c>
      <x:c r="C855" s="88" t="str">
        <x:v>Winter 24M Omega sale</x:v>
      </x:c>
      <x:c r="D855" s="88" t="n">
        <x:v>24</x:v>
      </x:c>
      <x:c r="E855" s="88" t="n">
        <x:v>3</x:v>
      </x:c>
      <x:c r="F855" s="88" t="str">
        <x:v>NES base MCT</x:v>
      </x:c>
      <x:c r="G855" s="88" t="str">
        <x:v>NES 10-pack extractor 20% sale</x:v>
      </x:c>
      <x:c r="H855" s="87" t="n">
        <x:f>'01 Base Costs'!$B$29</x:f>
        <x:v>5280</x:v>
      </x:c>
      <x:c r="I855" s="87" t="n">
        <x:f>'01 Base Costs'!$B$16</x:f>
        <x:v>485</x:v>
      </x:c>
      <x:c r="J855" s="87" t="n">
        <x:f>0</x:f>
        <x:v>0</x:v>
      </x:c>
      <x:c r="K855" s="87" t="n">
        <x:f>D855*(E855-1)*I855</x:f>
        <x:v>23280</x:v>
      </x:c>
      <x:c r="L855" s="87" t="n">
        <x:f>D855*(E855-1)*J855</x:f>
        <x:v>0</x:v>
      </x:c>
      <x:c r="M855" s="87" t="n">
        <x:f>0</x:f>
        <x:v>0</x:v>
      </x:c>
      <x:c r="N855" s="87" t="n">
        <x:f>H855+K855+M855</x:f>
        <x:v>28560</x:v>
      </x:c>
      <x:c r="O855" s="87" t="n">
        <x:f>N855*'01 Base Costs'!$B$7+L855</x:f>
        <x:v>137373600000</x:v>
      </x:c>
      <x:c r="P855" s="87" t="n">
        <x:f>D855*E855</x:f>
        <x:v>72</x:v>
      </x:c>
      <x:c r="Q855" s="87" t="n">
        <x:f>P855*'01 Base Costs'!$B$12</x:f>
        <x:v>139968000</x:v>
      </x:c>
      <x:c r="R855" s="87" t="n">
        <x:f>0</x:f>
        <x:v>0</x:v>
      </x:c>
      <x:c r="S855" s="87" t="n">
        <x:f>Q855+R855</x:f>
        <x:v>139968000</x:v>
      </x:c>
      <x:c r="T855" s="141" t="n">
        <x:f>S855/'01 Base Costs'!$B$14</x:f>
        <x:v>279.936</x:v>
      </x:c>
      <x:c r="U855" s="87" t="n">
        <x:f>INT(T855)</x:f>
        <x:v>279</x:v>
      </x:c>
      <x:c r="V855" s="87" t="n">
        <x:f>S855-U855*'01 Base Costs'!$B$14</x:f>
        <x:v>468000</x:v>
      </x:c>
      <x:c r="W855" s="120" t="n">
        <x:f>'01 Base Costs'!$B$19*0.8/10</x:f>
        <x:v>95.2</x:v>
      </x:c>
      <x:c r="X855" s="120" t="n">
        <x:f>0</x:f>
        <x:v>0</x:v>
      </x:c>
      <x:c r="Y855" s="87" t="n">
        <x:f>T855*(W855*'01 Base Costs'!$B$7+X855)</x:f>
        <x:v>128186053631.99998</x:v>
      </x:c>
      <x:c r="Z855" s="87" t="n">
        <x:f>T855*'01 Base Costs'!$B$8</x:f>
        <x:v>210763814399.99997</x:v>
      </x:c>
      <x:c r="AA855" s="87" t="n">
        <x:f>Z855*'01 Base Costs'!$B$11</x:f>
        <x:v>10538190720</x:v>
      </x:c>
      <x:c r="AB855" s="87" t="n">
        <x:f>Z855-AA855</x:f>
        <x:v>200225623679.99997</x:v>
      </x:c>
      <x:c r="AC855" s="87" t="n">
        <x:f>O855+Y855</x:f>
        <x:v>265559653632</x:v>
      </x:c>
      <x:c r="AD855" s="87" t="n">
        <x:f>AB855-AC855</x:f>
        <x:v>-65334029952.00003</x:v>
      </x:c>
      <x:c r="AE855" s="87" t="n">
        <x:f>AD855/D855</x:f>
        <x:v>-2722251248.0000014</x:v>
      </x:c>
      <x:c r="AF855" s="87" t="n">
        <x:f>AD855/P855</x:f>
        <x:v>-907417082.6666671</x:v>
      </x:c>
      <x:c r="AG855" s="87" t="n">
        <x:f>IF(T855=0,0,AC855/T855/(1-'01 Base Costs'!$B$11))</x:f>
        <x:v>998572807.7395135</x:v>
      </x:c>
      <x:c r="AH855" s="88" t="str">
        <x:f>IF(AD855&gt;0,"PROFIT","LOSS")</x:f>
        <x:v>LOSS</x:v>
      </x:c>
      <x:c r="AI855" s="89" t="str">
        <x:v>Official 24M Omega sale example. MCT purchased with PLEX in NES. 10-pack at 20% off.</x:v>
      </x:c>
    </x:row>
    <x:row r="856">
      <x:c r="A856" s="86" t="n">
        <x:v>854</x:v>
      </x:c>
      <x:c r="B856" s="88" t="str">
        <x:v>Sale/Event</x:v>
      </x:c>
      <x:c r="C856" s="88" t="str">
        <x:v>Winter 24M Omega sale</x:v>
      </x:c>
      <x:c r="D856" s="88" t="n">
        <x:v>24</x:v>
      </x:c>
      <x:c r="E856" s="88" t="n">
        <x:v>3</x:v>
      </x:c>
      <x:c r="F856" s="88" t="str">
        <x:v>NES base MCT</x:v>
      </x:c>
      <x:c r="G856" s="88" t="str">
        <x:v>NES 50-pack extractor 20% sale</x:v>
      </x:c>
      <x:c r="H856" s="87" t="n">
        <x:f>'01 Base Costs'!$B$29</x:f>
        <x:v>5280</x:v>
      </x:c>
      <x:c r="I856" s="87" t="n">
        <x:f>'01 Base Costs'!$B$16</x:f>
        <x:v>485</x:v>
      </x:c>
      <x:c r="J856" s="87" t="n">
        <x:f>0</x:f>
        <x:v>0</x:v>
      </x:c>
      <x:c r="K856" s="87" t="n">
        <x:f>D856*(E856-1)*I856</x:f>
        <x:v>23280</x:v>
      </x:c>
      <x:c r="L856" s="87" t="n">
        <x:f>D856*(E856-1)*J856</x:f>
        <x:v>0</x:v>
      </x:c>
      <x:c r="M856" s="87" t="n">
        <x:f>0</x:f>
        <x:v>0</x:v>
      </x:c>
      <x:c r="N856" s="87" t="n">
        <x:f>H856+K856+M856</x:f>
        <x:v>28560</x:v>
      </x:c>
      <x:c r="O856" s="87" t="n">
        <x:f>N856*'01 Base Costs'!$B$7+L856</x:f>
        <x:v>137373600000</x:v>
      </x:c>
      <x:c r="P856" s="87" t="n">
        <x:f>D856*E856</x:f>
        <x:v>72</x:v>
      </x:c>
      <x:c r="Q856" s="87" t="n">
        <x:f>P856*'01 Base Costs'!$B$12</x:f>
        <x:v>139968000</x:v>
      </x:c>
      <x:c r="R856" s="87" t="n">
        <x:f>0</x:f>
        <x:v>0</x:v>
      </x:c>
      <x:c r="S856" s="87" t="n">
        <x:f>Q856+R856</x:f>
        <x:v>139968000</x:v>
      </x:c>
      <x:c r="T856" s="141" t="n">
        <x:f>S856/'01 Base Costs'!$B$14</x:f>
        <x:v>279.936</x:v>
      </x:c>
      <x:c r="U856" s="87" t="n">
        <x:f>INT(T856)</x:f>
        <x:v>279</x:v>
      </x:c>
      <x:c r="V856" s="87" t="n">
        <x:f>S856-U856*'01 Base Costs'!$B$14</x:f>
        <x:v>468000</x:v>
      </x:c>
      <x:c r="W856" s="120" t="n">
        <x:f>'01 Base Costs'!$B$20*0.8/50</x:f>
        <x:v>89.6</x:v>
      </x:c>
      <x:c r="X856" s="120" t="n">
        <x:f>0</x:f>
        <x:v>0</x:v>
      </x:c>
      <x:c r="Y856" s="87" t="n">
        <x:f>T856*(W856*'01 Base Costs'!$B$7+X856)</x:f>
        <x:v>120645697535.99998</x:v>
      </x:c>
      <x:c r="Z856" s="87" t="n">
        <x:f>T856*'01 Base Costs'!$B$8</x:f>
        <x:v>210763814399.99997</x:v>
      </x:c>
      <x:c r="AA856" s="87" t="n">
        <x:f>Z856*'01 Base Costs'!$B$11</x:f>
        <x:v>10538190720</x:v>
      </x:c>
      <x:c r="AB856" s="87" t="n">
        <x:f>Z856-AA856</x:f>
        <x:v>200225623679.99997</x:v>
      </x:c>
      <x:c r="AC856" s="87" t="n">
        <x:f>O856+Y856</x:f>
        <x:v>258019297536</x:v>
      </x:c>
      <x:c r="AD856" s="87" t="n">
        <x:f>AB856-AC856</x:f>
        <x:v>-57793673856.00003</x:v>
      </x:c>
      <x:c r="AE856" s="87" t="n">
        <x:f>AD856/D856</x:f>
        <x:v>-2408069744.0000014</x:v>
      </x:c>
      <x:c r="AF856" s="87" t="n">
        <x:f>AD856/P856</x:f>
        <x:v>-802689914.6666671</x:v>
      </x:c>
      <x:c r="AG856" s="87" t="n">
        <x:f>IF(T856=0,0,AC856/T856/(1-'01 Base Costs'!$B$11))</x:f>
        <x:v>970219123.5289872</x:v>
      </x:c>
      <x:c r="AH856" s="88" t="str">
        <x:f>IF(AD856&gt;0,"PROFIT","LOSS")</x:f>
        <x:v>LOSS</x:v>
      </x:c>
      <x:c r="AI856" s="89" t="str">
        <x:v>Official 24M Omega sale example. MCT purchased with PLEX in NES. 50-pack at 20% off.</x:v>
      </x:c>
    </x:row>
    <x:row r="857">
      <x:c r="A857" s="86" t="n">
        <x:v>855</x:v>
      </x:c>
      <x:c r="B857" s="88" t="str">
        <x:v>Sale/Event</x:v>
      </x:c>
      <x:c r="C857" s="88" t="str">
        <x:v>Winter 24M Omega sale</x:v>
      </x:c>
      <x:c r="D857" s="88" t="n">
        <x:v>24</x:v>
      </x:c>
      <x:c r="E857" s="88" t="n">
        <x:v>3</x:v>
      </x:c>
      <x:c r="F857" s="88" t="str">
        <x:v>NES base MCT</x:v>
      </x:c>
      <x:c r="G857" s="88" t="str">
        <x:v>Market Skill Extractor</x:v>
      </x:c>
      <x:c r="H857" s="87" t="n">
        <x:f>'01 Base Costs'!$B$29</x:f>
        <x:v>5280</x:v>
      </x:c>
      <x:c r="I857" s="87" t="n">
        <x:f>'01 Base Costs'!$B$16</x:f>
        <x:v>485</x:v>
      </x:c>
      <x:c r="J857" s="87" t="n">
        <x:f>0</x:f>
        <x:v>0</x:v>
      </x:c>
      <x:c r="K857" s="87" t="n">
        <x:f>D857*(E857-1)*I857</x:f>
        <x:v>23280</x:v>
      </x:c>
      <x:c r="L857" s="87" t="n">
        <x:f>D857*(E857-1)*J857</x:f>
        <x:v>0</x:v>
      </x:c>
      <x:c r="M857" s="87" t="n">
        <x:f>0</x:f>
        <x:v>0</x:v>
      </x:c>
      <x:c r="N857" s="87" t="n">
        <x:f>H857+K857+M857</x:f>
        <x:v>28560</x:v>
      </x:c>
      <x:c r="O857" s="87" t="n">
        <x:f>N857*'01 Base Costs'!$B$7+L857</x:f>
        <x:v>137373600000</x:v>
      </x:c>
      <x:c r="P857" s="87" t="n">
        <x:f>D857*E857</x:f>
        <x:v>72</x:v>
      </x:c>
      <x:c r="Q857" s="87" t="n">
        <x:f>P857*'01 Base Costs'!$B$12</x:f>
        <x:v>139968000</x:v>
      </x:c>
      <x:c r="R857" s="87" t="n">
        <x:f>0</x:f>
        <x:v>0</x:v>
      </x:c>
      <x:c r="S857" s="87" t="n">
        <x:f>Q857+R857</x:f>
        <x:v>139968000</x:v>
      </x:c>
      <x:c r="T857" s="141" t="n">
        <x:f>S857/'01 Base Costs'!$B$14</x:f>
        <x:v>279.936</x:v>
      </x:c>
      <x:c r="U857" s="87" t="n">
        <x:f>INT(T857)</x:f>
        <x:v>279</x:v>
      </x:c>
      <x:c r="V857" s="87" t="n">
        <x:f>S857-U857*'01 Base Costs'!$B$14</x:f>
        <x:v>468000</x:v>
      </x:c>
      <x:c r="W857" s="120" t="n">
        <x:f>0</x:f>
        <x:v>0</x:v>
      </x:c>
      <x:c r="X857" s="120" t="n">
        <x:f>'01 Base Costs'!$B$9</x:f>
        <x:v>463500000</x:v>
      </x:c>
      <x:c r="Y857" s="87" t="n">
        <x:f>T857*(W857*'01 Base Costs'!$B$7+X857)</x:f>
        <x:v>129750335999.99998</x:v>
      </x:c>
      <x:c r="Z857" s="87" t="n">
        <x:f>T857*'01 Base Costs'!$B$8</x:f>
        <x:v>210763814399.99997</x:v>
      </x:c>
      <x:c r="AA857" s="87" t="n">
        <x:f>Z857*'01 Base Costs'!$B$11</x:f>
        <x:v>10538190720</x:v>
      </x:c>
      <x:c r="AB857" s="87" t="n">
        <x:f>Z857-AA857</x:f>
        <x:v>200225623679.99997</x:v>
      </x:c>
      <x:c r="AC857" s="87" t="n">
        <x:f>O857+Y857</x:f>
        <x:v>267123936000</x:v>
      </x:c>
      <x:c r="AD857" s="87" t="n">
        <x:f>AB857-AC857</x:f>
        <x:v>-66898312320.00003</x:v>
      </x:c>
      <x:c r="AE857" s="87" t="n">
        <x:f>AD857/D857</x:f>
        <x:v>-2787429680.0000014</x:v>
      </x:c>
      <x:c r="AF857" s="87" t="n">
        <x:f>AD857/P857</x:f>
        <x:v>-929143226.6666671</x:v>
      </x:c>
      <x:c r="AG857" s="87" t="n">
        <x:f>IF(T857=0,0,AC857/T857/(1-'01 Base Costs'!$B$11))</x:f>
        <x:v>1004454913.0026714</x:v>
      </x:c>
      <x:c r="AH857" s="88" t="str">
        <x:f>IF(AD857&gt;0,"PROFIT","LOSS")</x:f>
        <x:v>LOSS</x:v>
      </x:c>
      <x:c r="AI857" s="89" t="str">
        <x:v>Official 24M Omega sale example. MCT purchased with PLEX in NES. Extractor bought on market with ISK.</x:v>
      </x:c>
    </x:row>
    <x:row r="858">
      <x:c r="A858" s="86" t="n">
        <x:v>856</x:v>
      </x:c>
      <x:c r="B858" s="88" t="str">
        <x:v>Sale/Event</x:v>
      </x:c>
      <x:c r="C858" s="88" t="str">
        <x:v>Winter 24M Omega sale</x:v>
      </x:c>
      <x:c r="D858" s="88" t="n">
        <x:v>24</x:v>
      </x:c>
      <x:c r="E858" s="88" t="n">
        <x:v>3</x:v>
      </x:c>
      <x:c r="F858" s="88" t="str">
        <x:v>NES MCT 20% sale</x:v>
      </x:c>
      <x:c r="G858" s="88" t="str">
        <x:v>NES single extractor</x:v>
      </x:c>
      <x:c r="H858" s="87" t="n">
        <x:f>'01 Base Costs'!$B$29</x:f>
        <x:v>5280</x:v>
      </x:c>
      <x:c r="I858" s="87" t="n">
        <x:f>'01 Base Costs'!$B$16*0.8</x:f>
        <x:v>388</x:v>
      </x:c>
      <x:c r="J858" s="87" t="n">
        <x:f>0</x:f>
        <x:v>0</x:v>
      </x:c>
      <x:c r="K858" s="87" t="n">
        <x:f>D858*(E858-1)*I858</x:f>
        <x:v>18624</x:v>
      </x:c>
      <x:c r="L858" s="87" t="n">
        <x:f>D858*(E858-1)*J858</x:f>
        <x:v>0</x:v>
      </x:c>
      <x:c r="M858" s="87" t="n">
        <x:f>0</x:f>
        <x:v>0</x:v>
      </x:c>
      <x:c r="N858" s="87" t="n">
        <x:f>H858+K858+M858</x:f>
        <x:v>23904</x:v>
      </x:c>
      <x:c r="O858" s="87" t="n">
        <x:f>N858*'01 Base Costs'!$B$7+L858</x:f>
        <x:v>114978240000</x:v>
      </x:c>
      <x:c r="P858" s="87" t="n">
        <x:f>D858*E858</x:f>
        <x:v>72</x:v>
      </x:c>
      <x:c r="Q858" s="87" t="n">
        <x:f>P858*'01 Base Costs'!$B$12</x:f>
        <x:v>139968000</x:v>
      </x:c>
      <x:c r="R858" s="87" t="n">
        <x:f>0</x:f>
        <x:v>0</x:v>
      </x:c>
      <x:c r="S858" s="87" t="n">
        <x:f>Q858+R858</x:f>
        <x:v>139968000</x:v>
      </x:c>
      <x:c r="T858" s="141" t="n">
        <x:f>S858/'01 Base Costs'!$B$14</x:f>
        <x:v>279.936</x:v>
      </x:c>
      <x:c r="U858" s="87" t="n">
        <x:f>INT(T858)</x:f>
        <x:v>279</x:v>
      </x:c>
      <x:c r="V858" s="87" t="n">
        <x:f>S858-U858*'01 Base Costs'!$B$14</x:f>
        <x:v>468000</x:v>
      </x:c>
      <x:c r="W858" s="120" t="n">
        <x:f>'01 Base Costs'!$B$17</x:f>
        <x:v>140</x:v>
      </x:c>
      <x:c r="X858" s="120" t="n">
        <x:f>0</x:f>
        <x:v>0</x:v>
      </x:c>
      <x:c r="Y858" s="87" t="n">
        <x:f>T858*(W858*'01 Base Costs'!$B$7+X858)</x:f>
        <x:v>188508902400</x:v>
      </x:c>
      <x:c r="Z858" s="87" t="n">
        <x:f>T858*'01 Base Costs'!$B$8</x:f>
        <x:v>210763814399.99997</x:v>
      </x:c>
      <x:c r="AA858" s="87" t="n">
        <x:f>Z858*'01 Base Costs'!$B$11</x:f>
        <x:v>10538190720</x:v>
      </x:c>
      <x:c r="AB858" s="87" t="n">
        <x:f>Z858-AA858</x:f>
        <x:v>200225623679.99997</x:v>
      </x:c>
      <x:c r="AC858" s="87" t="n">
        <x:f>O858+Y858</x:f>
        <x:v>303487142400</x:v>
      </x:c>
      <x:c r="AD858" s="87" t="n">
        <x:f>AB858-AC858</x:f>
        <x:v>-103261518720.00003</x:v>
      </x:c>
      <x:c r="AE858" s="87" t="n">
        <x:f>AD858/D858</x:f>
        <x:v>-4302563280.000001</x:v>
      </x:c>
      <x:c r="AF858" s="87" t="n">
        <x:f>AD858/P858</x:f>
        <x:v>-1434187760.0000005</x:v>
      </x:c>
      <x:c r="AG858" s="87" t="n">
        <x:f>IF(T858=0,0,AC858/T858/(1-'01 Base Costs'!$B$11))</x:f>
        <x:v>1141189950.1841023</x:v>
      </x:c>
      <x:c r="AH858" s="88" t="str">
        <x:f>IF(AD858&gt;0,"PROFIT","LOSS")</x:f>
        <x:v>LOSS</x:v>
      </x:c>
      <x:c r="AI858" s="89" t="str">
        <x:v>Official 24M Omega sale example. MCT sale 20% off. Base single extractor.</x:v>
      </x:c>
    </x:row>
    <x:row r="859">
      <x:c r="A859" s="86" t="n">
        <x:v>857</x:v>
      </x:c>
      <x:c r="B859" s="88" t="str">
        <x:v>Sale/Event</x:v>
      </x:c>
      <x:c r="C859" s="88" t="str">
        <x:v>Winter 24M Omega sale</x:v>
      </x:c>
      <x:c r="D859" s="88" t="n">
        <x:v>24</x:v>
      </x:c>
      <x:c r="E859" s="88" t="n">
        <x:v>3</x:v>
      </x:c>
      <x:c r="F859" s="88" t="str">
        <x:v>NES MCT 20% sale</x:v>
      </x:c>
      <x:c r="G859" s="88" t="str">
        <x:v>NES 5-pack extractor</x:v>
      </x:c>
      <x:c r="H859" s="87" t="n">
        <x:f>'01 Base Costs'!$B$29</x:f>
        <x:v>5280</x:v>
      </x:c>
      <x:c r="I859" s="87" t="n">
        <x:f>'01 Base Costs'!$B$16*0.8</x:f>
        <x:v>388</x:v>
      </x:c>
      <x:c r="J859" s="87" t="n">
        <x:f>0</x:f>
        <x:v>0</x:v>
      </x:c>
      <x:c r="K859" s="87" t="n">
        <x:f>D859*(E859-1)*I859</x:f>
        <x:v>18624</x:v>
      </x:c>
      <x:c r="L859" s="87" t="n">
        <x:f>D859*(E859-1)*J859</x:f>
        <x:v>0</x:v>
      </x:c>
      <x:c r="M859" s="87" t="n">
        <x:f>0</x:f>
        <x:v>0</x:v>
      </x:c>
      <x:c r="N859" s="87" t="n">
        <x:f>H859+K859+M859</x:f>
        <x:v>23904</x:v>
      </x:c>
      <x:c r="O859" s="87" t="n">
        <x:f>N859*'01 Base Costs'!$B$7+L859</x:f>
        <x:v>114978240000</x:v>
      </x:c>
      <x:c r="P859" s="87" t="n">
        <x:f>D859*E859</x:f>
        <x:v>72</x:v>
      </x:c>
      <x:c r="Q859" s="87" t="n">
        <x:f>P859*'01 Base Costs'!$B$12</x:f>
        <x:v>139968000</x:v>
      </x:c>
      <x:c r="R859" s="87" t="n">
        <x:f>0</x:f>
        <x:v>0</x:v>
      </x:c>
      <x:c r="S859" s="87" t="n">
        <x:f>Q859+R859</x:f>
        <x:v>139968000</x:v>
      </x:c>
      <x:c r="T859" s="141" t="n">
        <x:f>S859/'01 Base Costs'!$B$14</x:f>
        <x:v>279.936</x:v>
      </x:c>
      <x:c r="U859" s="87" t="n">
        <x:f>INT(T859)</x:f>
        <x:v>279</x:v>
      </x:c>
      <x:c r="V859" s="87" t="n">
        <x:f>S859-U859*'01 Base Costs'!$B$14</x:f>
        <x:v>468000</x:v>
      </x:c>
      <x:c r="W859" s="120" t="n">
        <x:f>'01 Base Costs'!$B$18/5</x:f>
        <x:v>126</x:v>
      </x:c>
      <x:c r="X859" s="120" t="n">
        <x:f>0</x:f>
        <x:v>0</x:v>
      </x:c>
      <x:c r="Y859" s="87" t="n">
        <x:f>T859*(W859*'01 Base Costs'!$B$7+X859)</x:f>
        <x:v>169658012160</x:v>
      </x:c>
      <x:c r="Z859" s="87" t="n">
        <x:f>T859*'01 Base Costs'!$B$8</x:f>
        <x:v>210763814399.99997</x:v>
      </x:c>
      <x:c r="AA859" s="87" t="n">
        <x:f>Z859*'01 Base Costs'!$B$11</x:f>
        <x:v>10538190720</x:v>
      </x:c>
      <x:c r="AB859" s="87" t="n">
        <x:f>Z859-AA859</x:f>
        <x:v>200225623679.99997</x:v>
      </x:c>
      <x:c r="AC859" s="87" t="n">
        <x:f>O859+Y859</x:f>
        <x:v>284636252160</x:v>
      </x:c>
      <x:c r="AD859" s="87" t="n">
        <x:f>AB859-AC859</x:f>
        <x:v>-84410628480.00003</x:v>
      </x:c>
      <x:c r="AE859" s="87" t="n">
        <x:f>AD859/D859</x:f>
        <x:v>-3517109520.0000014</x:v>
      </x:c>
      <x:c r="AF859" s="87" t="n">
        <x:f>AD859/P859</x:f>
        <x:v>-1172369840.0000005</x:v>
      </x:c>
      <x:c r="AG859" s="87" t="n">
        <x:f>IF(T859=0,0,AC859/T859/(1-'01 Base Costs'!$B$11))</x:f>
        <x:v>1070305739.6577866</x:v>
      </x:c>
      <x:c r="AH859" s="88" t="str">
        <x:f>IF(AD859&gt;0,"PROFIT","LOSS")</x:f>
        <x:v>LOSS</x:v>
      </x:c>
      <x:c r="AI859" s="89" t="str">
        <x:v>Official 24M Omega sale example. MCT sale 20% off. Base 5-pack average.</x:v>
      </x:c>
    </x:row>
    <x:row r="860">
      <x:c r="A860" s="86" t="n">
        <x:v>858</x:v>
      </x:c>
      <x:c r="B860" s="88" t="str">
        <x:v>Sale/Event</x:v>
      </x:c>
      <x:c r="C860" s="88" t="str">
        <x:v>Winter 24M Omega sale</x:v>
      </x:c>
      <x:c r="D860" s="88" t="n">
        <x:v>24</x:v>
      </x:c>
      <x:c r="E860" s="88" t="n">
        <x:v>3</x:v>
      </x:c>
      <x:c r="F860" s="88" t="str">
        <x:v>NES MCT 20% sale</x:v>
      </x:c>
      <x:c r="G860" s="88" t="str">
        <x:v>NES 10-pack extractor</x:v>
      </x:c>
      <x:c r="H860" s="87" t="n">
        <x:f>'01 Base Costs'!$B$29</x:f>
        <x:v>5280</x:v>
      </x:c>
      <x:c r="I860" s="87" t="n">
        <x:f>'01 Base Costs'!$B$16*0.8</x:f>
        <x:v>388</x:v>
      </x:c>
      <x:c r="J860" s="87" t="n">
        <x:f>0</x:f>
        <x:v>0</x:v>
      </x:c>
      <x:c r="K860" s="87" t="n">
        <x:f>D860*(E860-1)*I860</x:f>
        <x:v>18624</x:v>
      </x:c>
      <x:c r="L860" s="87" t="n">
        <x:f>D860*(E860-1)*J860</x:f>
        <x:v>0</x:v>
      </x:c>
      <x:c r="M860" s="87" t="n">
        <x:f>0</x:f>
        <x:v>0</x:v>
      </x:c>
      <x:c r="N860" s="87" t="n">
        <x:f>H860+K860+M860</x:f>
        <x:v>23904</x:v>
      </x:c>
      <x:c r="O860" s="87" t="n">
        <x:f>N860*'01 Base Costs'!$B$7+L860</x:f>
        <x:v>114978240000</x:v>
      </x:c>
      <x:c r="P860" s="87" t="n">
        <x:f>D860*E860</x:f>
        <x:v>72</x:v>
      </x:c>
      <x:c r="Q860" s="87" t="n">
        <x:f>P860*'01 Base Costs'!$B$12</x:f>
        <x:v>139968000</x:v>
      </x:c>
      <x:c r="R860" s="87" t="n">
        <x:f>0</x:f>
        <x:v>0</x:v>
      </x:c>
      <x:c r="S860" s="87" t="n">
        <x:f>Q860+R860</x:f>
        <x:v>139968000</x:v>
      </x:c>
      <x:c r="T860" s="141" t="n">
        <x:f>S860/'01 Base Costs'!$B$14</x:f>
        <x:v>279.936</x:v>
      </x:c>
      <x:c r="U860" s="87" t="n">
        <x:f>INT(T860)</x:f>
        <x:v>279</x:v>
      </x:c>
      <x:c r="V860" s="87" t="n">
        <x:f>S860-U860*'01 Base Costs'!$B$14</x:f>
        <x:v>468000</x:v>
      </x:c>
      <x:c r="W860" s="120" t="n">
        <x:f>'01 Base Costs'!$B$19/10</x:f>
        <x:v>119</x:v>
      </x:c>
      <x:c r="X860" s="120" t="n">
        <x:f>0</x:f>
        <x:v>0</x:v>
      </x:c>
      <x:c r="Y860" s="87" t="n">
        <x:f>T860*(W860*'01 Base Costs'!$B$7+X860)</x:f>
        <x:v>160232567040</x:v>
      </x:c>
      <x:c r="Z860" s="87" t="n">
        <x:f>T860*'01 Base Costs'!$B$8</x:f>
        <x:v>210763814399.99997</x:v>
      </x:c>
      <x:c r="AA860" s="87" t="n">
        <x:f>Z860*'01 Base Costs'!$B$11</x:f>
        <x:v>10538190720</x:v>
      </x:c>
      <x:c r="AB860" s="87" t="n">
        <x:f>Z860-AA860</x:f>
        <x:v>200225623679.99997</x:v>
      </x:c>
      <x:c r="AC860" s="87" t="n">
        <x:f>O860+Y860</x:f>
        <x:v>275210807040</x:v>
      </x:c>
      <x:c r="AD860" s="87" t="n">
        <x:f>AB860-AC860</x:f>
        <x:v>-74985183360.00003</x:v>
      </x:c>
      <x:c r="AE860" s="87" t="n">
        <x:f>AD860/D860</x:f>
        <x:v>-3124382640.0000014</x:v>
      </x:c>
      <x:c r="AF860" s="87" t="n">
        <x:f>AD860/P860</x:f>
        <x:v>-1041460880.0000005</x:v>
      </x:c>
      <x:c r="AG860" s="87" t="n">
        <x:f>IF(T860=0,0,AC860/T860/(1-'01 Base Costs'!$B$11))</x:f>
        <x:v>1034863634.3946286</x:v>
      </x:c>
      <x:c r="AH860" s="88" t="str">
        <x:f>IF(AD860&gt;0,"PROFIT","LOSS")</x:f>
        <x:v>LOSS</x:v>
      </x:c>
      <x:c r="AI860" s="89" t="str">
        <x:v>Official 24M Omega sale example. MCT sale 20% off. Base 10-pack average.</x:v>
      </x:c>
    </x:row>
    <x:row r="861">
      <x:c r="A861" s="86" t="n">
        <x:v>859</x:v>
      </x:c>
      <x:c r="B861" s="88" t="str">
        <x:v>Sale/Event</x:v>
      </x:c>
      <x:c r="C861" s="88" t="str">
        <x:v>Winter 24M Omega sale</x:v>
      </x:c>
      <x:c r="D861" s="88" t="n">
        <x:v>24</x:v>
      </x:c>
      <x:c r="E861" s="88" t="n">
        <x:v>3</x:v>
      </x:c>
      <x:c r="F861" s="88" t="str">
        <x:v>NES MCT 20% sale</x:v>
      </x:c>
      <x:c r="G861" s="88" t="str">
        <x:v>NES 50-pack extractor</x:v>
      </x:c>
      <x:c r="H861" s="87" t="n">
        <x:f>'01 Base Costs'!$B$29</x:f>
        <x:v>5280</x:v>
      </x:c>
      <x:c r="I861" s="87" t="n">
        <x:f>'01 Base Costs'!$B$16*0.8</x:f>
        <x:v>388</x:v>
      </x:c>
      <x:c r="J861" s="87" t="n">
        <x:f>0</x:f>
        <x:v>0</x:v>
      </x:c>
      <x:c r="K861" s="87" t="n">
        <x:f>D861*(E861-1)*I861</x:f>
        <x:v>18624</x:v>
      </x:c>
      <x:c r="L861" s="87" t="n">
        <x:f>D861*(E861-1)*J861</x:f>
        <x:v>0</x:v>
      </x:c>
      <x:c r="M861" s="87" t="n">
        <x:f>0</x:f>
        <x:v>0</x:v>
      </x:c>
      <x:c r="N861" s="87" t="n">
        <x:f>H861+K861+M861</x:f>
        <x:v>23904</x:v>
      </x:c>
      <x:c r="O861" s="87" t="n">
        <x:f>N861*'01 Base Costs'!$B$7+L861</x:f>
        <x:v>114978240000</x:v>
      </x:c>
      <x:c r="P861" s="87" t="n">
        <x:f>D861*E861</x:f>
        <x:v>72</x:v>
      </x:c>
      <x:c r="Q861" s="87" t="n">
        <x:f>P861*'01 Base Costs'!$B$12</x:f>
        <x:v>139968000</x:v>
      </x:c>
      <x:c r="R861" s="87" t="n">
        <x:f>0</x:f>
        <x:v>0</x:v>
      </x:c>
      <x:c r="S861" s="87" t="n">
        <x:f>Q861+R861</x:f>
        <x:v>139968000</x:v>
      </x:c>
      <x:c r="T861" s="141" t="n">
        <x:f>S861/'01 Base Costs'!$B$14</x:f>
        <x:v>279.936</x:v>
      </x:c>
      <x:c r="U861" s="87" t="n">
        <x:f>INT(T861)</x:f>
        <x:v>279</x:v>
      </x:c>
      <x:c r="V861" s="87" t="n">
        <x:f>S861-U861*'01 Base Costs'!$B$14</x:f>
        <x:v>468000</x:v>
      </x:c>
      <x:c r="W861" s="120" t="n">
        <x:f>'01 Base Costs'!$B$20/50</x:f>
        <x:v>112</x:v>
      </x:c>
      <x:c r="X861" s="120" t="n">
        <x:f>0</x:f>
        <x:v>0</x:v>
      </x:c>
      <x:c r="Y861" s="87" t="n">
        <x:f>T861*(W861*'01 Base Costs'!$B$7+X861)</x:f>
        <x:v>150807121920</x:v>
      </x:c>
      <x:c r="Z861" s="87" t="n">
        <x:f>T861*'01 Base Costs'!$B$8</x:f>
        <x:v>210763814399.99997</x:v>
      </x:c>
      <x:c r="AA861" s="87" t="n">
        <x:f>Z861*'01 Base Costs'!$B$11</x:f>
        <x:v>10538190720</x:v>
      </x:c>
      <x:c r="AB861" s="87" t="n">
        <x:f>Z861-AA861</x:f>
        <x:v>200225623679.99997</x:v>
      </x:c>
      <x:c r="AC861" s="87" t="n">
        <x:f>O861+Y861</x:f>
        <x:v>265785361920</x:v>
      </x:c>
      <x:c r="AD861" s="87" t="n">
        <x:f>AB861-AC861</x:f>
        <x:v>-65559738240.00003</x:v>
      </x:c>
      <x:c r="AE861" s="87" t="n">
        <x:f>AD861/D861</x:f>
        <x:v>-2731655760.0000014</x:v>
      </x:c>
      <x:c r="AF861" s="87" t="n">
        <x:f>AD861/P861</x:f>
        <x:v>-910551920.0000005</x:v>
      </x:c>
      <x:c r="AG861" s="87" t="n">
        <x:f>IF(T861=0,0,AC861/T861/(1-'01 Base Costs'!$B$11))</x:f>
        <x:v>999421529.1314708</x:v>
      </x:c>
      <x:c r="AH861" s="88" t="str">
        <x:f>IF(AD861&gt;0,"PROFIT","LOSS")</x:f>
        <x:v>LOSS</x:v>
      </x:c>
      <x:c r="AI861" s="89" t="str">
        <x:v>Official 24M Omega sale example. MCT sale 20% off. Base 50-pack average.</x:v>
      </x:c>
    </x:row>
    <x:row r="862">
      <x:c r="A862" s="86" t="n">
        <x:v>860</x:v>
      </x:c>
      <x:c r="B862" s="88" t="str">
        <x:v>Sale/Event</x:v>
      </x:c>
      <x:c r="C862" s="88" t="str">
        <x:v>Winter 24M Omega sale</x:v>
      </x:c>
      <x:c r="D862" s="88" t="n">
        <x:v>24</x:v>
      </x:c>
      <x:c r="E862" s="88" t="n">
        <x:v>3</x:v>
      </x:c>
      <x:c r="F862" s="88" t="str">
        <x:v>NES MCT 20% sale</x:v>
      </x:c>
      <x:c r="G862" s="88" t="str">
        <x:v>NES 3-for-2 extractor sale</x:v>
      </x:c>
      <x:c r="H862" s="87" t="n">
        <x:f>'01 Base Costs'!$B$29</x:f>
        <x:v>5280</x:v>
      </x:c>
      <x:c r="I862" s="87" t="n">
        <x:f>'01 Base Costs'!$B$16*0.8</x:f>
        <x:v>388</x:v>
      </x:c>
      <x:c r="J862" s="87" t="n">
        <x:f>0</x:f>
        <x:v>0</x:v>
      </x:c>
      <x:c r="K862" s="87" t="n">
        <x:f>D862*(E862-1)*I862</x:f>
        <x:v>18624</x:v>
      </x:c>
      <x:c r="L862" s="87" t="n">
        <x:f>D862*(E862-1)*J862</x:f>
        <x:v>0</x:v>
      </x:c>
      <x:c r="M862" s="87" t="n">
        <x:f>0</x:f>
        <x:v>0</x:v>
      </x:c>
      <x:c r="N862" s="87" t="n">
        <x:f>H862+K862+M862</x:f>
        <x:v>23904</x:v>
      </x:c>
      <x:c r="O862" s="87" t="n">
        <x:f>N862*'01 Base Costs'!$B$7+L862</x:f>
        <x:v>114978240000</x:v>
      </x:c>
      <x:c r="P862" s="87" t="n">
        <x:f>D862*E862</x:f>
        <x:v>72</x:v>
      </x:c>
      <x:c r="Q862" s="87" t="n">
        <x:f>P862*'01 Base Costs'!$B$12</x:f>
        <x:v>139968000</x:v>
      </x:c>
      <x:c r="R862" s="87" t="n">
        <x:f>0</x:f>
        <x:v>0</x:v>
      </x:c>
      <x:c r="S862" s="87" t="n">
        <x:f>Q862+R862</x:f>
        <x:v>139968000</x:v>
      </x:c>
      <x:c r="T862" s="141" t="n">
        <x:f>S862/'01 Base Costs'!$B$14</x:f>
        <x:v>279.936</x:v>
      </x:c>
      <x:c r="U862" s="87" t="n">
        <x:f>INT(T862)</x:f>
        <x:v>279</x:v>
      </x:c>
      <x:c r="V862" s="87" t="n">
        <x:f>S862-U862*'01 Base Costs'!$B$14</x:f>
        <x:v>468000</x:v>
      </x:c>
      <x:c r="W862" s="120" t="n">
        <x:f>'01 Base Costs'!$B$17*2/3</x:f>
        <x:v>93.33333333333333</x:v>
      </x:c>
      <x:c r="X862" s="120" t="n">
        <x:f>0</x:f>
        <x:v>0</x:v>
      </x:c>
      <x:c r="Y862" s="87" t="n">
        <x:f>T862*(W862*'01 Base Costs'!$B$7+X862)</x:f>
        <x:v>125672601599.99998</x:v>
      </x:c>
      <x:c r="Z862" s="87" t="n">
        <x:f>T862*'01 Base Costs'!$B$8</x:f>
        <x:v>210763814399.99997</x:v>
      </x:c>
      <x:c r="AA862" s="87" t="n">
        <x:f>Z862*'01 Base Costs'!$B$11</x:f>
        <x:v>10538190720</x:v>
      </x:c>
      <x:c r="AB862" s="87" t="n">
        <x:f>Z862-AA862</x:f>
        <x:v>200225623679.99997</x:v>
      </x:c>
      <x:c r="AC862" s="87" t="n">
        <x:f>O862+Y862</x:f>
        <x:v>240650841600</x:v>
      </x:c>
      <x:c r="AD862" s="87" t="n">
        <x:f>AB862-AC862</x:f>
        <x:v>-40425217920.00003</x:v>
      </x:c>
      <x:c r="AE862" s="87" t="n">
        <x:f>AD862/D862</x:f>
        <x:v>-1684384080.0000012</x:v>
      </x:c>
      <x:c r="AF862" s="87" t="n">
        <x:f>AD862/P862</x:f>
        <x:v>-561461360.0000005</x:v>
      </x:c>
      <x:c r="AG862" s="87" t="n">
        <x:f>IF(T862=0,0,AC862/T862/(1-'01 Base Costs'!$B$11))</x:f>
        <x:v>904909248.4297165</x:v>
      </x:c>
      <x:c r="AH862" s="88" t="str">
        <x:f>IF(AD862&gt;0,"PROFIT","LOSS")</x:f>
        <x:v>LOSS</x:v>
      </x:c>
      <x:c r="AI862" s="89" t="str">
        <x:v>Official 24M Omega sale example. MCT sale 20% off. Extractor 3-for-2 sale.</x:v>
      </x:c>
    </x:row>
    <x:row r="863">
      <x:c r="A863" s="86" t="n">
        <x:v>861</x:v>
      </x:c>
      <x:c r="B863" s="88" t="str">
        <x:v>Sale/Event</x:v>
      </x:c>
      <x:c r="C863" s="88" t="str">
        <x:v>Winter 24M Omega sale</x:v>
      </x:c>
      <x:c r="D863" s="88" t="n">
        <x:v>24</x:v>
      </x:c>
      <x:c r="E863" s="88" t="n">
        <x:v>3</x:v>
      </x:c>
      <x:c r="F863" s="88" t="str">
        <x:v>NES MCT 20% sale</x:v>
      </x:c>
      <x:c r="G863" s="88" t="str">
        <x:v>NES 2-for-1 extractor sale</x:v>
      </x:c>
      <x:c r="H863" s="87" t="n">
        <x:f>'01 Base Costs'!$B$29</x:f>
        <x:v>5280</x:v>
      </x:c>
      <x:c r="I863" s="87" t="n">
        <x:f>'01 Base Costs'!$B$16*0.8</x:f>
        <x:v>388</x:v>
      </x:c>
      <x:c r="J863" s="87" t="n">
        <x:f>0</x:f>
        <x:v>0</x:v>
      </x:c>
      <x:c r="K863" s="87" t="n">
        <x:f>D863*(E863-1)*I863</x:f>
        <x:v>18624</x:v>
      </x:c>
      <x:c r="L863" s="87" t="n">
        <x:f>D863*(E863-1)*J863</x:f>
        <x:v>0</x:v>
      </x:c>
      <x:c r="M863" s="87" t="n">
        <x:f>0</x:f>
        <x:v>0</x:v>
      </x:c>
      <x:c r="N863" s="87" t="n">
        <x:f>H863+K863+M863</x:f>
        <x:v>23904</x:v>
      </x:c>
      <x:c r="O863" s="87" t="n">
        <x:f>N863*'01 Base Costs'!$B$7+L863</x:f>
        <x:v>114978240000</x:v>
      </x:c>
      <x:c r="P863" s="87" t="n">
        <x:f>D863*E863</x:f>
        <x:v>72</x:v>
      </x:c>
      <x:c r="Q863" s="87" t="n">
        <x:f>P863*'01 Base Costs'!$B$12</x:f>
        <x:v>139968000</x:v>
      </x:c>
      <x:c r="R863" s="87" t="n">
        <x:f>0</x:f>
        <x:v>0</x:v>
      </x:c>
      <x:c r="S863" s="87" t="n">
        <x:f>Q863+R863</x:f>
        <x:v>139968000</x:v>
      </x:c>
      <x:c r="T863" s="141" t="n">
        <x:f>S863/'01 Base Costs'!$B$14</x:f>
        <x:v>279.936</x:v>
      </x:c>
      <x:c r="U863" s="87" t="n">
        <x:f>INT(T863)</x:f>
        <x:v>279</x:v>
      </x:c>
      <x:c r="V863" s="87" t="n">
        <x:f>S863-U863*'01 Base Costs'!$B$14</x:f>
        <x:v>468000</x:v>
      </x:c>
      <x:c r="W863" s="120" t="n">
        <x:f>'01 Base Costs'!$B$17/2</x:f>
        <x:v>70</x:v>
      </x:c>
      <x:c r="X863" s="120" t="n">
        <x:f>0</x:f>
        <x:v>0</x:v>
      </x:c>
      <x:c r="Y863" s="87" t="n">
        <x:f>T863*(W863*'01 Base Costs'!$B$7+X863)</x:f>
        <x:v>94254451200</x:v>
      </x:c>
      <x:c r="Z863" s="87" t="n">
        <x:f>T863*'01 Base Costs'!$B$8</x:f>
        <x:v>210763814399.99997</x:v>
      </x:c>
      <x:c r="AA863" s="87" t="n">
        <x:f>Z863*'01 Base Costs'!$B$11</x:f>
        <x:v>10538190720</x:v>
      </x:c>
      <x:c r="AB863" s="87" t="n">
        <x:f>Z863-AA863</x:f>
        <x:v>200225623679.99997</x:v>
      </x:c>
      <x:c r="AC863" s="87" t="n">
        <x:f>O863+Y863</x:f>
        <x:v>209232691200</x:v>
      </x:c>
      <x:c r="AD863" s="87" t="n">
        <x:f>AB863-AC863</x:f>
        <x:v>-9007067520.00003</x:v>
      </x:c>
      <x:c r="AE863" s="87" t="n">
        <x:f>AD863/D863</x:f>
        <x:v>-375294480.00000125</x:v>
      </x:c>
      <x:c r="AF863" s="87" t="n">
        <x:f>AD863/P863</x:f>
        <x:v>-125098160.00000042</x:v>
      </x:c>
      <x:c r="AG863" s="87" t="n">
        <x:f>IF(T863=0,0,AC863/T863/(1-'01 Base Costs'!$B$11))</x:f>
        <x:v>786768897.5525234</x:v>
      </x:c>
      <x:c r="AH863" s="88" t="str">
        <x:f>IF(AD863&gt;0,"PROFIT","LOSS")</x:f>
        <x:v>LOSS</x:v>
      </x:c>
      <x:c r="AI863" s="89" t="str">
        <x:v>Official 24M Omega sale example. MCT sale 20% off. Extractor 2-for-1 sale.</x:v>
      </x:c>
    </x:row>
    <x:row r="864">
      <x:c r="A864" s="86" t="n">
        <x:v>862</x:v>
      </x:c>
      <x:c r="B864" s="88" t="str">
        <x:v>Sale/Event</x:v>
      </x:c>
      <x:c r="C864" s="88" t="str">
        <x:v>Winter 24M Omega sale</x:v>
      </x:c>
      <x:c r="D864" s="88" t="n">
        <x:v>24</x:v>
      </x:c>
      <x:c r="E864" s="88" t="n">
        <x:v>3</x:v>
      </x:c>
      <x:c r="F864" s="88" t="str">
        <x:v>NES MCT 20% sale</x:v>
      </x:c>
      <x:c r="G864" s="88" t="str">
        <x:v>NES 10-pack extractor 20% sale</x:v>
      </x:c>
      <x:c r="H864" s="87" t="n">
        <x:f>'01 Base Costs'!$B$29</x:f>
        <x:v>5280</x:v>
      </x:c>
      <x:c r="I864" s="87" t="n">
        <x:f>'01 Base Costs'!$B$16*0.8</x:f>
        <x:v>388</x:v>
      </x:c>
      <x:c r="J864" s="87" t="n">
        <x:f>0</x:f>
        <x:v>0</x:v>
      </x:c>
      <x:c r="K864" s="87" t="n">
        <x:f>D864*(E864-1)*I864</x:f>
        <x:v>18624</x:v>
      </x:c>
      <x:c r="L864" s="87" t="n">
        <x:f>D864*(E864-1)*J864</x:f>
        <x:v>0</x:v>
      </x:c>
      <x:c r="M864" s="87" t="n">
        <x:f>0</x:f>
        <x:v>0</x:v>
      </x:c>
      <x:c r="N864" s="87" t="n">
        <x:f>H864+K864+M864</x:f>
        <x:v>23904</x:v>
      </x:c>
      <x:c r="O864" s="87" t="n">
        <x:f>N864*'01 Base Costs'!$B$7+L864</x:f>
        <x:v>114978240000</x:v>
      </x:c>
      <x:c r="P864" s="87" t="n">
        <x:f>D864*E864</x:f>
        <x:v>72</x:v>
      </x:c>
      <x:c r="Q864" s="87" t="n">
        <x:f>P864*'01 Base Costs'!$B$12</x:f>
        <x:v>139968000</x:v>
      </x:c>
      <x:c r="R864" s="87" t="n">
        <x:f>0</x:f>
        <x:v>0</x:v>
      </x:c>
      <x:c r="S864" s="87" t="n">
        <x:f>Q864+R864</x:f>
        <x:v>139968000</x:v>
      </x:c>
      <x:c r="T864" s="141" t="n">
        <x:f>S864/'01 Base Costs'!$B$14</x:f>
        <x:v>279.936</x:v>
      </x:c>
      <x:c r="U864" s="87" t="n">
        <x:f>INT(T864)</x:f>
        <x:v>279</x:v>
      </x:c>
      <x:c r="V864" s="87" t="n">
        <x:f>S864-U864*'01 Base Costs'!$B$14</x:f>
        <x:v>468000</x:v>
      </x:c>
      <x:c r="W864" s="120" t="n">
        <x:f>'01 Base Costs'!$B$19*0.8/10</x:f>
        <x:v>95.2</x:v>
      </x:c>
      <x:c r="X864" s="120" t="n">
        <x:f>0</x:f>
        <x:v>0</x:v>
      </x:c>
      <x:c r="Y864" s="87" t="n">
        <x:f>T864*(W864*'01 Base Costs'!$B$7+X864)</x:f>
        <x:v>128186053631.99998</x:v>
      </x:c>
      <x:c r="Z864" s="87" t="n">
        <x:f>T864*'01 Base Costs'!$B$8</x:f>
        <x:v>210763814399.99997</x:v>
      </x:c>
      <x:c r="AA864" s="87" t="n">
        <x:f>Z864*'01 Base Costs'!$B$11</x:f>
        <x:v>10538190720</x:v>
      </x:c>
      <x:c r="AB864" s="87" t="n">
        <x:f>Z864-AA864</x:f>
        <x:v>200225623679.99997</x:v>
      </x:c>
      <x:c r="AC864" s="87" t="n">
        <x:f>O864+Y864</x:f>
        <x:v>243164293632</x:v>
      </x:c>
      <x:c r="AD864" s="87" t="n">
        <x:f>AB864-AC864</x:f>
        <x:v>-42938669952.00003</x:v>
      </x:c>
      <x:c r="AE864" s="87" t="n">
        <x:f>AD864/D864</x:f>
        <x:v>-1789111248.0000012</x:v>
      </x:c>
      <x:c r="AF864" s="87" t="n">
        <x:f>AD864/P864</x:f>
        <x:v>-596370416.0000005</x:v>
      </x:c>
      <x:c r="AG864" s="87" t="n">
        <x:f>IF(T864=0,0,AC864/T864/(1-'01 Base Costs'!$B$11))</x:f>
        <x:v>914360476.4998919</x:v>
      </x:c>
      <x:c r="AH864" s="88" t="str">
        <x:f>IF(AD864&gt;0,"PROFIT","LOSS")</x:f>
        <x:v>LOSS</x:v>
      </x:c>
      <x:c r="AI864" s="89" t="str">
        <x:v>Official 24M Omega sale example. MCT sale 20% off. 10-pack at 20% off.</x:v>
      </x:c>
    </x:row>
    <x:row r="865">
      <x:c r="A865" s="86" t="n">
        <x:v>863</x:v>
      </x:c>
      <x:c r="B865" s="88" t="str">
        <x:v>Sale/Event</x:v>
      </x:c>
      <x:c r="C865" s="88" t="str">
        <x:v>Winter 24M Omega sale</x:v>
      </x:c>
      <x:c r="D865" s="88" t="n">
        <x:v>24</x:v>
      </x:c>
      <x:c r="E865" s="88" t="n">
        <x:v>3</x:v>
      </x:c>
      <x:c r="F865" s="88" t="str">
        <x:v>NES MCT 20% sale</x:v>
      </x:c>
      <x:c r="G865" s="88" t="str">
        <x:v>NES 50-pack extractor 20% sale</x:v>
      </x:c>
      <x:c r="H865" s="87" t="n">
        <x:f>'01 Base Costs'!$B$29</x:f>
        <x:v>5280</x:v>
      </x:c>
      <x:c r="I865" s="87" t="n">
        <x:f>'01 Base Costs'!$B$16*0.8</x:f>
        <x:v>388</x:v>
      </x:c>
      <x:c r="J865" s="87" t="n">
        <x:f>0</x:f>
        <x:v>0</x:v>
      </x:c>
      <x:c r="K865" s="87" t="n">
        <x:f>D865*(E865-1)*I865</x:f>
        <x:v>18624</x:v>
      </x:c>
      <x:c r="L865" s="87" t="n">
        <x:f>D865*(E865-1)*J865</x:f>
        <x:v>0</x:v>
      </x:c>
      <x:c r="M865" s="87" t="n">
        <x:f>0</x:f>
        <x:v>0</x:v>
      </x:c>
      <x:c r="N865" s="87" t="n">
        <x:f>H865+K865+M865</x:f>
        <x:v>23904</x:v>
      </x:c>
      <x:c r="O865" s="87" t="n">
        <x:f>N865*'01 Base Costs'!$B$7+L865</x:f>
        <x:v>114978240000</x:v>
      </x:c>
      <x:c r="P865" s="87" t="n">
        <x:f>D865*E865</x:f>
        <x:v>72</x:v>
      </x:c>
      <x:c r="Q865" s="87" t="n">
        <x:f>P865*'01 Base Costs'!$B$12</x:f>
        <x:v>139968000</x:v>
      </x:c>
      <x:c r="R865" s="87" t="n">
        <x:f>0</x:f>
        <x:v>0</x:v>
      </x:c>
      <x:c r="S865" s="87" t="n">
        <x:f>Q865+R865</x:f>
        <x:v>139968000</x:v>
      </x:c>
      <x:c r="T865" s="141" t="n">
        <x:f>S865/'01 Base Costs'!$B$14</x:f>
        <x:v>279.936</x:v>
      </x:c>
      <x:c r="U865" s="87" t="n">
        <x:f>INT(T865)</x:f>
        <x:v>279</x:v>
      </x:c>
      <x:c r="V865" s="87" t="n">
        <x:f>S865-U865*'01 Base Costs'!$B$14</x:f>
        <x:v>468000</x:v>
      </x:c>
      <x:c r="W865" s="120" t="n">
        <x:f>'01 Base Costs'!$B$20*0.8/50</x:f>
        <x:v>89.6</x:v>
      </x:c>
      <x:c r="X865" s="120" t="n">
        <x:f>0</x:f>
        <x:v>0</x:v>
      </x:c>
      <x:c r="Y865" s="87" t="n">
        <x:f>T865*(W865*'01 Base Costs'!$B$7+X865)</x:f>
        <x:v>120645697535.99998</x:v>
      </x:c>
      <x:c r="Z865" s="87" t="n">
        <x:f>T865*'01 Base Costs'!$B$8</x:f>
        <x:v>210763814399.99997</x:v>
      </x:c>
      <x:c r="AA865" s="87" t="n">
        <x:f>Z865*'01 Base Costs'!$B$11</x:f>
        <x:v>10538190720</x:v>
      </x:c>
      <x:c r="AB865" s="87" t="n">
        <x:f>Z865-AA865</x:f>
        <x:v>200225623679.99997</x:v>
      </x:c>
      <x:c r="AC865" s="87" t="n">
        <x:f>O865+Y865</x:f>
        <x:v>235623937536</x:v>
      </x:c>
      <x:c r="AD865" s="87" t="n">
        <x:f>AB865-AC865</x:f>
        <x:v>-35398313856.00003</x:v>
      </x:c>
      <x:c r="AE865" s="87" t="n">
        <x:f>AD865/D865</x:f>
        <x:v>-1474929744.0000012</x:v>
      </x:c>
      <x:c r="AF865" s="87" t="n">
        <x:f>AD865/P865</x:f>
        <x:v>-491643248.0000004</x:v>
      </x:c>
      <x:c r="AG865" s="87" t="n">
        <x:f>IF(T865=0,0,AC865/T865/(1-'01 Base Costs'!$B$11))</x:f>
        <x:v>886006792.2893655</x:v>
      </x:c>
      <x:c r="AH865" s="88" t="str">
        <x:f>IF(AD865&gt;0,"PROFIT","LOSS")</x:f>
        <x:v>LOSS</x:v>
      </x:c>
      <x:c r="AI865" s="89" t="str">
        <x:v>Official 24M Omega sale example. MCT sale 20% off. 50-pack at 20% off.</x:v>
      </x:c>
    </x:row>
    <x:row r="866">
      <x:c r="A866" s="86" t="n">
        <x:v>864</x:v>
      </x:c>
      <x:c r="B866" s="88" t="str">
        <x:v>Sale/Event</x:v>
      </x:c>
      <x:c r="C866" s="88" t="str">
        <x:v>Winter 24M Omega sale</x:v>
      </x:c>
      <x:c r="D866" s="88" t="n">
        <x:v>24</x:v>
      </x:c>
      <x:c r="E866" s="88" t="n">
        <x:v>3</x:v>
      </x:c>
      <x:c r="F866" s="88" t="str">
        <x:v>NES MCT 20% sale</x:v>
      </x:c>
      <x:c r="G866" s="88" t="str">
        <x:v>Market Skill Extractor</x:v>
      </x:c>
      <x:c r="H866" s="87" t="n">
        <x:f>'01 Base Costs'!$B$29</x:f>
        <x:v>5280</x:v>
      </x:c>
      <x:c r="I866" s="87" t="n">
        <x:f>'01 Base Costs'!$B$16*0.8</x:f>
        <x:v>388</x:v>
      </x:c>
      <x:c r="J866" s="87" t="n">
        <x:f>0</x:f>
        <x:v>0</x:v>
      </x:c>
      <x:c r="K866" s="87" t="n">
        <x:f>D866*(E866-1)*I866</x:f>
        <x:v>18624</x:v>
      </x:c>
      <x:c r="L866" s="87" t="n">
        <x:f>D866*(E866-1)*J866</x:f>
        <x:v>0</x:v>
      </x:c>
      <x:c r="M866" s="87" t="n">
        <x:f>0</x:f>
        <x:v>0</x:v>
      </x:c>
      <x:c r="N866" s="87" t="n">
        <x:f>H866+K866+M866</x:f>
        <x:v>23904</x:v>
      </x:c>
      <x:c r="O866" s="87" t="n">
        <x:f>N866*'01 Base Costs'!$B$7+L866</x:f>
        <x:v>114978240000</x:v>
      </x:c>
      <x:c r="P866" s="87" t="n">
        <x:f>D866*E866</x:f>
        <x:v>72</x:v>
      </x:c>
      <x:c r="Q866" s="87" t="n">
        <x:f>P866*'01 Base Costs'!$B$12</x:f>
        <x:v>139968000</x:v>
      </x:c>
      <x:c r="R866" s="87" t="n">
        <x:f>0</x:f>
        <x:v>0</x:v>
      </x:c>
      <x:c r="S866" s="87" t="n">
        <x:f>Q866+R866</x:f>
        <x:v>139968000</x:v>
      </x:c>
      <x:c r="T866" s="141" t="n">
        <x:f>S866/'01 Base Costs'!$B$14</x:f>
        <x:v>279.936</x:v>
      </x:c>
      <x:c r="U866" s="87" t="n">
        <x:f>INT(T866)</x:f>
        <x:v>279</x:v>
      </x:c>
      <x:c r="V866" s="87" t="n">
        <x:f>S866-U866*'01 Base Costs'!$B$14</x:f>
        <x:v>468000</x:v>
      </x:c>
      <x:c r="W866" s="120" t="n">
        <x:f>0</x:f>
        <x:v>0</x:v>
      </x:c>
      <x:c r="X866" s="120" t="n">
        <x:f>'01 Base Costs'!$B$9</x:f>
        <x:v>463500000</x:v>
      </x:c>
      <x:c r="Y866" s="87" t="n">
        <x:f>T866*(W866*'01 Base Costs'!$B$7+X866)</x:f>
        <x:v>129750335999.99998</x:v>
      </x:c>
      <x:c r="Z866" s="87" t="n">
        <x:f>T866*'01 Base Costs'!$B$8</x:f>
        <x:v>210763814399.99997</x:v>
      </x:c>
      <x:c r="AA866" s="87" t="n">
        <x:f>Z866*'01 Base Costs'!$B$11</x:f>
        <x:v>10538190720</x:v>
      </x:c>
      <x:c r="AB866" s="87" t="n">
        <x:f>Z866-AA866</x:f>
        <x:v>200225623679.99997</x:v>
      </x:c>
      <x:c r="AC866" s="87" t="n">
        <x:f>O866+Y866</x:f>
        <x:v>244728576000</x:v>
      </x:c>
      <x:c r="AD866" s="87" t="n">
        <x:f>AB866-AC866</x:f>
        <x:v>-44502952320.00003</x:v>
      </x:c>
      <x:c r="AE866" s="87" t="n">
        <x:f>AD866/D866</x:f>
        <x:v>-1854289680.0000012</x:v>
      </x:c>
      <x:c r="AF866" s="87" t="n">
        <x:f>AD866/P866</x:f>
        <x:v>-618096560.0000005</x:v>
      </x:c>
      <x:c r="AG866" s="87" t="n">
        <x:f>IF(T866=0,0,AC866/T866/(1-'01 Base Costs'!$B$11))</x:f>
        <x:v>920242581.7630497</x:v>
      </x:c>
      <x:c r="AH866" s="88" t="str">
        <x:f>IF(AD866&gt;0,"PROFIT","LOSS")</x:f>
        <x:v>LOSS</x:v>
      </x:c>
      <x:c r="AI866" s="89" t="str">
        <x:v>Official 24M Omega sale example. MCT sale 20% off. Extractor bought on market with ISK.</x:v>
      </x:c>
    </x:row>
    <x:row r="867">
      <x:c r="A867" s="86" t="n">
        <x:v>865</x:v>
      </x:c>
      <x:c r="B867" s="88" t="str">
        <x:v>Sale/Event</x:v>
      </x:c>
      <x:c r="C867" s="88" t="str">
        <x:v>Winter 24M Omega sale</x:v>
      </x:c>
      <x:c r="D867" s="88" t="n">
        <x:v>24</x:v>
      </x:c>
      <x:c r="E867" s="88" t="n">
        <x:v>3</x:v>
      </x:c>
      <x:c r="F867" s="88" t="str">
        <x:v>NES MCT 30% sale</x:v>
      </x:c>
      <x:c r="G867" s="88" t="str">
        <x:v>NES single extractor</x:v>
      </x:c>
      <x:c r="H867" s="87" t="n">
        <x:f>'01 Base Costs'!$B$29</x:f>
        <x:v>5280</x:v>
      </x:c>
      <x:c r="I867" s="87" t="n">
        <x:f>'01 Base Costs'!$B$16*0.7</x:f>
        <x:v>339.5</x:v>
      </x:c>
      <x:c r="J867" s="87" t="n">
        <x:f>0</x:f>
        <x:v>0</x:v>
      </x:c>
      <x:c r="K867" s="87" t="n">
        <x:f>D867*(E867-1)*I867</x:f>
        <x:v>16296</x:v>
      </x:c>
      <x:c r="L867" s="87" t="n">
        <x:f>D867*(E867-1)*J867</x:f>
        <x:v>0</x:v>
      </x:c>
      <x:c r="M867" s="87" t="n">
        <x:f>0</x:f>
        <x:v>0</x:v>
      </x:c>
      <x:c r="N867" s="87" t="n">
        <x:f>H867+K867+M867</x:f>
        <x:v>21576</x:v>
      </x:c>
      <x:c r="O867" s="87" t="n">
        <x:f>N867*'01 Base Costs'!$B$7+L867</x:f>
        <x:v>103780560000</x:v>
      </x:c>
      <x:c r="P867" s="87" t="n">
        <x:f>D867*E867</x:f>
        <x:v>72</x:v>
      </x:c>
      <x:c r="Q867" s="87" t="n">
        <x:f>P867*'01 Base Costs'!$B$12</x:f>
        <x:v>139968000</x:v>
      </x:c>
      <x:c r="R867" s="87" t="n">
        <x:f>0</x:f>
        <x:v>0</x:v>
      </x:c>
      <x:c r="S867" s="87" t="n">
        <x:f>Q867+R867</x:f>
        <x:v>139968000</x:v>
      </x:c>
      <x:c r="T867" s="141" t="n">
        <x:f>S867/'01 Base Costs'!$B$14</x:f>
        <x:v>279.936</x:v>
      </x:c>
      <x:c r="U867" s="87" t="n">
        <x:f>INT(T867)</x:f>
        <x:v>279</x:v>
      </x:c>
      <x:c r="V867" s="87" t="n">
        <x:f>S867-U867*'01 Base Costs'!$B$14</x:f>
        <x:v>468000</x:v>
      </x:c>
      <x:c r="W867" s="120" t="n">
        <x:f>'01 Base Costs'!$B$17</x:f>
        <x:v>140</x:v>
      </x:c>
      <x:c r="X867" s="120" t="n">
        <x:f>0</x:f>
        <x:v>0</x:v>
      </x:c>
      <x:c r="Y867" s="87" t="n">
        <x:f>T867*(W867*'01 Base Costs'!$B$7+X867)</x:f>
        <x:v>188508902400</x:v>
      </x:c>
      <x:c r="Z867" s="87" t="n">
        <x:f>T867*'01 Base Costs'!$B$8</x:f>
        <x:v>210763814399.99997</x:v>
      </x:c>
      <x:c r="AA867" s="87" t="n">
        <x:f>Z867*'01 Base Costs'!$B$11</x:f>
        <x:v>10538190720</x:v>
      </x:c>
      <x:c r="AB867" s="87" t="n">
        <x:f>Z867-AA867</x:f>
        <x:v>200225623679.99997</x:v>
      </x:c>
      <x:c r="AC867" s="87" t="n">
        <x:f>O867+Y867</x:f>
        <x:v>292289462400</x:v>
      </x:c>
      <x:c r="AD867" s="87" t="n">
        <x:f>AB867-AC867</x:f>
        <x:v>-92063838720.00003</x:v>
      </x:c>
      <x:c r="AE867" s="87" t="n">
        <x:f>AD867/D867</x:f>
        <x:v>-3835993280.0000014</x:v>
      </x:c>
      <x:c r="AF867" s="87" t="n">
        <x:f>AD867/P867</x:f>
        <x:v>-1278664426.666667</x:v>
      </x:c>
      <x:c r="AG867" s="87" t="n">
        <x:f>IF(T867=0,0,AC867/T867/(1-'01 Base Costs'!$B$11))</x:f>
        <x:v>1099083784.5642915</x:v>
      </x:c>
      <x:c r="AH867" s="88" t="str">
        <x:f>IF(AD867&gt;0,"PROFIT","LOSS")</x:f>
        <x:v>LOSS</x:v>
      </x:c>
      <x:c r="AI867" s="89" t="str">
        <x:v>Official 24M Omega sale example. MCT sale 30% off. Base single extractor.</x:v>
      </x:c>
    </x:row>
    <x:row r="868">
      <x:c r="A868" s="86" t="n">
        <x:v>866</x:v>
      </x:c>
      <x:c r="B868" s="88" t="str">
        <x:v>Sale/Event</x:v>
      </x:c>
      <x:c r="C868" s="88" t="str">
        <x:v>Winter 24M Omega sale</x:v>
      </x:c>
      <x:c r="D868" s="88" t="n">
        <x:v>24</x:v>
      </x:c>
      <x:c r="E868" s="88" t="n">
        <x:v>3</x:v>
      </x:c>
      <x:c r="F868" s="88" t="str">
        <x:v>NES MCT 30% sale</x:v>
      </x:c>
      <x:c r="G868" s="88" t="str">
        <x:v>NES 5-pack extractor</x:v>
      </x:c>
      <x:c r="H868" s="87" t="n">
        <x:f>'01 Base Costs'!$B$29</x:f>
        <x:v>5280</x:v>
      </x:c>
      <x:c r="I868" s="87" t="n">
        <x:f>'01 Base Costs'!$B$16*0.7</x:f>
        <x:v>339.5</x:v>
      </x:c>
      <x:c r="J868" s="87" t="n">
        <x:f>0</x:f>
        <x:v>0</x:v>
      </x:c>
      <x:c r="K868" s="87" t="n">
        <x:f>D868*(E868-1)*I868</x:f>
        <x:v>16296</x:v>
      </x:c>
      <x:c r="L868" s="87" t="n">
        <x:f>D868*(E868-1)*J868</x:f>
        <x:v>0</x:v>
      </x:c>
      <x:c r="M868" s="87" t="n">
        <x:f>0</x:f>
        <x:v>0</x:v>
      </x:c>
      <x:c r="N868" s="87" t="n">
        <x:f>H868+K868+M868</x:f>
        <x:v>21576</x:v>
      </x:c>
      <x:c r="O868" s="87" t="n">
        <x:f>N868*'01 Base Costs'!$B$7+L868</x:f>
        <x:v>103780560000</x:v>
      </x:c>
      <x:c r="P868" s="87" t="n">
        <x:f>D868*E868</x:f>
        <x:v>72</x:v>
      </x:c>
      <x:c r="Q868" s="87" t="n">
        <x:f>P868*'01 Base Costs'!$B$12</x:f>
        <x:v>139968000</x:v>
      </x:c>
      <x:c r="R868" s="87" t="n">
        <x:f>0</x:f>
        <x:v>0</x:v>
      </x:c>
      <x:c r="S868" s="87" t="n">
        <x:f>Q868+R868</x:f>
        <x:v>139968000</x:v>
      </x:c>
      <x:c r="T868" s="141" t="n">
        <x:f>S868/'01 Base Costs'!$B$14</x:f>
        <x:v>279.936</x:v>
      </x:c>
      <x:c r="U868" s="87" t="n">
        <x:f>INT(T868)</x:f>
        <x:v>279</x:v>
      </x:c>
      <x:c r="V868" s="87" t="n">
        <x:f>S868-U868*'01 Base Costs'!$B$14</x:f>
        <x:v>468000</x:v>
      </x:c>
      <x:c r="W868" s="120" t="n">
        <x:f>'01 Base Costs'!$B$18/5</x:f>
        <x:v>126</x:v>
      </x:c>
      <x:c r="X868" s="120" t="n">
        <x:f>0</x:f>
        <x:v>0</x:v>
      </x:c>
      <x:c r="Y868" s="87" t="n">
        <x:f>T868*(W868*'01 Base Costs'!$B$7+X868)</x:f>
        <x:v>169658012160</x:v>
      </x:c>
      <x:c r="Z868" s="87" t="n">
        <x:f>T868*'01 Base Costs'!$B$8</x:f>
        <x:v>210763814399.99997</x:v>
      </x:c>
      <x:c r="AA868" s="87" t="n">
        <x:f>Z868*'01 Base Costs'!$B$11</x:f>
        <x:v>10538190720</x:v>
      </x:c>
      <x:c r="AB868" s="87" t="n">
        <x:f>Z868-AA868</x:f>
        <x:v>200225623679.99997</x:v>
      </x:c>
      <x:c r="AC868" s="87" t="n">
        <x:f>O868+Y868</x:f>
        <x:v>273438572160</x:v>
      </x:c>
      <x:c r="AD868" s="87" t="n">
        <x:f>AB868-AC868</x:f>
        <x:v>-73212948480.00003</x:v>
      </x:c>
      <x:c r="AE868" s="87" t="n">
        <x:f>AD868/D868</x:f>
        <x:v>-3050539520.0000014</x:v>
      </x:c>
      <x:c r="AF868" s="87" t="n">
        <x:f>AD868/P868</x:f>
        <x:v>-1016846506.6666671</x:v>
      </x:c>
      <x:c r="AG868" s="87" t="n">
        <x:f>IF(T868=0,0,AC868/T868/(1-'01 Base Costs'!$B$11))</x:f>
        <x:v>1028199574.0379757</x:v>
      </x:c>
      <x:c r="AH868" s="88" t="str">
        <x:f>IF(AD868&gt;0,"PROFIT","LOSS")</x:f>
        <x:v>LOSS</x:v>
      </x:c>
      <x:c r="AI868" s="89" t="str">
        <x:v>Official 24M Omega sale example. MCT sale 30% off. Base 5-pack average.</x:v>
      </x:c>
    </x:row>
    <x:row r="869">
      <x:c r="A869" s="86" t="n">
        <x:v>867</x:v>
      </x:c>
      <x:c r="B869" s="88" t="str">
        <x:v>Sale/Event</x:v>
      </x:c>
      <x:c r="C869" s="88" t="str">
        <x:v>Winter 24M Omega sale</x:v>
      </x:c>
      <x:c r="D869" s="88" t="n">
        <x:v>24</x:v>
      </x:c>
      <x:c r="E869" s="88" t="n">
        <x:v>3</x:v>
      </x:c>
      <x:c r="F869" s="88" t="str">
        <x:v>NES MCT 30% sale</x:v>
      </x:c>
      <x:c r="G869" s="88" t="str">
        <x:v>NES 10-pack extractor</x:v>
      </x:c>
      <x:c r="H869" s="87" t="n">
        <x:f>'01 Base Costs'!$B$29</x:f>
        <x:v>5280</x:v>
      </x:c>
      <x:c r="I869" s="87" t="n">
        <x:f>'01 Base Costs'!$B$16*0.7</x:f>
        <x:v>339.5</x:v>
      </x:c>
      <x:c r="J869" s="87" t="n">
        <x:f>0</x:f>
        <x:v>0</x:v>
      </x:c>
      <x:c r="K869" s="87" t="n">
        <x:f>D869*(E869-1)*I869</x:f>
        <x:v>16296</x:v>
      </x:c>
      <x:c r="L869" s="87" t="n">
        <x:f>D869*(E869-1)*J869</x:f>
        <x:v>0</x:v>
      </x:c>
      <x:c r="M869" s="87" t="n">
        <x:f>0</x:f>
        <x:v>0</x:v>
      </x:c>
      <x:c r="N869" s="87" t="n">
        <x:f>H869+K869+M869</x:f>
        <x:v>21576</x:v>
      </x:c>
      <x:c r="O869" s="87" t="n">
        <x:f>N869*'01 Base Costs'!$B$7+L869</x:f>
        <x:v>103780560000</x:v>
      </x:c>
      <x:c r="P869" s="87" t="n">
        <x:f>D869*E869</x:f>
        <x:v>72</x:v>
      </x:c>
      <x:c r="Q869" s="87" t="n">
        <x:f>P869*'01 Base Costs'!$B$12</x:f>
        <x:v>139968000</x:v>
      </x:c>
      <x:c r="R869" s="87" t="n">
        <x:f>0</x:f>
        <x:v>0</x:v>
      </x:c>
      <x:c r="S869" s="87" t="n">
        <x:f>Q869+R869</x:f>
        <x:v>139968000</x:v>
      </x:c>
      <x:c r="T869" s="141" t="n">
        <x:f>S869/'01 Base Costs'!$B$14</x:f>
        <x:v>279.936</x:v>
      </x:c>
      <x:c r="U869" s="87" t="n">
        <x:f>INT(T869)</x:f>
        <x:v>279</x:v>
      </x:c>
      <x:c r="V869" s="87" t="n">
        <x:f>S869-U869*'01 Base Costs'!$B$14</x:f>
        <x:v>468000</x:v>
      </x:c>
      <x:c r="W869" s="120" t="n">
        <x:f>'01 Base Costs'!$B$19/10</x:f>
        <x:v>119</x:v>
      </x:c>
      <x:c r="X869" s="120" t="n">
        <x:f>0</x:f>
        <x:v>0</x:v>
      </x:c>
      <x:c r="Y869" s="87" t="n">
        <x:f>T869*(W869*'01 Base Costs'!$B$7+X869)</x:f>
        <x:v>160232567040</x:v>
      </x:c>
      <x:c r="Z869" s="87" t="n">
        <x:f>T869*'01 Base Costs'!$B$8</x:f>
        <x:v>210763814399.99997</x:v>
      </x:c>
      <x:c r="AA869" s="87" t="n">
        <x:f>Z869*'01 Base Costs'!$B$11</x:f>
        <x:v>10538190720</x:v>
      </x:c>
      <x:c r="AB869" s="87" t="n">
        <x:f>Z869-AA869</x:f>
        <x:v>200225623679.99997</x:v>
      </x:c>
      <x:c r="AC869" s="87" t="n">
        <x:f>O869+Y869</x:f>
        <x:v>264013127040</x:v>
      </x:c>
      <x:c r="AD869" s="87" t="n">
        <x:f>AB869-AC869</x:f>
        <x:v>-63787503360.00003</x:v>
      </x:c>
      <x:c r="AE869" s="87" t="n">
        <x:f>AD869/D869</x:f>
        <x:v>-2657812640.0000014</x:v>
      </x:c>
      <x:c r="AF869" s="87" t="n">
        <x:f>AD869/P869</x:f>
        <x:v>-885937546.6666671</x:v>
      </x:c>
      <x:c r="AG869" s="87" t="n">
        <x:f>IF(T869=0,0,AC869/T869/(1-'01 Base Costs'!$B$11))</x:f>
        <x:v>992757468.7748178</x:v>
      </x:c>
      <x:c r="AH869" s="88" t="str">
        <x:f>IF(AD869&gt;0,"PROFIT","LOSS")</x:f>
        <x:v>LOSS</x:v>
      </x:c>
      <x:c r="AI869" s="89" t="str">
        <x:v>Official 24M Omega sale example. MCT sale 30% off. Base 10-pack average.</x:v>
      </x:c>
    </x:row>
    <x:row r="870">
      <x:c r="A870" s="86" t="n">
        <x:v>868</x:v>
      </x:c>
      <x:c r="B870" s="88" t="str">
        <x:v>Sale/Event</x:v>
      </x:c>
      <x:c r="C870" s="88" t="str">
        <x:v>Winter 24M Omega sale</x:v>
      </x:c>
      <x:c r="D870" s="88" t="n">
        <x:v>24</x:v>
      </x:c>
      <x:c r="E870" s="88" t="n">
        <x:v>3</x:v>
      </x:c>
      <x:c r="F870" s="88" t="str">
        <x:v>NES MCT 30% sale</x:v>
      </x:c>
      <x:c r="G870" s="88" t="str">
        <x:v>NES 50-pack extractor</x:v>
      </x:c>
      <x:c r="H870" s="87" t="n">
        <x:f>'01 Base Costs'!$B$29</x:f>
        <x:v>5280</x:v>
      </x:c>
      <x:c r="I870" s="87" t="n">
        <x:f>'01 Base Costs'!$B$16*0.7</x:f>
        <x:v>339.5</x:v>
      </x:c>
      <x:c r="J870" s="87" t="n">
        <x:f>0</x:f>
        <x:v>0</x:v>
      </x:c>
      <x:c r="K870" s="87" t="n">
        <x:f>D870*(E870-1)*I870</x:f>
        <x:v>16296</x:v>
      </x:c>
      <x:c r="L870" s="87" t="n">
        <x:f>D870*(E870-1)*J870</x:f>
        <x:v>0</x:v>
      </x:c>
      <x:c r="M870" s="87" t="n">
        <x:f>0</x:f>
        <x:v>0</x:v>
      </x:c>
      <x:c r="N870" s="87" t="n">
        <x:f>H870+K870+M870</x:f>
        <x:v>21576</x:v>
      </x:c>
      <x:c r="O870" s="87" t="n">
        <x:f>N870*'01 Base Costs'!$B$7+L870</x:f>
        <x:v>103780560000</x:v>
      </x:c>
      <x:c r="P870" s="87" t="n">
        <x:f>D870*E870</x:f>
        <x:v>72</x:v>
      </x:c>
      <x:c r="Q870" s="87" t="n">
        <x:f>P870*'01 Base Costs'!$B$12</x:f>
        <x:v>139968000</x:v>
      </x:c>
      <x:c r="R870" s="87" t="n">
        <x:f>0</x:f>
        <x:v>0</x:v>
      </x:c>
      <x:c r="S870" s="87" t="n">
        <x:f>Q870+R870</x:f>
        <x:v>139968000</x:v>
      </x:c>
      <x:c r="T870" s="141" t="n">
        <x:f>S870/'01 Base Costs'!$B$14</x:f>
        <x:v>279.936</x:v>
      </x:c>
      <x:c r="U870" s="87" t="n">
        <x:f>INT(T870)</x:f>
        <x:v>279</x:v>
      </x:c>
      <x:c r="V870" s="87" t="n">
        <x:f>S870-U870*'01 Base Costs'!$B$14</x:f>
        <x:v>468000</x:v>
      </x:c>
      <x:c r="W870" s="120" t="n">
        <x:f>'01 Base Costs'!$B$20/50</x:f>
        <x:v>112</x:v>
      </x:c>
      <x:c r="X870" s="120" t="n">
        <x:f>0</x:f>
        <x:v>0</x:v>
      </x:c>
      <x:c r="Y870" s="87" t="n">
        <x:f>T870*(W870*'01 Base Costs'!$B$7+X870)</x:f>
        <x:v>150807121920</x:v>
      </x:c>
      <x:c r="Z870" s="87" t="n">
        <x:f>T870*'01 Base Costs'!$B$8</x:f>
        <x:v>210763814399.99997</x:v>
      </x:c>
      <x:c r="AA870" s="87" t="n">
        <x:f>Z870*'01 Base Costs'!$B$11</x:f>
        <x:v>10538190720</x:v>
      </x:c>
      <x:c r="AB870" s="87" t="n">
        <x:f>Z870-AA870</x:f>
        <x:v>200225623679.99997</x:v>
      </x:c>
      <x:c r="AC870" s="87" t="n">
        <x:f>O870+Y870</x:f>
        <x:v>254587681920</x:v>
      </x:c>
      <x:c r="AD870" s="87" t="n">
        <x:f>AB870-AC870</x:f>
        <x:v>-54362058240.00003</x:v>
      </x:c>
      <x:c r="AE870" s="87" t="n">
        <x:f>AD870/D870</x:f>
        <x:v>-2265085760.0000014</x:v>
      </x:c>
      <x:c r="AF870" s="87" t="n">
        <x:f>AD870/P870</x:f>
        <x:v>-755028586.6666671</x:v>
      </x:c>
      <x:c r="AG870" s="87" t="n">
        <x:f>IF(T870=0,0,AC870/T870/(1-'01 Base Costs'!$B$11))</x:f>
        <x:v>957315363.5116599</x:v>
      </x:c>
      <x:c r="AH870" s="88" t="str">
        <x:f>IF(AD870&gt;0,"PROFIT","LOSS")</x:f>
        <x:v>LOSS</x:v>
      </x:c>
      <x:c r="AI870" s="89" t="str">
        <x:v>Official 24M Omega sale example. MCT sale 30% off. Base 50-pack average.</x:v>
      </x:c>
    </x:row>
    <x:row r="871">
      <x:c r="A871" s="86" t="n">
        <x:v>869</x:v>
      </x:c>
      <x:c r="B871" s="88" t="str">
        <x:v>Sale/Event</x:v>
      </x:c>
      <x:c r="C871" s="88" t="str">
        <x:v>Winter 24M Omega sale</x:v>
      </x:c>
      <x:c r="D871" s="88" t="n">
        <x:v>24</x:v>
      </x:c>
      <x:c r="E871" s="88" t="n">
        <x:v>3</x:v>
      </x:c>
      <x:c r="F871" s="88" t="str">
        <x:v>NES MCT 30% sale</x:v>
      </x:c>
      <x:c r="G871" s="88" t="str">
        <x:v>NES 3-for-2 extractor sale</x:v>
      </x:c>
      <x:c r="H871" s="87" t="n">
        <x:f>'01 Base Costs'!$B$29</x:f>
        <x:v>5280</x:v>
      </x:c>
      <x:c r="I871" s="87" t="n">
        <x:f>'01 Base Costs'!$B$16*0.7</x:f>
        <x:v>339.5</x:v>
      </x:c>
      <x:c r="J871" s="87" t="n">
        <x:f>0</x:f>
        <x:v>0</x:v>
      </x:c>
      <x:c r="K871" s="87" t="n">
        <x:f>D871*(E871-1)*I871</x:f>
        <x:v>16296</x:v>
      </x:c>
      <x:c r="L871" s="87" t="n">
        <x:f>D871*(E871-1)*J871</x:f>
        <x:v>0</x:v>
      </x:c>
      <x:c r="M871" s="87" t="n">
        <x:f>0</x:f>
        <x:v>0</x:v>
      </x:c>
      <x:c r="N871" s="87" t="n">
        <x:f>H871+K871+M871</x:f>
        <x:v>21576</x:v>
      </x:c>
      <x:c r="O871" s="87" t="n">
        <x:f>N871*'01 Base Costs'!$B$7+L871</x:f>
        <x:v>103780560000</x:v>
      </x:c>
      <x:c r="P871" s="87" t="n">
        <x:f>D871*E871</x:f>
        <x:v>72</x:v>
      </x:c>
      <x:c r="Q871" s="87" t="n">
        <x:f>P871*'01 Base Costs'!$B$12</x:f>
        <x:v>139968000</x:v>
      </x:c>
      <x:c r="R871" s="87" t="n">
        <x:f>0</x:f>
        <x:v>0</x:v>
      </x:c>
      <x:c r="S871" s="87" t="n">
        <x:f>Q871+R871</x:f>
        <x:v>139968000</x:v>
      </x:c>
      <x:c r="T871" s="141" t="n">
        <x:f>S871/'01 Base Costs'!$B$14</x:f>
        <x:v>279.936</x:v>
      </x:c>
      <x:c r="U871" s="87" t="n">
        <x:f>INT(T871)</x:f>
        <x:v>279</x:v>
      </x:c>
      <x:c r="V871" s="87" t="n">
        <x:f>S871-U871*'01 Base Costs'!$B$14</x:f>
        <x:v>468000</x:v>
      </x:c>
      <x:c r="W871" s="120" t="n">
        <x:f>'01 Base Costs'!$B$17*2/3</x:f>
        <x:v>93.33333333333333</x:v>
      </x:c>
      <x:c r="X871" s="120" t="n">
        <x:f>0</x:f>
        <x:v>0</x:v>
      </x:c>
      <x:c r="Y871" s="87" t="n">
        <x:f>T871*(W871*'01 Base Costs'!$B$7+X871)</x:f>
        <x:v>125672601599.99998</x:v>
      </x:c>
      <x:c r="Z871" s="87" t="n">
        <x:f>T871*'01 Base Costs'!$B$8</x:f>
        <x:v>210763814399.99997</x:v>
      </x:c>
      <x:c r="AA871" s="87" t="n">
        <x:f>Z871*'01 Base Costs'!$B$11</x:f>
        <x:v>10538190720</x:v>
      </x:c>
      <x:c r="AB871" s="87" t="n">
        <x:f>Z871-AA871</x:f>
        <x:v>200225623679.99997</x:v>
      </x:c>
      <x:c r="AC871" s="87" t="n">
        <x:f>O871+Y871</x:f>
        <x:v>229453161600</x:v>
      </x:c>
      <x:c r="AD871" s="87" t="n">
        <x:f>AB871-AC871</x:f>
        <x:v>-29227537920.00003</x:v>
      </x:c>
      <x:c r="AE871" s="87" t="n">
        <x:f>AD871/D871</x:f>
        <x:v>-1217814080.0000012</x:v>
      </x:c>
      <x:c r="AF871" s="87" t="n">
        <x:f>AD871/P871</x:f>
        <x:v>-405938026.6666671</x:v>
      </x:c>
      <x:c r="AG871" s="87" t="n">
        <x:f>IF(T871=0,0,AC871/T871/(1-'01 Base Costs'!$B$11))</x:f>
        <x:v>862803082.8099055</x:v>
      </x:c>
      <x:c r="AH871" s="88" t="str">
        <x:f>IF(AD871&gt;0,"PROFIT","LOSS")</x:f>
        <x:v>LOSS</x:v>
      </x:c>
      <x:c r="AI871" s="89" t="str">
        <x:v>Official 24M Omega sale example. MCT sale 30% off. Extractor 3-for-2 sale.</x:v>
      </x:c>
    </x:row>
    <x:row r="872">
      <x:c r="A872" s="86" t="n">
        <x:v>870</x:v>
      </x:c>
      <x:c r="B872" s="88" t="str">
        <x:v>Sale/Event</x:v>
      </x:c>
      <x:c r="C872" s="88" t="str">
        <x:v>Winter 24M Omega sale</x:v>
      </x:c>
      <x:c r="D872" s="88" t="n">
        <x:v>24</x:v>
      </x:c>
      <x:c r="E872" s="88" t="n">
        <x:v>3</x:v>
      </x:c>
      <x:c r="F872" s="88" t="str">
        <x:v>NES MCT 30% sale</x:v>
      </x:c>
      <x:c r="G872" s="88" t="str">
        <x:v>NES 2-for-1 extractor sale</x:v>
      </x:c>
      <x:c r="H872" s="87" t="n">
        <x:f>'01 Base Costs'!$B$29</x:f>
        <x:v>5280</x:v>
      </x:c>
      <x:c r="I872" s="87" t="n">
        <x:f>'01 Base Costs'!$B$16*0.7</x:f>
        <x:v>339.5</x:v>
      </x:c>
      <x:c r="J872" s="87" t="n">
        <x:f>0</x:f>
        <x:v>0</x:v>
      </x:c>
      <x:c r="K872" s="87" t="n">
        <x:f>D872*(E872-1)*I872</x:f>
        <x:v>16296</x:v>
      </x:c>
      <x:c r="L872" s="87" t="n">
        <x:f>D872*(E872-1)*J872</x:f>
        <x:v>0</x:v>
      </x:c>
      <x:c r="M872" s="87" t="n">
        <x:f>0</x:f>
        <x:v>0</x:v>
      </x:c>
      <x:c r="N872" s="87" t="n">
        <x:f>H872+K872+M872</x:f>
        <x:v>21576</x:v>
      </x:c>
      <x:c r="O872" s="87" t="n">
        <x:f>N872*'01 Base Costs'!$B$7+L872</x:f>
        <x:v>103780560000</x:v>
      </x:c>
      <x:c r="P872" s="87" t="n">
        <x:f>D872*E872</x:f>
        <x:v>72</x:v>
      </x:c>
      <x:c r="Q872" s="87" t="n">
        <x:f>P872*'01 Base Costs'!$B$12</x:f>
        <x:v>139968000</x:v>
      </x:c>
      <x:c r="R872" s="87" t="n">
        <x:f>0</x:f>
        <x:v>0</x:v>
      </x:c>
      <x:c r="S872" s="87" t="n">
        <x:f>Q872+R872</x:f>
        <x:v>139968000</x:v>
      </x:c>
      <x:c r="T872" s="141" t="n">
        <x:f>S872/'01 Base Costs'!$B$14</x:f>
        <x:v>279.936</x:v>
      </x:c>
      <x:c r="U872" s="87" t="n">
        <x:f>INT(T872)</x:f>
        <x:v>279</x:v>
      </x:c>
      <x:c r="V872" s="87" t="n">
        <x:f>S872-U872*'01 Base Costs'!$B$14</x:f>
        <x:v>468000</x:v>
      </x:c>
      <x:c r="W872" s="120" t="n">
        <x:f>'01 Base Costs'!$B$17/2</x:f>
        <x:v>70</x:v>
      </x:c>
      <x:c r="X872" s="120" t="n">
        <x:f>0</x:f>
        <x:v>0</x:v>
      </x:c>
      <x:c r="Y872" s="87" t="n">
        <x:f>T872*(W872*'01 Base Costs'!$B$7+X872)</x:f>
        <x:v>94254451200</x:v>
      </x:c>
      <x:c r="Z872" s="87" t="n">
        <x:f>T872*'01 Base Costs'!$B$8</x:f>
        <x:v>210763814399.99997</x:v>
      </x:c>
      <x:c r="AA872" s="87" t="n">
        <x:f>Z872*'01 Base Costs'!$B$11</x:f>
        <x:v>10538190720</x:v>
      </x:c>
      <x:c r="AB872" s="87" t="n">
        <x:f>Z872-AA872</x:f>
        <x:v>200225623679.99997</x:v>
      </x:c>
      <x:c r="AC872" s="87" t="n">
        <x:f>O872+Y872</x:f>
        <x:v>198035011200</x:v>
      </x:c>
      <x:c r="AD872" s="87" t="n">
        <x:f>AB872-AC872</x:f>
        <x:v>2190612479.9999695</x:v>
      </x:c>
      <x:c r="AE872" s="87" t="n">
        <x:f>AD872/D872</x:f>
        <x:v>91275519.99999873</x:v>
      </x:c>
      <x:c r="AF872" s="87" t="n">
        <x:f>AD872/P872</x:f>
        <x:v>30425173.33333291</x:v>
      </x:c>
      <x:c r="AG872" s="87" t="n">
        <x:f>IF(T872=0,0,AC872/T872/(1-'01 Base Costs'!$B$11))</x:f>
        <x:v>744662731.9327126</x:v>
      </x:c>
      <x:c r="AH872" s="88" t="str">
        <x:f>IF(AD872&gt;0,"PROFIT","LOSS")</x:f>
        <x:v>PROFIT</x:v>
      </x:c>
      <x:c r="AI872" s="89" t="str">
        <x:v>Official 24M Omega sale example. MCT sale 30% off. Extractor 2-for-1 sale.</x:v>
      </x:c>
    </x:row>
    <x:row r="873">
      <x:c r="A873" s="86" t="n">
        <x:v>871</x:v>
      </x:c>
      <x:c r="B873" s="88" t="str">
        <x:v>Sale/Event</x:v>
      </x:c>
      <x:c r="C873" s="88" t="str">
        <x:v>Winter 24M Omega sale</x:v>
      </x:c>
      <x:c r="D873" s="88" t="n">
        <x:v>24</x:v>
      </x:c>
      <x:c r="E873" s="88" t="n">
        <x:v>3</x:v>
      </x:c>
      <x:c r="F873" s="88" t="str">
        <x:v>NES MCT 30% sale</x:v>
      </x:c>
      <x:c r="G873" s="88" t="str">
        <x:v>NES 10-pack extractor 20% sale</x:v>
      </x:c>
      <x:c r="H873" s="87" t="n">
        <x:f>'01 Base Costs'!$B$29</x:f>
        <x:v>5280</x:v>
      </x:c>
      <x:c r="I873" s="87" t="n">
        <x:f>'01 Base Costs'!$B$16*0.7</x:f>
        <x:v>339.5</x:v>
      </x:c>
      <x:c r="J873" s="87" t="n">
        <x:f>0</x:f>
        <x:v>0</x:v>
      </x:c>
      <x:c r="K873" s="87" t="n">
        <x:f>D873*(E873-1)*I873</x:f>
        <x:v>16296</x:v>
      </x:c>
      <x:c r="L873" s="87" t="n">
        <x:f>D873*(E873-1)*J873</x:f>
        <x:v>0</x:v>
      </x:c>
      <x:c r="M873" s="87" t="n">
        <x:f>0</x:f>
        <x:v>0</x:v>
      </x:c>
      <x:c r="N873" s="87" t="n">
        <x:f>H873+K873+M873</x:f>
        <x:v>21576</x:v>
      </x:c>
      <x:c r="O873" s="87" t="n">
        <x:f>N873*'01 Base Costs'!$B$7+L873</x:f>
        <x:v>103780560000</x:v>
      </x:c>
      <x:c r="P873" s="87" t="n">
        <x:f>D873*E873</x:f>
        <x:v>72</x:v>
      </x:c>
      <x:c r="Q873" s="87" t="n">
        <x:f>P873*'01 Base Costs'!$B$12</x:f>
        <x:v>139968000</x:v>
      </x:c>
      <x:c r="R873" s="87" t="n">
        <x:f>0</x:f>
        <x:v>0</x:v>
      </x:c>
      <x:c r="S873" s="87" t="n">
        <x:f>Q873+R873</x:f>
        <x:v>139968000</x:v>
      </x:c>
      <x:c r="T873" s="141" t="n">
        <x:f>S873/'01 Base Costs'!$B$14</x:f>
        <x:v>279.936</x:v>
      </x:c>
      <x:c r="U873" s="87" t="n">
        <x:f>INT(T873)</x:f>
        <x:v>279</x:v>
      </x:c>
      <x:c r="V873" s="87" t="n">
        <x:f>S873-U873*'01 Base Costs'!$B$14</x:f>
        <x:v>468000</x:v>
      </x:c>
      <x:c r="W873" s="120" t="n">
        <x:f>'01 Base Costs'!$B$19*0.8/10</x:f>
        <x:v>95.2</x:v>
      </x:c>
      <x:c r="X873" s="120" t="n">
        <x:f>0</x:f>
        <x:v>0</x:v>
      </x:c>
      <x:c r="Y873" s="87" t="n">
        <x:f>T873*(W873*'01 Base Costs'!$B$7+X873)</x:f>
        <x:v>128186053631.99998</x:v>
      </x:c>
      <x:c r="Z873" s="87" t="n">
        <x:f>T873*'01 Base Costs'!$B$8</x:f>
        <x:v>210763814399.99997</x:v>
      </x:c>
      <x:c r="AA873" s="87" t="n">
        <x:f>Z873*'01 Base Costs'!$B$11</x:f>
        <x:v>10538190720</x:v>
      </x:c>
      <x:c r="AB873" s="87" t="n">
        <x:f>Z873-AA873</x:f>
        <x:v>200225623679.99997</x:v>
      </x:c>
      <x:c r="AC873" s="87" t="n">
        <x:f>O873+Y873</x:f>
        <x:v>231966613632</x:v>
      </x:c>
      <x:c r="AD873" s="87" t="n">
        <x:f>AB873-AC873</x:f>
        <x:v>-31740989952.00003</x:v>
      </x:c>
      <x:c r="AE873" s="87" t="n">
        <x:f>AD873/D873</x:f>
        <x:v>-1322541248.0000012</x:v>
      </x:c>
      <x:c r="AF873" s="87" t="n">
        <x:f>AD873/P873</x:f>
        <x:v>-440847082.6666671</x:v>
      </x:c>
      <x:c r="AG873" s="87" t="n">
        <x:f>IF(T873=0,0,AC873/T873/(1-'01 Base Costs'!$B$11))</x:f>
        <x:v>872254310.8800809</x:v>
      </x:c>
      <x:c r="AH873" s="88" t="str">
        <x:f>IF(AD873&gt;0,"PROFIT","LOSS")</x:f>
        <x:v>LOSS</x:v>
      </x:c>
      <x:c r="AI873" s="89" t="str">
        <x:v>Official 24M Omega sale example. MCT sale 30% off. 10-pack at 20% off.</x:v>
      </x:c>
    </x:row>
    <x:row r="874">
      <x:c r="A874" s="86" t="n">
        <x:v>872</x:v>
      </x:c>
      <x:c r="B874" s="88" t="str">
        <x:v>Sale/Event</x:v>
      </x:c>
      <x:c r="C874" s="88" t="str">
        <x:v>Winter 24M Omega sale</x:v>
      </x:c>
      <x:c r="D874" s="88" t="n">
        <x:v>24</x:v>
      </x:c>
      <x:c r="E874" s="88" t="n">
        <x:v>3</x:v>
      </x:c>
      <x:c r="F874" s="88" t="str">
        <x:v>NES MCT 30% sale</x:v>
      </x:c>
      <x:c r="G874" s="88" t="str">
        <x:v>NES 50-pack extractor 20% sale</x:v>
      </x:c>
      <x:c r="H874" s="87" t="n">
        <x:f>'01 Base Costs'!$B$29</x:f>
        <x:v>5280</x:v>
      </x:c>
      <x:c r="I874" s="87" t="n">
        <x:f>'01 Base Costs'!$B$16*0.7</x:f>
        <x:v>339.5</x:v>
      </x:c>
      <x:c r="J874" s="87" t="n">
        <x:f>0</x:f>
        <x:v>0</x:v>
      </x:c>
      <x:c r="K874" s="87" t="n">
        <x:f>D874*(E874-1)*I874</x:f>
        <x:v>16296</x:v>
      </x:c>
      <x:c r="L874" s="87" t="n">
        <x:f>D874*(E874-1)*J874</x:f>
        <x:v>0</x:v>
      </x:c>
      <x:c r="M874" s="87" t="n">
        <x:f>0</x:f>
        <x:v>0</x:v>
      </x:c>
      <x:c r="N874" s="87" t="n">
        <x:f>H874+K874+M874</x:f>
        <x:v>21576</x:v>
      </x:c>
      <x:c r="O874" s="87" t="n">
        <x:f>N874*'01 Base Costs'!$B$7+L874</x:f>
        <x:v>103780560000</x:v>
      </x:c>
      <x:c r="P874" s="87" t="n">
        <x:f>D874*E874</x:f>
        <x:v>72</x:v>
      </x:c>
      <x:c r="Q874" s="87" t="n">
        <x:f>P874*'01 Base Costs'!$B$12</x:f>
        <x:v>139968000</x:v>
      </x:c>
      <x:c r="R874" s="87" t="n">
        <x:f>0</x:f>
        <x:v>0</x:v>
      </x:c>
      <x:c r="S874" s="87" t="n">
        <x:f>Q874+R874</x:f>
        <x:v>139968000</x:v>
      </x:c>
      <x:c r="T874" s="141" t="n">
        <x:f>S874/'01 Base Costs'!$B$14</x:f>
        <x:v>279.936</x:v>
      </x:c>
      <x:c r="U874" s="87" t="n">
        <x:f>INT(T874)</x:f>
        <x:v>279</x:v>
      </x:c>
      <x:c r="V874" s="87" t="n">
        <x:f>S874-U874*'01 Base Costs'!$B$14</x:f>
        <x:v>468000</x:v>
      </x:c>
      <x:c r="W874" s="120" t="n">
        <x:f>'01 Base Costs'!$B$20*0.8/50</x:f>
        <x:v>89.6</x:v>
      </x:c>
      <x:c r="X874" s="120" t="n">
        <x:f>0</x:f>
        <x:v>0</x:v>
      </x:c>
      <x:c r="Y874" s="87" t="n">
        <x:f>T874*(W874*'01 Base Costs'!$B$7+X874)</x:f>
        <x:v>120645697535.99998</x:v>
      </x:c>
      <x:c r="Z874" s="87" t="n">
        <x:f>T874*'01 Base Costs'!$B$8</x:f>
        <x:v>210763814399.99997</x:v>
      </x:c>
      <x:c r="AA874" s="87" t="n">
        <x:f>Z874*'01 Base Costs'!$B$11</x:f>
        <x:v>10538190720</x:v>
      </x:c>
      <x:c r="AB874" s="87" t="n">
        <x:f>Z874-AA874</x:f>
        <x:v>200225623679.99997</x:v>
      </x:c>
      <x:c r="AC874" s="87" t="n">
        <x:f>O874+Y874</x:f>
        <x:v>224426257536</x:v>
      </x:c>
      <x:c r="AD874" s="87" t="n">
        <x:f>AB874-AC874</x:f>
        <x:v>-24200633856.00003</x:v>
      </x:c>
      <x:c r="AE874" s="87" t="n">
        <x:f>AD874/D874</x:f>
        <x:v>-1008359744.0000013</x:v>
      </x:c>
      <x:c r="AF874" s="87" t="n">
        <x:f>AD874/P874</x:f>
        <x:v>-336119914.6666671</x:v>
      </x:c>
      <x:c r="AG874" s="87" t="n">
        <x:f>IF(T874=0,0,AC874/T874/(1-'01 Base Costs'!$B$11))</x:f>
        <x:v>843900626.6695546</x:v>
      </x:c>
      <x:c r="AH874" s="88" t="str">
        <x:f>IF(AD874&gt;0,"PROFIT","LOSS")</x:f>
        <x:v>LOSS</x:v>
      </x:c>
      <x:c r="AI874" s="89" t="str">
        <x:v>Official 24M Omega sale example. MCT sale 30% off. 50-pack at 20% off.</x:v>
      </x:c>
    </x:row>
    <x:row r="875">
      <x:c r="A875" s="86" t="n">
        <x:v>873</x:v>
      </x:c>
      <x:c r="B875" s="88" t="str">
        <x:v>Sale/Event</x:v>
      </x:c>
      <x:c r="C875" s="88" t="str">
        <x:v>Winter 24M Omega sale</x:v>
      </x:c>
      <x:c r="D875" s="88" t="n">
        <x:v>24</x:v>
      </x:c>
      <x:c r="E875" s="88" t="n">
        <x:v>3</x:v>
      </x:c>
      <x:c r="F875" s="88" t="str">
        <x:v>NES MCT 30% sale</x:v>
      </x:c>
      <x:c r="G875" s="88" t="str">
        <x:v>Market Skill Extractor</x:v>
      </x:c>
      <x:c r="H875" s="87" t="n">
        <x:f>'01 Base Costs'!$B$29</x:f>
        <x:v>5280</x:v>
      </x:c>
      <x:c r="I875" s="87" t="n">
        <x:f>'01 Base Costs'!$B$16*0.7</x:f>
        <x:v>339.5</x:v>
      </x:c>
      <x:c r="J875" s="87" t="n">
        <x:f>0</x:f>
        <x:v>0</x:v>
      </x:c>
      <x:c r="K875" s="87" t="n">
        <x:f>D875*(E875-1)*I875</x:f>
        <x:v>16296</x:v>
      </x:c>
      <x:c r="L875" s="87" t="n">
        <x:f>D875*(E875-1)*J875</x:f>
        <x:v>0</x:v>
      </x:c>
      <x:c r="M875" s="87" t="n">
        <x:f>0</x:f>
        <x:v>0</x:v>
      </x:c>
      <x:c r="N875" s="87" t="n">
        <x:f>H875+K875+M875</x:f>
        <x:v>21576</x:v>
      </x:c>
      <x:c r="O875" s="87" t="n">
        <x:f>N875*'01 Base Costs'!$B$7+L875</x:f>
        <x:v>103780560000</x:v>
      </x:c>
      <x:c r="P875" s="87" t="n">
        <x:f>D875*E875</x:f>
        <x:v>72</x:v>
      </x:c>
      <x:c r="Q875" s="87" t="n">
        <x:f>P875*'01 Base Costs'!$B$12</x:f>
        <x:v>139968000</x:v>
      </x:c>
      <x:c r="R875" s="87" t="n">
        <x:f>0</x:f>
        <x:v>0</x:v>
      </x:c>
      <x:c r="S875" s="87" t="n">
        <x:f>Q875+R875</x:f>
        <x:v>139968000</x:v>
      </x:c>
      <x:c r="T875" s="141" t="n">
        <x:f>S875/'01 Base Costs'!$B$14</x:f>
        <x:v>279.936</x:v>
      </x:c>
      <x:c r="U875" s="87" t="n">
        <x:f>INT(T875)</x:f>
        <x:v>279</x:v>
      </x:c>
      <x:c r="V875" s="87" t="n">
        <x:f>S875-U875*'01 Base Costs'!$B$14</x:f>
        <x:v>468000</x:v>
      </x:c>
      <x:c r="W875" s="120" t="n">
        <x:f>0</x:f>
        <x:v>0</x:v>
      </x:c>
      <x:c r="X875" s="120" t="n">
        <x:f>'01 Base Costs'!$B$9</x:f>
        <x:v>463500000</x:v>
      </x:c>
      <x:c r="Y875" s="87" t="n">
        <x:f>T875*(W875*'01 Base Costs'!$B$7+X875)</x:f>
        <x:v>129750335999.99998</x:v>
      </x:c>
      <x:c r="Z875" s="87" t="n">
        <x:f>T875*'01 Base Costs'!$B$8</x:f>
        <x:v>210763814399.99997</x:v>
      </x:c>
      <x:c r="AA875" s="87" t="n">
        <x:f>Z875*'01 Base Costs'!$B$11</x:f>
        <x:v>10538190720</x:v>
      </x:c>
      <x:c r="AB875" s="87" t="n">
        <x:f>Z875-AA875</x:f>
        <x:v>200225623679.99997</x:v>
      </x:c>
      <x:c r="AC875" s="87" t="n">
        <x:f>O875+Y875</x:f>
        <x:v>233530896000</x:v>
      </x:c>
      <x:c r="AD875" s="87" t="n">
        <x:f>AB875-AC875</x:f>
        <x:v>-33305272320.00003</x:v>
      </x:c>
      <x:c r="AE875" s="87" t="n">
        <x:f>AD875/D875</x:f>
        <x:v>-1387719680.0000012</x:v>
      </x:c>
      <x:c r="AF875" s="87" t="n">
        <x:f>AD875/P875</x:f>
        <x:v>-462573226.6666671</x:v>
      </x:c>
      <x:c r="AG875" s="87" t="n">
        <x:f>IF(T875=0,0,AC875/T875/(1-'01 Base Costs'!$B$11))</x:f>
        <x:v>878136416.1432388</x:v>
      </x:c>
      <x:c r="AH875" s="88" t="str">
        <x:f>IF(AD875&gt;0,"PROFIT","LOSS")</x:f>
        <x:v>LOSS</x:v>
      </x:c>
      <x:c r="AI875" s="89" t="str">
        <x:v>Official 24M Omega sale example. MCT sale 30% off. Extractor bought on market with ISK.</x:v>
      </x:c>
    </x:row>
    <x:row r="876">
      <x:c r="A876" s="86" t="n">
        <x:v>874</x:v>
      </x:c>
      <x:c r="B876" s="88" t="str">
        <x:v>Sale/Event</x:v>
      </x:c>
      <x:c r="C876" s="88" t="str">
        <x:v>Winter 24M Omega sale</x:v>
      </x:c>
      <x:c r="D876" s="88" t="n">
        <x:v>24</x:v>
      </x:c>
      <x:c r="E876" s="88" t="n">
        <x:v>3</x:v>
      </x:c>
      <x:c r="F876" s="88" t="str">
        <x:v>NES MCT 40% sale</x:v>
      </x:c>
      <x:c r="G876" s="88" t="str">
        <x:v>NES single extractor</x:v>
      </x:c>
      <x:c r="H876" s="87" t="n">
        <x:f>'01 Base Costs'!$B$29</x:f>
        <x:v>5280</x:v>
      </x:c>
      <x:c r="I876" s="87" t="n">
        <x:f>'01 Base Costs'!$B$16*0.6</x:f>
        <x:v>291</x:v>
      </x:c>
      <x:c r="J876" s="87" t="n">
        <x:f>0</x:f>
        <x:v>0</x:v>
      </x:c>
      <x:c r="K876" s="87" t="n">
        <x:f>D876*(E876-1)*I876</x:f>
        <x:v>13968</x:v>
      </x:c>
      <x:c r="L876" s="87" t="n">
        <x:f>D876*(E876-1)*J876</x:f>
        <x:v>0</x:v>
      </x:c>
      <x:c r="M876" s="87" t="n">
        <x:f>0</x:f>
        <x:v>0</x:v>
      </x:c>
      <x:c r="N876" s="87" t="n">
        <x:f>H876+K876+M876</x:f>
        <x:v>19248</x:v>
      </x:c>
      <x:c r="O876" s="87" t="n">
        <x:f>N876*'01 Base Costs'!$B$7+L876</x:f>
        <x:v>92582880000</x:v>
      </x:c>
      <x:c r="P876" s="87" t="n">
        <x:f>D876*E876</x:f>
        <x:v>72</x:v>
      </x:c>
      <x:c r="Q876" s="87" t="n">
        <x:f>P876*'01 Base Costs'!$B$12</x:f>
        <x:v>139968000</x:v>
      </x:c>
      <x:c r="R876" s="87" t="n">
        <x:f>0</x:f>
        <x:v>0</x:v>
      </x:c>
      <x:c r="S876" s="87" t="n">
        <x:f>Q876+R876</x:f>
        <x:v>139968000</x:v>
      </x:c>
      <x:c r="T876" s="141" t="n">
        <x:f>S876/'01 Base Costs'!$B$14</x:f>
        <x:v>279.936</x:v>
      </x:c>
      <x:c r="U876" s="87" t="n">
        <x:f>INT(T876)</x:f>
        <x:v>279</x:v>
      </x:c>
      <x:c r="V876" s="87" t="n">
        <x:f>S876-U876*'01 Base Costs'!$B$14</x:f>
        <x:v>468000</x:v>
      </x:c>
      <x:c r="W876" s="120" t="n">
        <x:f>'01 Base Costs'!$B$17</x:f>
        <x:v>140</x:v>
      </x:c>
      <x:c r="X876" s="120" t="n">
        <x:f>0</x:f>
        <x:v>0</x:v>
      </x:c>
      <x:c r="Y876" s="87" t="n">
        <x:f>T876*(W876*'01 Base Costs'!$B$7+X876)</x:f>
        <x:v>188508902400</x:v>
      </x:c>
      <x:c r="Z876" s="87" t="n">
        <x:f>T876*'01 Base Costs'!$B$8</x:f>
        <x:v>210763814399.99997</x:v>
      </x:c>
      <x:c r="AA876" s="87" t="n">
        <x:f>Z876*'01 Base Costs'!$B$11</x:f>
        <x:v>10538190720</x:v>
      </x:c>
      <x:c r="AB876" s="87" t="n">
        <x:f>Z876-AA876</x:f>
        <x:v>200225623679.99997</x:v>
      </x:c>
      <x:c r="AC876" s="87" t="n">
        <x:f>O876+Y876</x:f>
        <x:v>281091782400</x:v>
      </x:c>
      <x:c r="AD876" s="87" t="n">
        <x:f>AB876-AC876</x:f>
        <x:v>-80866158720.00003</x:v>
      </x:c>
      <x:c r="AE876" s="87" t="n">
        <x:f>AD876/D876</x:f>
        <x:v>-3369423280.0000014</x:v>
      </x:c>
      <x:c r="AF876" s="87" t="n">
        <x:f>AD876/P876</x:f>
        <x:v>-1123141093.3333337</x:v>
      </x:c>
      <x:c r="AG876" s="87" t="n">
        <x:f>IF(T876=0,0,AC876/T876/(1-'01 Base Costs'!$B$11))</x:f>
        <x:v>1056977618.9444808</x:v>
      </x:c>
      <x:c r="AH876" s="88" t="str">
        <x:f>IF(AD876&gt;0,"PROFIT","LOSS")</x:f>
        <x:v>LOSS</x:v>
      </x:c>
      <x:c r="AI876" s="89" t="str">
        <x:v>Official 24M Omega sale example. MCT sale 40% off. Base single extractor.</x:v>
      </x:c>
    </x:row>
    <x:row r="877">
      <x:c r="A877" s="86" t="n">
        <x:v>875</x:v>
      </x:c>
      <x:c r="B877" s="88" t="str">
        <x:v>Sale/Event</x:v>
      </x:c>
      <x:c r="C877" s="88" t="str">
        <x:v>Winter 24M Omega sale</x:v>
      </x:c>
      <x:c r="D877" s="88" t="n">
        <x:v>24</x:v>
      </x:c>
      <x:c r="E877" s="88" t="n">
        <x:v>3</x:v>
      </x:c>
      <x:c r="F877" s="88" t="str">
        <x:v>NES MCT 40% sale</x:v>
      </x:c>
      <x:c r="G877" s="88" t="str">
        <x:v>NES 5-pack extractor</x:v>
      </x:c>
      <x:c r="H877" s="87" t="n">
        <x:f>'01 Base Costs'!$B$29</x:f>
        <x:v>5280</x:v>
      </x:c>
      <x:c r="I877" s="87" t="n">
        <x:f>'01 Base Costs'!$B$16*0.6</x:f>
        <x:v>291</x:v>
      </x:c>
      <x:c r="J877" s="87" t="n">
        <x:f>0</x:f>
        <x:v>0</x:v>
      </x:c>
      <x:c r="K877" s="87" t="n">
        <x:f>D877*(E877-1)*I877</x:f>
        <x:v>13968</x:v>
      </x:c>
      <x:c r="L877" s="87" t="n">
        <x:f>D877*(E877-1)*J877</x:f>
        <x:v>0</x:v>
      </x:c>
      <x:c r="M877" s="87" t="n">
        <x:f>0</x:f>
        <x:v>0</x:v>
      </x:c>
      <x:c r="N877" s="87" t="n">
        <x:f>H877+K877+M877</x:f>
        <x:v>19248</x:v>
      </x:c>
      <x:c r="O877" s="87" t="n">
        <x:f>N877*'01 Base Costs'!$B$7+L877</x:f>
        <x:v>92582880000</x:v>
      </x:c>
      <x:c r="P877" s="87" t="n">
        <x:f>D877*E877</x:f>
        <x:v>72</x:v>
      </x:c>
      <x:c r="Q877" s="87" t="n">
        <x:f>P877*'01 Base Costs'!$B$12</x:f>
        <x:v>139968000</x:v>
      </x:c>
      <x:c r="R877" s="87" t="n">
        <x:f>0</x:f>
        <x:v>0</x:v>
      </x:c>
      <x:c r="S877" s="87" t="n">
        <x:f>Q877+R877</x:f>
        <x:v>139968000</x:v>
      </x:c>
      <x:c r="T877" s="141" t="n">
        <x:f>S877/'01 Base Costs'!$B$14</x:f>
        <x:v>279.936</x:v>
      </x:c>
      <x:c r="U877" s="87" t="n">
        <x:f>INT(T877)</x:f>
        <x:v>279</x:v>
      </x:c>
      <x:c r="V877" s="87" t="n">
        <x:f>S877-U877*'01 Base Costs'!$B$14</x:f>
        <x:v>468000</x:v>
      </x:c>
      <x:c r="W877" s="120" t="n">
        <x:f>'01 Base Costs'!$B$18/5</x:f>
        <x:v>126</x:v>
      </x:c>
      <x:c r="X877" s="120" t="n">
        <x:f>0</x:f>
        <x:v>0</x:v>
      </x:c>
      <x:c r="Y877" s="87" t="n">
        <x:f>T877*(W877*'01 Base Costs'!$B$7+X877)</x:f>
        <x:v>169658012160</x:v>
      </x:c>
      <x:c r="Z877" s="87" t="n">
        <x:f>T877*'01 Base Costs'!$B$8</x:f>
        <x:v>210763814399.99997</x:v>
      </x:c>
      <x:c r="AA877" s="87" t="n">
        <x:f>Z877*'01 Base Costs'!$B$11</x:f>
        <x:v>10538190720</x:v>
      </x:c>
      <x:c r="AB877" s="87" t="n">
        <x:f>Z877-AA877</x:f>
        <x:v>200225623679.99997</x:v>
      </x:c>
      <x:c r="AC877" s="87" t="n">
        <x:f>O877+Y877</x:f>
        <x:v>262240892160</x:v>
      </x:c>
      <x:c r="AD877" s="87" t="n">
        <x:f>AB877-AC877</x:f>
        <x:v>-62015268480.00003</x:v>
      </x:c>
      <x:c r="AE877" s="87" t="n">
        <x:f>AD877/D877</x:f>
        <x:v>-2583969520.0000014</x:v>
      </x:c>
      <x:c r="AF877" s="87" t="n">
        <x:f>AD877/P877</x:f>
        <x:v>-861323173.3333337</x:v>
      </x:c>
      <x:c r="AG877" s="87" t="n">
        <x:f>IF(T877=0,0,AC877/T877/(1-'01 Base Costs'!$B$11))</x:f>
        <x:v>986093408.418165</x:v>
      </x:c>
      <x:c r="AH877" s="88" t="str">
        <x:f>IF(AD877&gt;0,"PROFIT","LOSS")</x:f>
        <x:v>LOSS</x:v>
      </x:c>
      <x:c r="AI877" s="89" t="str">
        <x:v>Official 24M Omega sale example. MCT sale 40% off. Base 5-pack average.</x:v>
      </x:c>
    </x:row>
    <x:row r="878">
      <x:c r="A878" s="86" t="n">
        <x:v>876</x:v>
      </x:c>
      <x:c r="B878" s="88" t="str">
        <x:v>Sale/Event</x:v>
      </x:c>
      <x:c r="C878" s="88" t="str">
        <x:v>Winter 24M Omega sale</x:v>
      </x:c>
      <x:c r="D878" s="88" t="n">
        <x:v>24</x:v>
      </x:c>
      <x:c r="E878" s="88" t="n">
        <x:v>3</x:v>
      </x:c>
      <x:c r="F878" s="88" t="str">
        <x:v>NES MCT 40% sale</x:v>
      </x:c>
      <x:c r="G878" s="88" t="str">
        <x:v>NES 10-pack extractor</x:v>
      </x:c>
      <x:c r="H878" s="87" t="n">
        <x:f>'01 Base Costs'!$B$29</x:f>
        <x:v>5280</x:v>
      </x:c>
      <x:c r="I878" s="87" t="n">
        <x:f>'01 Base Costs'!$B$16*0.6</x:f>
        <x:v>291</x:v>
      </x:c>
      <x:c r="J878" s="87" t="n">
        <x:f>0</x:f>
        <x:v>0</x:v>
      </x:c>
      <x:c r="K878" s="87" t="n">
        <x:f>D878*(E878-1)*I878</x:f>
        <x:v>13968</x:v>
      </x:c>
      <x:c r="L878" s="87" t="n">
        <x:f>D878*(E878-1)*J878</x:f>
        <x:v>0</x:v>
      </x:c>
      <x:c r="M878" s="87" t="n">
        <x:f>0</x:f>
        <x:v>0</x:v>
      </x:c>
      <x:c r="N878" s="87" t="n">
        <x:f>H878+K878+M878</x:f>
        <x:v>19248</x:v>
      </x:c>
      <x:c r="O878" s="87" t="n">
        <x:f>N878*'01 Base Costs'!$B$7+L878</x:f>
        <x:v>92582880000</x:v>
      </x:c>
      <x:c r="P878" s="87" t="n">
        <x:f>D878*E878</x:f>
        <x:v>72</x:v>
      </x:c>
      <x:c r="Q878" s="87" t="n">
        <x:f>P878*'01 Base Costs'!$B$12</x:f>
        <x:v>139968000</x:v>
      </x:c>
      <x:c r="R878" s="87" t="n">
        <x:f>0</x:f>
        <x:v>0</x:v>
      </x:c>
      <x:c r="S878" s="87" t="n">
        <x:f>Q878+R878</x:f>
        <x:v>139968000</x:v>
      </x:c>
      <x:c r="T878" s="141" t="n">
        <x:f>S878/'01 Base Costs'!$B$14</x:f>
        <x:v>279.936</x:v>
      </x:c>
      <x:c r="U878" s="87" t="n">
        <x:f>INT(T878)</x:f>
        <x:v>279</x:v>
      </x:c>
      <x:c r="V878" s="87" t="n">
        <x:f>S878-U878*'01 Base Costs'!$B$14</x:f>
        <x:v>468000</x:v>
      </x:c>
      <x:c r="W878" s="120" t="n">
        <x:f>'01 Base Costs'!$B$19/10</x:f>
        <x:v>119</x:v>
      </x:c>
      <x:c r="X878" s="120" t="n">
        <x:f>0</x:f>
        <x:v>0</x:v>
      </x:c>
      <x:c r="Y878" s="87" t="n">
        <x:f>T878*(W878*'01 Base Costs'!$B$7+X878)</x:f>
        <x:v>160232567040</x:v>
      </x:c>
      <x:c r="Z878" s="87" t="n">
        <x:f>T878*'01 Base Costs'!$B$8</x:f>
        <x:v>210763814399.99997</x:v>
      </x:c>
      <x:c r="AA878" s="87" t="n">
        <x:f>Z878*'01 Base Costs'!$B$11</x:f>
        <x:v>10538190720</x:v>
      </x:c>
      <x:c r="AB878" s="87" t="n">
        <x:f>Z878-AA878</x:f>
        <x:v>200225623679.99997</x:v>
      </x:c>
      <x:c r="AC878" s="87" t="n">
        <x:f>O878+Y878</x:f>
        <x:v>252815447040</x:v>
      </x:c>
      <x:c r="AD878" s="87" t="n">
        <x:f>AB878-AC878</x:f>
        <x:v>-52589823360.00003</x:v>
      </x:c>
      <x:c r="AE878" s="87" t="n">
        <x:f>AD878/D878</x:f>
        <x:v>-2191242640.0000014</x:v>
      </x:c>
      <x:c r="AF878" s="87" t="n">
        <x:f>AD878/P878</x:f>
        <x:v>-730414213.3333337</x:v>
      </x:c>
      <x:c r="AG878" s="87" t="n">
        <x:f>IF(T878=0,0,AC878/T878/(1-'01 Base Costs'!$B$11))</x:f>
        <x:v>950651303.155007</x:v>
      </x:c>
      <x:c r="AH878" s="88" t="str">
        <x:f>IF(AD878&gt;0,"PROFIT","LOSS")</x:f>
        <x:v>LOSS</x:v>
      </x:c>
      <x:c r="AI878" s="89" t="str">
        <x:v>Official 24M Omega sale example. MCT sale 40% off. Base 10-pack average.</x:v>
      </x:c>
    </x:row>
    <x:row r="879">
      <x:c r="A879" s="86" t="n">
        <x:v>877</x:v>
      </x:c>
      <x:c r="B879" s="88" t="str">
        <x:v>Sale/Event</x:v>
      </x:c>
      <x:c r="C879" s="88" t="str">
        <x:v>Winter 24M Omega sale</x:v>
      </x:c>
      <x:c r="D879" s="88" t="n">
        <x:v>24</x:v>
      </x:c>
      <x:c r="E879" s="88" t="n">
        <x:v>3</x:v>
      </x:c>
      <x:c r="F879" s="88" t="str">
        <x:v>NES MCT 40% sale</x:v>
      </x:c>
      <x:c r="G879" s="88" t="str">
        <x:v>NES 50-pack extractor</x:v>
      </x:c>
      <x:c r="H879" s="87" t="n">
        <x:f>'01 Base Costs'!$B$29</x:f>
        <x:v>5280</x:v>
      </x:c>
      <x:c r="I879" s="87" t="n">
        <x:f>'01 Base Costs'!$B$16*0.6</x:f>
        <x:v>291</x:v>
      </x:c>
      <x:c r="J879" s="87" t="n">
        <x:f>0</x:f>
        <x:v>0</x:v>
      </x:c>
      <x:c r="K879" s="87" t="n">
        <x:f>D879*(E879-1)*I879</x:f>
        <x:v>13968</x:v>
      </x:c>
      <x:c r="L879" s="87" t="n">
        <x:f>D879*(E879-1)*J879</x:f>
        <x:v>0</x:v>
      </x:c>
      <x:c r="M879" s="87" t="n">
        <x:f>0</x:f>
        <x:v>0</x:v>
      </x:c>
      <x:c r="N879" s="87" t="n">
        <x:f>H879+K879+M879</x:f>
        <x:v>19248</x:v>
      </x:c>
      <x:c r="O879" s="87" t="n">
        <x:f>N879*'01 Base Costs'!$B$7+L879</x:f>
        <x:v>92582880000</x:v>
      </x:c>
      <x:c r="P879" s="87" t="n">
        <x:f>D879*E879</x:f>
        <x:v>72</x:v>
      </x:c>
      <x:c r="Q879" s="87" t="n">
        <x:f>P879*'01 Base Costs'!$B$12</x:f>
        <x:v>139968000</x:v>
      </x:c>
      <x:c r="R879" s="87" t="n">
        <x:f>0</x:f>
        <x:v>0</x:v>
      </x:c>
      <x:c r="S879" s="87" t="n">
        <x:f>Q879+R879</x:f>
        <x:v>139968000</x:v>
      </x:c>
      <x:c r="T879" s="141" t="n">
        <x:f>S879/'01 Base Costs'!$B$14</x:f>
        <x:v>279.936</x:v>
      </x:c>
      <x:c r="U879" s="87" t="n">
        <x:f>INT(T879)</x:f>
        <x:v>279</x:v>
      </x:c>
      <x:c r="V879" s="87" t="n">
        <x:f>S879-U879*'01 Base Costs'!$B$14</x:f>
        <x:v>468000</x:v>
      </x:c>
      <x:c r="W879" s="120" t="n">
        <x:f>'01 Base Costs'!$B$20/50</x:f>
        <x:v>112</x:v>
      </x:c>
      <x:c r="X879" s="120" t="n">
        <x:f>0</x:f>
        <x:v>0</x:v>
      </x:c>
      <x:c r="Y879" s="87" t="n">
        <x:f>T879*(W879*'01 Base Costs'!$B$7+X879)</x:f>
        <x:v>150807121920</x:v>
      </x:c>
      <x:c r="Z879" s="87" t="n">
        <x:f>T879*'01 Base Costs'!$B$8</x:f>
        <x:v>210763814399.99997</x:v>
      </x:c>
      <x:c r="AA879" s="87" t="n">
        <x:f>Z879*'01 Base Costs'!$B$11</x:f>
        <x:v>10538190720</x:v>
      </x:c>
      <x:c r="AB879" s="87" t="n">
        <x:f>Z879-AA879</x:f>
        <x:v>200225623679.99997</x:v>
      </x:c>
      <x:c r="AC879" s="87" t="n">
        <x:f>O879+Y879</x:f>
        <x:v>243390001920</x:v>
      </x:c>
      <x:c r="AD879" s="87" t="n">
        <x:f>AB879-AC879</x:f>
        <x:v>-43164378240.00003</x:v>
      </x:c>
      <x:c r="AE879" s="87" t="n">
        <x:f>AD879/D879</x:f>
        <x:v>-1798515760.0000012</x:v>
      </x:c>
      <x:c r="AF879" s="87" t="n">
        <x:f>AD879/P879</x:f>
        <x:v>-599505253.3333337</x:v>
      </x:c>
      <x:c r="AG879" s="87" t="n">
        <x:f>IF(T879=0,0,AC879/T879/(1-'01 Base Costs'!$B$11))</x:f>
        <x:v>915209197.8918492</x:v>
      </x:c>
      <x:c r="AH879" s="88" t="str">
        <x:f>IF(AD879&gt;0,"PROFIT","LOSS")</x:f>
        <x:v>LOSS</x:v>
      </x:c>
      <x:c r="AI879" s="89" t="str">
        <x:v>Official 24M Omega sale example. MCT sale 40% off. Base 50-pack average.</x:v>
      </x:c>
    </x:row>
    <x:row r="880">
      <x:c r="A880" s="86" t="n">
        <x:v>878</x:v>
      </x:c>
      <x:c r="B880" s="88" t="str">
        <x:v>Sale/Event</x:v>
      </x:c>
      <x:c r="C880" s="88" t="str">
        <x:v>Winter 24M Omega sale</x:v>
      </x:c>
      <x:c r="D880" s="88" t="n">
        <x:v>24</x:v>
      </x:c>
      <x:c r="E880" s="88" t="n">
        <x:v>3</x:v>
      </x:c>
      <x:c r="F880" s="88" t="str">
        <x:v>NES MCT 40% sale</x:v>
      </x:c>
      <x:c r="G880" s="88" t="str">
        <x:v>NES 3-for-2 extractor sale</x:v>
      </x:c>
      <x:c r="H880" s="87" t="n">
        <x:f>'01 Base Costs'!$B$29</x:f>
        <x:v>5280</x:v>
      </x:c>
      <x:c r="I880" s="87" t="n">
        <x:f>'01 Base Costs'!$B$16*0.6</x:f>
        <x:v>291</x:v>
      </x:c>
      <x:c r="J880" s="87" t="n">
        <x:f>0</x:f>
        <x:v>0</x:v>
      </x:c>
      <x:c r="K880" s="87" t="n">
        <x:f>D880*(E880-1)*I880</x:f>
        <x:v>13968</x:v>
      </x:c>
      <x:c r="L880" s="87" t="n">
        <x:f>D880*(E880-1)*J880</x:f>
        <x:v>0</x:v>
      </x:c>
      <x:c r="M880" s="87" t="n">
        <x:f>0</x:f>
        <x:v>0</x:v>
      </x:c>
      <x:c r="N880" s="87" t="n">
        <x:f>H880+K880+M880</x:f>
        <x:v>19248</x:v>
      </x:c>
      <x:c r="O880" s="87" t="n">
        <x:f>N880*'01 Base Costs'!$B$7+L880</x:f>
        <x:v>92582880000</x:v>
      </x:c>
      <x:c r="P880" s="87" t="n">
        <x:f>D880*E880</x:f>
        <x:v>72</x:v>
      </x:c>
      <x:c r="Q880" s="87" t="n">
        <x:f>P880*'01 Base Costs'!$B$12</x:f>
        <x:v>139968000</x:v>
      </x:c>
      <x:c r="R880" s="87" t="n">
        <x:f>0</x:f>
        <x:v>0</x:v>
      </x:c>
      <x:c r="S880" s="87" t="n">
        <x:f>Q880+R880</x:f>
        <x:v>139968000</x:v>
      </x:c>
      <x:c r="T880" s="141" t="n">
        <x:f>S880/'01 Base Costs'!$B$14</x:f>
        <x:v>279.936</x:v>
      </x:c>
      <x:c r="U880" s="87" t="n">
        <x:f>INT(T880)</x:f>
        <x:v>279</x:v>
      </x:c>
      <x:c r="V880" s="87" t="n">
        <x:f>S880-U880*'01 Base Costs'!$B$14</x:f>
        <x:v>468000</x:v>
      </x:c>
      <x:c r="W880" s="120" t="n">
        <x:f>'01 Base Costs'!$B$17*2/3</x:f>
        <x:v>93.33333333333333</x:v>
      </x:c>
      <x:c r="X880" s="120" t="n">
        <x:f>0</x:f>
        <x:v>0</x:v>
      </x:c>
      <x:c r="Y880" s="87" t="n">
        <x:f>T880*(W880*'01 Base Costs'!$B$7+X880)</x:f>
        <x:v>125672601599.99998</x:v>
      </x:c>
      <x:c r="Z880" s="87" t="n">
        <x:f>T880*'01 Base Costs'!$B$8</x:f>
        <x:v>210763814399.99997</x:v>
      </x:c>
      <x:c r="AA880" s="87" t="n">
        <x:f>Z880*'01 Base Costs'!$B$11</x:f>
        <x:v>10538190720</x:v>
      </x:c>
      <x:c r="AB880" s="87" t="n">
        <x:f>Z880-AA880</x:f>
        <x:v>200225623679.99997</x:v>
      </x:c>
      <x:c r="AC880" s="87" t="n">
        <x:f>O880+Y880</x:f>
        <x:v>218255481600</x:v>
      </x:c>
      <x:c r="AD880" s="87" t="n">
        <x:f>AB880-AC880</x:f>
        <x:v>-18029857920.00003</x:v>
      </x:c>
      <x:c r="AE880" s="87" t="n">
        <x:f>AD880/D880</x:f>
        <x:v>-751244080.0000013</x:v>
      </x:c>
      <x:c r="AF880" s="87" t="n">
        <x:f>AD880/P880</x:f>
        <x:v>-250414693.33333376</x:v>
      </x:c>
      <x:c r="AG880" s="87" t="n">
        <x:f>IF(T880=0,0,AC880/T880/(1-'01 Base Costs'!$B$11))</x:f>
        <x:v>820696917.1900947</x:v>
      </x:c>
      <x:c r="AH880" s="88" t="str">
        <x:f>IF(AD880&gt;0,"PROFIT","LOSS")</x:f>
        <x:v>LOSS</x:v>
      </x:c>
      <x:c r="AI880" s="89" t="str">
        <x:v>Official 24M Omega sale example. MCT sale 40% off. Extractor 3-for-2 sale.</x:v>
      </x:c>
    </x:row>
    <x:row r="881">
      <x:c r="A881" s="86" t="n">
        <x:v>879</x:v>
      </x:c>
      <x:c r="B881" s="88" t="str">
        <x:v>Sale/Event</x:v>
      </x:c>
      <x:c r="C881" s="88" t="str">
        <x:v>Winter 24M Omega sale</x:v>
      </x:c>
      <x:c r="D881" s="88" t="n">
        <x:v>24</x:v>
      </x:c>
      <x:c r="E881" s="88" t="n">
        <x:v>3</x:v>
      </x:c>
      <x:c r="F881" s="88" t="str">
        <x:v>NES MCT 40% sale</x:v>
      </x:c>
      <x:c r="G881" s="88" t="str">
        <x:v>NES 2-for-1 extractor sale</x:v>
      </x:c>
      <x:c r="H881" s="87" t="n">
        <x:f>'01 Base Costs'!$B$29</x:f>
        <x:v>5280</x:v>
      </x:c>
      <x:c r="I881" s="87" t="n">
        <x:f>'01 Base Costs'!$B$16*0.6</x:f>
        <x:v>291</x:v>
      </x:c>
      <x:c r="J881" s="87" t="n">
        <x:f>0</x:f>
        <x:v>0</x:v>
      </x:c>
      <x:c r="K881" s="87" t="n">
        <x:f>D881*(E881-1)*I881</x:f>
        <x:v>13968</x:v>
      </x:c>
      <x:c r="L881" s="87" t="n">
        <x:f>D881*(E881-1)*J881</x:f>
        <x:v>0</x:v>
      </x:c>
      <x:c r="M881" s="87" t="n">
        <x:f>0</x:f>
        <x:v>0</x:v>
      </x:c>
      <x:c r="N881" s="87" t="n">
        <x:f>H881+K881+M881</x:f>
        <x:v>19248</x:v>
      </x:c>
      <x:c r="O881" s="87" t="n">
        <x:f>N881*'01 Base Costs'!$B$7+L881</x:f>
        <x:v>92582880000</x:v>
      </x:c>
      <x:c r="P881" s="87" t="n">
        <x:f>D881*E881</x:f>
        <x:v>72</x:v>
      </x:c>
      <x:c r="Q881" s="87" t="n">
        <x:f>P881*'01 Base Costs'!$B$12</x:f>
        <x:v>139968000</x:v>
      </x:c>
      <x:c r="R881" s="87" t="n">
        <x:f>0</x:f>
        <x:v>0</x:v>
      </x:c>
      <x:c r="S881" s="87" t="n">
        <x:f>Q881+R881</x:f>
        <x:v>139968000</x:v>
      </x:c>
      <x:c r="T881" s="141" t="n">
        <x:f>S881/'01 Base Costs'!$B$14</x:f>
        <x:v>279.936</x:v>
      </x:c>
      <x:c r="U881" s="87" t="n">
        <x:f>INT(T881)</x:f>
        <x:v>279</x:v>
      </x:c>
      <x:c r="V881" s="87" t="n">
        <x:f>S881-U881*'01 Base Costs'!$B$14</x:f>
        <x:v>468000</x:v>
      </x:c>
      <x:c r="W881" s="120" t="n">
        <x:f>'01 Base Costs'!$B$17/2</x:f>
        <x:v>70</x:v>
      </x:c>
      <x:c r="X881" s="120" t="n">
        <x:f>0</x:f>
        <x:v>0</x:v>
      </x:c>
      <x:c r="Y881" s="87" t="n">
        <x:f>T881*(W881*'01 Base Costs'!$B$7+X881)</x:f>
        <x:v>94254451200</x:v>
      </x:c>
      <x:c r="Z881" s="87" t="n">
        <x:f>T881*'01 Base Costs'!$B$8</x:f>
        <x:v>210763814399.99997</x:v>
      </x:c>
      <x:c r="AA881" s="87" t="n">
        <x:f>Z881*'01 Base Costs'!$B$11</x:f>
        <x:v>10538190720</x:v>
      </x:c>
      <x:c r="AB881" s="87" t="n">
        <x:f>Z881-AA881</x:f>
        <x:v>200225623679.99997</x:v>
      </x:c>
      <x:c r="AC881" s="87" t="n">
        <x:f>O881+Y881</x:f>
        <x:v>186837331200</x:v>
      </x:c>
      <x:c r="AD881" s="87" t="n">
        <x:f>AB881-AC881</x:f>
        <x:v>13388292479.99997</x:v>
      </x:c>
      <x:c r="AE881" s="87" t="n">
        <x:f>AD881/D881</x:f>
        <x:v>557845519.9999987</x:v>
      </x:c>
      <x:c r="AF881" s="87" t="n">
        <x:f>AD881/P881</x:f>
        <x:v>185948506.66666624</x:v>
      </x:c>
      <x:c r="AG881" s="87" t="n">
        <x:f>IF(T881=0,0,AC881/T881/(1-'01 Base Costs'!$B$11))</x:f>
        <x:v>702556566.3129016</x:v>
      </x:c>
      <x:c r="AH881" s="88" t="str">
        <x:f>IF(AD881&gt;0,"PROFIT","LOSS")</x:f>
        <x:v>PROFIT</x:v>
      </x:c>
      <x:c r="AI881" s="89" t="str">
        <x:v>Official 24M Omega sale example. MCT sale 40% off. Extractor 2-for-1 sale.</x:v>
      </x:c>
    </x:row>
    <x:row r="882">
      <x:c r="A882" s="86" t="n">
        <x:v>880</x:v>
      </x:c>
      <x:c r="B882" s="88" t="str">
        <x:v>Sale/Event</x:v>
      </x:c>
      <x:c r="C882" s="88" t="str">
        <x:v>Winter 24M Omega sale</x:v>
      </x:c>
      <x:c r="D882" s="88" t="n">
        <x:v>24</x:v>
      </x:c>
      <x:c r="E882" s="88" t="n">
        <x:v>3</x:v>
      </x:c>
      <x:c r="F882" s="88" t="str">
        <x:v>NES MCT 40% sale</x:v>
      </x:c>
      <x:c r="G882" s="88" t="str">
        <x:v>NES 10-pack extractor 20% sale</x:v>
      </x:c>
      <x:c r="H882" s="87" t="n">
        <x:f>'01 Base Costs'!$B$29</x:f>
        <x:v>5280</x:v>
      </x:c>
      <x:c r="I882" s="87" t="n">
        <x:f>'01 Base Costs'!$B$16*0.6</x:f>
        <x:v>291</x:v>
      </x:c>
      <x:c r="J882" s="87" t="n">
        <x:f>0</x:f>
        <x:v>0</x:v>
      </x:c>
      <x:c r="K882" s="87" t="n">
        <x:f>D882*(E882-1)*I882</x:f>
        <x:v>13968</x:v>
      </x:c>
      <x:c r="L882" s="87" t="n">
        <x:f>D882*(E882-1)*J882</x:f>
        <x:v>0</x:v>
      </x:c>
      <x:c r="M882" s="87" t="n">
        <x:f>0</x:f>
        <x:v>0</x:v>
      </x:c>
      <x:c r="N882" s="87" t="n">
        <x:f>H882+K882+M882</x:f>
        <x:v>19248</x:v>
      </x:c>
      <x:c r="O882" s="87" t="n">
        <x:f>N882*'01 Base Costs'!$B$7+L882</x:f>
        <x:v>92582880000</x:v>
      </x:c>
      <x:c r="P882" s="87" t="n">
        <x:f>D882*E882</x:f>
        <x:v>72</x:v>
      </x:c>
      <x:c r="Q882" s="87" t="n">
        <x:f>P882*'01 Base Costs'!$B$12</x:f>
        <x:v>139968000</x:v>
      </x:c>
      <x:c r="R882" s="87" t="n">
        <x:f>0</x:f>
        <x:v>0</x:v>
      </x:c>
      <x:c r="S882" s="87" t="n">
        <x:f>Q882+R882</x:f>
        <x:v>139968000</x:v>
      </x:c>
      <x:c r="T882" s="141" t="n">
        <x:f>S882/'01 Base Costs'!$B$14</x:f>
        <x:v>279.936</x:v>
      </x:c>
      <x:c r="U882" s="87" t="n">
        <x:f>INT(T882)</x:f>
        <x:v>279</x:v>
      </x:c>
      <x:c r="V882" s="87" t="n">
        <x:f>S882-U882*'01 Base Costs'!$B$14</x:f>
        <x:v>468000</x:v>
      </x:c>
      <x:c r="W882" s="120" t="n">
        <x:f>'01 Base Costs'!$B$19*0.8/10</x:f>
        <x:v>95.2</x:v>
      </x:c>
      <x:c r="X882" s="120" t="n">
        <x:f>0</x:f>
        <x:v>0</x:v>
      </x:c>
      <x:c r="Y882" s="87" t="n">
        <x:f>T882*(W882*'01 Base Costs'!$B$7+X882)</x:f>
        <x:v>128186053631.99998</x:v>
      </x:c>
      <x:c r="Z882" s="87" t="n">
        <x:f>T882*'01 Base Costs'!$B$8</x:f>
        <x:v>210763814399.99997</x:v>
      </x:c>
      <x:c r="AA882" s="87" t="n">
        <x:f>Z882*'01 Base Costs'!$B$11</x:f>
        <x:v>10538190720</x:v>
      </x:c>
      <x:c r="AB882" s="87" t="n">
        <x:f>Z882-AA882</x:f>
        <x:v>200225623679.99997</x:v>
      </x:c>
      <x:c r="AC882" s="87" t="n">
        <x:f>O882+Y882</x:f>
        <x:v>220768933632</x:v>
      </x:c>
      <x:c r="AD882" s="87" t="n">
        <x:f>AB882-AC882</x:f>
        <x:v>-20543309952.00003</x:v>
      </x:c>
      <x:c r="AE882" s="87" t="n">
        <x:f>AD882/D882</x:f>
        <x:v>-855971248.0000013</x:v>
      </x:c>
      <x:c r="AF882" s="87" t="n">
        <x:f>AD882/P882</x:f>
        <x:v>-285323749.33333373</x:v>
      </x:c>
      <x:c r="AG882" s="87" t="n">
        <x:f>IF(T882=0,0,AC882/T882/(1-'01 Base Costs'!$B$11))</x:f>
        <x:v>830148145.26027</x:v>
      </x:c>
      <x:c r="AH882" s="88" t="str">
        <x:f>IF(AD882&gt;0,"PROFIT","LOSS")</x:f>
        <x:v>LOSS</x:v>
      </x:c>
      <x:c r="AI882" s="89" t="str">
        <x:v>Official 24M Omega sale example. MCT sale 40% off. 10-pack at 20% off.</x:v>
      </x:c>
    </x:row>
    <x:row r="883">
      <x:c r="A883" s="86" t="n">
        <x:v>881</x:v>
      </x:c>
      <x:c r="B883" s="88" t="str">
        <x:v>Sale/Event</x:v>
      </x:c>
      <x:c r="C883" s="88" t="str">
        <x:v>Winter 24M Omega sale</x:v>
      </x:c>
      <x:c r="D883" s="88" t="n">
        <x:v>24</x:v>
      </x:c>
      <x:c r="E883" s="88" t="n">
        <x:v>3</x:v>
      </x:c>
      <x:c r="F883" s="88" t="str">
        <x:v>NES MCT 40% sale</x:v>
      </x:c>
      <x:c r="G883" s="88" t="str">
        <x:v>NES 50-pack extractor 20% sale</x:v>
      </x:c>
      <x:c r="H883" s="87" t="n">
        <x:f>'01 Base Costs'!$B$29</x:f>
        <x:v>5280</x:v>
      </x:c>
      <x:c r="I883" s="87" t="n">
        <x:f>'01 Base Costs'!$B$16*0.6</x:f>
        <x:v>291</x:v>
      </x:c>
      <x:c r="J883" s="87" t="n">
        <x:f>0</x:f>
        <x:v>0</x:v>
      </x:c>
      <x:c r="K883" s="87" t="n">
        <x:f>D883*(E883-1)*I883</x:f>
        <x:v>13968</x:v>
      </x:c>
      <x:c r="L883" s="87" t="n">
        <x:f>D883*(E883-1)*J883</x:f>
        <x:v>0</x:v>
      </x:c>
      <x:c r="M883" s="87" t="n">
        <x:f>0</x:f>
        <x:v>0</x:v>
      </x:c>
      <x:c r="N883" s="87" t="n">
        <x:f>H883+K883+M883</x:f>
        <x:v>19248</x:v>
      </x:c>
      <x:c r="O883" s="87" t="n">
        <x:f>N883*'01 Base Costs'!$B$7+L883</x:f>
        <x:v>92582880000</x:v>
      </x:c>
      <x:c r="P883" s="87" t="n">
        <x:f>D883*E883</x:f>
        <x:v>72</x:v>
      </x:c>
      <x:c r="Q883" s="87" t="n">
        <x:f>P883*'01 Base Costs'!$B$12</x:f>
        <x:v>139968000</x:v>
      </x:c>
      <x:c r="R883" s="87" t="n">
        <x:f>0</x:f>
        <x:v>0</x:v>
      </x:c>
      <x:c r="S883" s="87" t="n">
        <x:f>Q883+R883</x:f>
        <x:v>139968000</x:v>
      </x:c>
      <x:c r="T883" s="141" t="n">
        <x:f>S883/'01 Base Costs'!$B$14</x:f>
        <x:v>279.936</x:v>
      </x:c>
      <x:c r="U883" s="87" t="n">
        <x:f>INT(T883)</x:f>
        <x:v>279</x:v>
      </x:c>
      <x:c r="V883" s="87" t="n">
        <x:f>S883-U883*'01 Base Costs'!$B$14</x:f>
        <x:v>468000</x:v>
      </x:c>
      <x:c r="W883" s="120" t="n">
        <x:f>'01 Base Costs'!$B$20*0.8/50</x:f>
        <x:v>89.6</x:v>
      </x:c>
      <x:c r="X883" s="120" t="n">
        <x:f>0</x:f>
        <x:v>0</x:v>
      </x:c>
      <x:c r="Y883" s="87" t="n">
        <x:f>T883*(W883*'01 Base Costs'!$B$7+X883)</x:f>
        <x:v>120645697535.99998</x:v>
      </x:c>
      <x:c r="Z883" s="87" t="n">
        <x:f>T883*'01 Base Costs'!$B$8</x:f>
        <x:v>210763814399.99997</x:v>
      </x:c>
      <x:c r="AA883" s="87" t="n">
        <x:f>Z883*'01 Base Costs'!$B$11</x:f>
        <x:v>10538190720</x:v>
      </x:c>
      <x:c r="AB883" s="87" t="n">
        <x:f>Z883-AA883</x:f>
        <x:v>200225623679.99997</x:v>
      </x:c>
      <x:c r="AC883" s="87" t="n">
        <x:f>O883+Y883</x:f>
        <x:v>213228577536</x:v>
      </x:c>
      <x:c r="AD883" s="87" t="n">
        <x:f>AB883-AC883</x:f>
        <x:v>-13002953856.00003</x:v>
      </x:c>
      <x:c r="AE883" s="87" t="n">
        <x:f>AD883/D883</x:f>
        <x:v>-541789744.0000013</x:v>
      </x:c>
      <x:c r="AF883" s="87" t="n">
        <x:f>AD883/P883</x:f>
        <x:v>-180596581.33333376</x:v>
      </x:c>
      <x:c r="AG883" s="87" t="n">
        <x:f>IF(T883=0,0,AC883/T883/(1-'01 Base Costs'!$B$11))</x:f>
        <x:v>801794461.0497438</x:v>
      </x:c>
      <x:c r="AH883" s="88" t="str">
        <x:f>IF(AD883&gt;0,"PROFIT","LOSS")</x:f>
        <x:v>LOSS</x:v>
      </x:c>
      <x:c r="AI883" s="89" t="str">
        <x:v>Official 24M Omega sale example. MCT sale 40% off. 50-pack at 20% off.</x:v>
      </x:c>
    </x:row>
    <x:row r="884">
      <x:c r="A884" s="86" t="n">
        <x:v>882</x:v>
      </x:c>
      <x:c r="B884" s="88" t="str">
        <x:v>Sale/Event</x:v>
      </x:c>
      <x:c r="C884" s="88" t="str">
        <x:v>Winter 24M Omega sale</x:v>
      </x:c>
      <x:c r="D884" s="88" t="n">
        <x:v>24</x:v>
      </x:c>
      <x:c r="E884" s="88" t="n">
        <x:v>3</x:v>
      </x:c>
      <x:c r="F884" s="88" t="str">
        <x:v>NES MCT 40% sale</x:v>
      </x:c>
      <x:c r="G884" s="88" t="str">
        <x:v>Market Skill Extractor</x:v>
      </x:c>
      <x:c r="H884" s="87" t="n">
        <x:f>'01 Base Costs'!$B$29</x:f>
        <x:v>5280</x:v>
      </x:c>
      <x:c r="I884" s="87" t="n">
        <x:f>'01 Base Costs'!$B$16*0.6</x:f>
        <x:v>291</x:v>
      </x:c>
      <x:c r="J884" s="87" t="n">
        <x:f>0</x:f>
        <x:v>0</x:v>
      </x:c>
      <x:c r="K884" s="87" t="n">
        <x:f>D884*(E884-1)*I884</x:f>
        <x:v>13968</x:v>
      </x:c>
      <x:c r="L884" s="87" t="n">
        <x:f>D884*(E884-1)*J884</x:f>
        <x:v>0</x:v>
      </x:c>
      <x:c r="M884" s="87" t="n">
        <x:f>0</x:f>
        <x:v>0</x:v>
      </x:c>
      <x:c r="N884" s="87" t="n">
        <x:f>H884+K884+M884</x:f>
        <x:v>19248</x:v>
      </x:c>
      <x:c r="O884" s="87" t="n">
        <x:f>N884*'01 Base Costs'!$B$7+L884</x:f>
        <x:v>92582880000</x:v>
      </x:c>
      <x:c r="P884" s="87" t="n">
        <x:f>D884*E884</x:f>
        <x:v>72</x:v>
      </x:c>
      <x:c r="Q884" s="87" t="n">
        <x:f>P884*'01 Base Costs'!$B$12</x:f>
        <x:v>139968000</x:v>
      </x:c>
      <x:c r="R884" s="87" t="n">
        <x:f>0</x:f>
        <x:v>0</x:v>
      </x:c>
      <x:c r="S884" s="87" t="n">
        <x:f>Q884+R884</x:f>
        <x:v>139968000</x:v>
      </x:c>
      <x:c r="T884" s="141" t="n">
        <x:f>S884/'01 Base Costs'!$B$14</x:f>
        <x:v>279.936</x:v>
      </x:c>
      <x:c r="U884" s="87" t="n">
        <x:f>INT(T884)</x:f>
        <x:v>279</x:v>
      </x:c>
      <x:c r="V884" s="87" t="n">
        <x:f>S884-U884*'01 Base Costs'!$B$14</x:f>
        <x:v>468000</x:v>
      </x:c>
      <x:c r="W884" s="120" t="n">
        <x:f>0</x:f>
        <x:v>0</x:v>
      </x:c>
      <x:c r="X884" s="120" t="n">
        <x:f>'01 Base Costs'!$B$9</x:f>
        <x:v>463500000</x:v>
      </x:c>
      <x:c r="Y884" s="87" t="n">
        <x:f>T884*(W884*'01 Base Costs'!$B$7+X884)</x:f>
        <x:v>129750335999.99998</x:v>
      </x:c>
      <x:c r="Z884" s="87" t="n">
        <x:f>T884*'01 Base Costs'!$B$8</x:f>
        <x:v>210763814399.99997</x:v>
      </x:c>
      <x:c r="AA884" s="87" t="n">
        <x:f>Z884*'01 Base Costs'!$B$11</x:f>
        <x:v>10538190720</x:v>
      </x:c>
      <x:c r="AB884" s="87" t="n">
        <x:f>Z884-AA884</x:f>
        <x:v>200225623679.99997</x:v>
      </x:c>
      <x:c r="AC884" s="87" t="n">
        <x:f>O884+Y884</x:f>
        <x:v>222333216000</x:v>
      </x:c>
      <x:c r="AD884" s="87" t="n">
        <x:f>AB884-AC884</x:f>
        <x:v>-22107592320.00003</x:v>
      </x:c>
      <x:c r="AE884" s="87" t="n">
        <x:f>AD884/D884</x:f>
        <x:v>-921149680.0000013</x:v>
      </x:c>
      <x:c r="AF884" s="87" t="n">
        <x:f>AD884/P884</x:f>
        <x:v>-307049893.33333373</x:v>
      </x:c>
      <x:c r="AG884" s="87" t="n">
        <x:f>IF(T884=0,0,AC884/T884/(1-'01 Base Costs'!$B$11))</x:f>
        <x:v>836030250.523428</x:v>
      </x:c>
      <x:c r="AH884" s="88" t="str">
        <x:f>IF(AD884&gt;0,"PROFIT","LOSS")</x:f>
        <x:v>LOSS</x:v>
      </x:c>
      <x:c r="AI884" s="89" t="str">
        <x:v>Official 24M Omega sale example. MCT sale 40% off. Extractor bought on market with ISK.</x:v>
      </x:c>
    </x:row>
    <x:row r="885">
      <x:c r="A885" s="86" t="n">
        <x:v>883</x:v>
      </x:c>
      <x:c r="B885" s="88" t="str">
        <x:v>Sale/Event</x:v>
      </x:c>
      <x:c r="C885" s="88" t="str">
        <x:v>Winter 24M Omega sale</x:v>
      </x:c>
      <x:c r="D885" s="88" t="n">
        <x:v>24</x:v>
      </x:c>
      <x:c r="E885" s="88" t="n">
        <x:v>3</x:v>
      </x:c>
      <x:c r="F885" s="88" t="str">
        <x:v>Market MCT certificate</x:v>
      </x:c>
      <x:c r="G885" s="88" t="str">
        <x:v>NES single extractor</x:v>
      </x:c>
      <x:c r="H885" s="87" t="n">
        <x:f>'01 Base Costs'!$B$29</x:f>
        <x:v>5280</x:v>
      </x:c>
      <x:c r="I885" s="87" t="n">
        <x:f>0</x:f>
        <x:v>0</x:v>
      </x:c>
      <x:c r="J885" s="87" t="n">
        <x:f>'01 Base Costs'!$B$10</x:f>
        <x:v>2332850000</x:v>
      </x:c>
      <x:c r="K885" s="87" t="n">
        <x:f>D885*(E885-1)*I885</x:f>
        <x:v>0</x:v>
      </x:c>
      <x:c r="L885" s="87" t="n">
        <x:f>D885*(E885-1)*J885</x:f>
        <x:v>111976800000</x:v>
      </x:c>
      <x:c r="M885" s="87" t="n">
        <x:f>0</x:f>
        <x:v>0</x:v>
      </x:c>
      <x:c r="N885" s="87" t="n">
        <x:f>H885+K885+M885</x:f>
        <x:v>5280</x:v>
      </x:c>
      <x:c r="O885" s="87" t="n">
        <x:f>N885*'01 Base Costs'!$B$7+L885</x:f>
        <x:v>137373600000</x:v>
      </x:c>
      <x:c r="P885" s="87" t="n">
        <x:f>D885*E885</x:f>
        <x:v>72</x:v>
      </x:c>
      <x:c r="Q885" s="87" t="n">
        <x:f>P885*'01 Base Costs'!$B$12</x:f>
        <x:v>139968000</x:v>
      </x:c>
      <x:c r="R885" s="87" t="n">
        <x:f>0</x:f>
        <x:v>0</x:v>
      </x:c>
      <x:c r="S885" s="87" t="n">
        <x:f>Q885+R885</x:f>
        <x:v>139968000</x:v>
      </x:c>
      <x:c r="T885" s="141" t="n">
        <x:f>S885/'01 Base Costs'!$B$14</x:f>
        <x:v>279.936</x:v>
      </x:c>
      <x:c r="U885" s="87" t="n">
        <x:f>INT(T885)</x:f>
        <x:v>279</x:v>
      </x:c>
      <x:c r="V885" s="87" t="n">
        <x:f>S885-U885*'01 Base Costs'!$B$14</x:f>
        <x:v>468000</x:v>
      </x:c>
      <x:c r="W885" s="120" t="n">
        <x:f>'01 Base Costs'!$B$17</x:f>
        <x:v>140</x:v>
      </x:c>
      <x:c r="X885" s="120" t="n">
        <x:f>0</x:f>
        <x:v>0</x:v>
      </x:c>
      <x:c r="Y885" s="87" t="n">
        <x:f>T885*(W885*'01 Base Costs'!$B$7+X885)</x:f>
        <x:v>188508902400</x:v>
      </x:c>
      <x:c r="Z885" s="87" t="n">
        <x:f>T885*'01 Base Costs'!$B$8</x:f>
        <x:v>210763814399.99997</x:v>
      </x:c>
      <x:c r="AA885" s="87" t="n">
        <x:f>Z885*'01 Base Costs'!$B$11</x:f>
        <x:v>10538190720</x:v>
      </x:c>
      <x:c r="AB885" s="87" t="n">
        <x:f>Z885-AA885</x:f>
        <x:v>200225623679.99997</x:v>
      </x:c>
      <x:c r="AC885" s="87" t="n">
        <x:f>O885+Y885</x:f>
        <x:v>325882502400</x:v>
      </x:c>
      <x:c r="AD885" s="87" t="n">
        <x:f>AB885-AC885</x:f>
        <x:v>-125656878720.00003</x:v>
      </x:c>
      <x:c r="AE885" s="87" t="n">
        <x:f>AD885/D885</x:f>
        <x:v>-5235703280.000001</x:v>
      </x:c>
      <x:c r="AF885" s="87" t="n">
        <x:f>AD885/P885</x:f>
        <x:v>-1745234426.666667</x:v>
      </x:c>
      <x:c r="AG885" s="87" t="n">
        <x:f>IF(T885=0,0,AC885/T885/(1-'01 Base Costs'!$B$11))</x:f>
        <x:v>1225402281.4237242</x:v>
      </x:c>
      <x:c r="AH885" s="88" t="str">
        <x:f>IF(AD885&gt;0,"PROFIT","LOSS")</x:f>
        <x:v>LOSS</x:v>
      </x:c>
      <x:c r="AI885" s="89" t="str">
        <x:v>Official 24M Omega sale example. MCT certificate bought with ISK market price. Base single extractor.</x:v>
      </x:c>
    </x:row>
    <x:row r="886">
      <x:c r="A886" s="86" t="n">
        <x:v>884</x:v>
      </x:c>
      <x:c r="B886" s="88" t="str">
        <x:v>Sale/Event</x:v>
      </x:c>
      <x:c r="C886" s="88" t="str">
        <x:v>Winter 24M Omega sale</x:v>
      </x:c>
      <x:c r="D886" s="88" t="n">
        <x:v>24</x:v>
      </x:c>
      <x:c r="E886" s="88" t="n">
        <x:v>3</x:v>
      </x:c>
      <x:c r="F886" s="88" t="str">
        <x:v>Market MCT certificate</x:v>
      </x:c>
      <x:c r="G886" s="88" t="str">
        <x:v>NES 5-pack extractor</x:v>
      </x:c>
      <x:c r="H886" s="87" t="n">
        <x:f>'01 Base Costs'!$B$29</x:f>
        <x:v>5280</x:v>
      </x:c>
      <x:c r="I886" s="87" t="n">
        <x:f>0</x:f>
        <x:v>0</x:v>
      </x:c>
      <x:c r="J886" s="87" t="n">
        <x:f>'01 Base Costs'!$B$10</x:f>
        <x:v>2332850000</x:v>
      </x:c>
      <x:c r="K886" s="87" t="n">
        <x:f>D886*(E886-1)*I886</x:f>
        <x:v>0</x:v>
      </x:c>
      <x:c r="L886" s="87" t="n">
        <x:f>D886*(E886-1)*J886</x:f>
        <x:v>111976800000</x:v>
      </x:c>
      <x:c r="M886" s="87" t="n">
        <x:f>0</x:f>
        <x:v>0</x:v>
      </x:c>
      <x:c r="N886" s="87" t="n">
        <x:f>H886+K886+M886</x:f>
        <x:v>5280</x:v>
      </x:c>
      <x:c r="O886" s="87" t="n">
        <x:f>N886*'01 Base Costs'!$B$7+L886</x:f>
        <x:v>137373600000</x:v>
      </x:c>
      <x:c r="P886" s="87" t="n">
        <x:f>D886*E886</x:f>
        <x:v>72</x:v>
      </x:c>
      <x:c r="Q886" s="87" t="n">
        <x:f>P886*'01 Base Costs'!$B$12</x:f>
        <x:v>139968000</x:v>
      </x:c>
      <x:c r="R886" s="87" t="n">
        <x:f>0</x:f>
        <x:v>0</x:v>
      </x:c>
      <x:c r="S886" s="87" t="n">
        <x:f>Q886+R886</x:f>
        <x:v>139968000</x:v>
      </x:c>
      <x:c r="T886" s="141" t="n">
        <x:f>S886/'01 Base Costs'!$B$14</x:f>
        <x:v>279.936</x:v>
      </x:c>
      <x:c r="U886" s="87" t="n">
        <x:f>INT(T886)</x:f>
        <x:v>279</x:v>
      </x:c>
      <x:c r="V886" s="87" t="n">
        <x:f>S886-U886*'01 Base Costs'!$B$14</x:f>
        <x:v>468000</x:v>
      </x:c>
      <x:c r="W886" s="120" t="n">
        <x:f>'01 Base Costs'!$B$18/5</x:f>
        <x:v>126</x:v>
      </x:c>
      <x:c r="X886" s="120" t="n">
        <x:f>0</x:f>
        <x:v>0</x:v>
      </x:c>
      <x:c r="Y886" s="87" t="n">
        <x:f>T886*(W886*'01 Base Costs'!$B$7+X886)</x:f>
        <x:v>169658012160</x:v>
      </x:c>
      <x:c r="Z886" s="87" t="n">
        <x:f>T886*'01 Base Costs'!$B$8</x:f>
        <x:v>210763814399.99997</x:v>
      </x:c>
      <x:c r="AA886" s="87" t="n">
        <x:f>Z886*'01 Base Costs'!$B$11</x:f>
        <x:v>10538190720</x:v>
      </x:c>
      <x:c r="AB886" s="87" t="n">
        <x:f>Z886-AA886</x:f>
        <x:v>200225623679.99997</x:v>
      </x:c>
      <x:c r="AC886" s="87" t="n">
        <x:f>O886+Y886</x:f>
        <x:v>307031612160</x:v>
      </x:c>
      <x:c r="AD886" s="87" t="n">
        <x:f>AB886-AC886</x:f>
        <x:v>-106805988480.00003</x:v>
      </x:c>
      <x:c r="AE886" s="87" t="n">
        <x:f>AD886/D886</x:f>
        <x:v>-4450249520.000001</x:v>
      </x:c>
      <x:c r="AF886" s="87" t="n">
        <x:f>AD886/P886</x:f>
        <x:v>-1483416506.666667</x:v>
      </x:c>
      <x:c r="AG886" s="87" t="n">
        <x:f>IF(T886=0,0,AC886/T886/(1-'01 Base Costs'!$B$11))</x:f>
        <x:v>1154518070.8974082</x:v>
      </x:c>
      <x:c r="AH886" s="88" t="str">
        <x:f>IF(AD886&gt;0,"PROFIT","LOSS")</x:f>
        <x:v>LOSS</x:v>
      </x:c>
      <x:c r="AI886" s="89" t="str">
        <x:v>Official 24M Omega sale example. MCT certificate bought with ISK market price. Base 5-pack average.</x:v>
      </x:c>
    </x:row>
    <x:row r="887">
      <x:c r="A887" s="86" t="n">
        <x:v>885</x:v>
      </x:c>
      <x:c r="B887" s="88" t="str">
        <x:v>Sale/Event</x:v>
      </x:c>
      <x:c r="C887" s="88" t="str">
        <x:v>Winter 24M Omega sale</x:v>
      </x:c>
      <x:c r="D887" s="88" t="n">
        <x:v>24</x:v>
      </x:c>
      <x:c r="E887" s="88" t="n">
        <x:v>3</x:v>
      </x:c>
      <x:c r="F887" s="88" t="str">
        <x:v>Market MCT certificate</x:v>
      </x:c>
      <x:c r="G887" s="88" t="str">
        <x:v>NES 10-pack extractor</x:v>
      </x:c>
      <x:c r="H887" s="87" t="n">
        <x:f>'01 Base Costs'!$B$29</x:f>
        <x:v>5280</x:v>
      </x:c>
      <x:c r="I887" s="87" t="n">
        <x:f>0</x:f>
        <x:v>0</x:v>
      </x:c>
      <x:c r="J887" s="87" t="n">
        <x:f>'01 Base Costs'!$B$10</x:f>
        <x:v>2332850000</x:v>
      </x:c>
      <x:c r="K887" s="87" t="n">
        <x:f>D887*(E887-1)*I887</x:f>
        <x:v>0</x:v>
      </x:c>
      <x:c r="L887" s="87" t="n">
        <x:f>D887*(E887-1)*J887</x:f>
        <x:v>111976800000</x:v>
      </x:c>
      <x:c r="M887" s="87" t="n">
        <x:f>0</x:f>
        <x:v>0</x:v>
      </x:c>
      <x:c r="N887" s="87" t="n">
        <x:f>H887+K887+M887</x:f>
        <x:v>5280</x:v>
      </x:c>
      <x:c r="O887" s="87" t="n">
        <x:f>N887*'01 Base Costs'!$B$7+L887</x:f>
        <x:v>137373600000</x:v>
      </x:c>
      <x:c r="P887" s="87" t="n">
        <x:f>D887*E887</x:f>
        <x:v>72</x:v>
      </x:c>
      <x:c r="Q887" s="87" t="n">
        <x:f>P887*'01 Base Costs'!$B$12</x:f>
        <x:v>139968000</x:v>
      </x:c>
      <x:c r="R887" s="87" t="n">
        <x:f>0</x:f>
        <x:v>0</x:v>
      </x:c>
      <x:c r="S887" s="87" t="n">
        <x:f>Q887+R887</x:f>
        <x:v>139968000</x:v>
      </x:c>
      <x:c r="T887" s="141" t="n">
        <x:f>S887/'01 Base Costs'!$B$14</x:f>
        <x:v>279.936</x:v>
      </x:c>
      <x:c r="U887" s="87" t="n">
        <x:f>INT(T887)</x:f>
        <x:v>279</x:v>
      </x:c>
      <x:c r="V887" s="87" t="n">
        <x:f>S887-U887*'01 Base Costs'!$B$14</x:f>
        <x:v>468000</x:v>
      </x:c>
      <x:c r="W887" s="120" t="n">
        <x:f>'01 Base Costs'!$B$19/10</x:f>
        <x:v>119</x:v>
      </x:c>
      <x:c r="X887" s="120" t="n">
        <x:f>0</x:f>
        <x:v>0</x:v>
      </x:c>
      <x:c r="Y887" s="87" t="n">
        <x:f>T887*(W887*'01 Base Costs'!$B$7+X887)</x:f>
        <x:v>160232567040</x:v>
      </x:c>
      <x:c r="Z887" s="87" t="n">
        <x:f>T887*'01 Base Costs'!$B$8</x:f>
        <x:v>210763814399.99997</x:v>
      </x:c>
      <x:c r="AA887" s="87" t="n">
        <x:f>Z887*'01 Base Costs'!$B$11</x:f>
        <x:v>10538190720</x:v>
      </x:c>
      <x:c r="AB887" s="87" t="n">
        <x:f>Z887-AA887</x:f>
        <x:v>200225623679.99997</x:v>
      </x:c>
      <x:c r="AC887" s="87" t="n">
        <x:f>O887+Y887</x:f>
        <x:v>297606167040</x:v>
      </x:c>
      <x:c r="AD887" s="87" t="n">
        <x:f>AB887-AC887</x:f>
        <x:v>-97380543360.00003</x:v>
      </x:c>
      <x:c r="AE887" s="87" t="n">
        <x:f>AD887/D887</x:f>
        <x:v>-4057522640.0000014</x:v>
      </x:c>
      <x:c r="AF887" s="87" t="n">
        <x:f>AD887/P887</x:f>
        <x:v>-1352507546.666667</x:v>
      </x:c>
      <x:c r="AG887" s="87" t="n">
        <x:f>IF(T887=0,0,AC887/T887/(1-'01 Base Costs'!$B$11))</x:f>
        <x:v>1119075965.6342504</x:v>
      </x:c>
      <x:c r="AH887" s="88" t="str">
        <x:f>IF(AD887&gt;0,"PROFIT","LOSS")</x:f>
        <x:v>LOSS</x:v>
      </x:c>
      <x:c r="AI887" s="89" t="str">
        <x:v>Official 24M Omega sale example. MCT certificate bought with ISK market price. Base 10-pack average.</x:v>
      </x:c>
    </x:row>
    <x:row r="888">
      <x:c r="A888" s="86" t="n">
        <x:v>886</x:v>
      </x:c>
      <x:c r="B888" s="88" t="str">
        <x:v>Sale/Event</x:v>
      </x:c>
      <x:c r="C888" s="88" t="str">
        <x:v>Winter 24M Omega sale</x:v>
      </x:c>
      <x:c r="D888" s="88" t="n">
        <x:v>24</x:v>
      </x:c>
      <x:c r="E888" s="88" t="n">
        <x:v>3</x:v>
      </x:c>
      <x:c r="F888" s="88" t="str">
        <x:v>Market MCT certificate</x:v>
      </x:c>
      <x:c r="G888" s="88" t="str">
        <x:v>NES 50-pack extractor</x:v>
      </x:c>
      <x:c r="H888" s="87" t="n">
        <x:f>'01 Base Costs'!$B$29</x:f>
        <x:v>5280</x:v>
      </x:c>
      <x:c r="I888" s="87" t="n">
        <x:f>0</x:f>
        <x:v>0</x:v>
      </x:c>
      <x:c r="J888" s="87" t="n">
        <x:f>'01 Base Costs'!$B$10</x:f>
        <x:v>2332850000</x:v>
      </x:c>
      <x:c r="K888" s="87" t="n">
        <x:f>D888*(E888-1)*I888</x:f>
        <x:v>0</x:v>
      </x:c>
      <x:c r="L888" s="87" t="n">
        <x:f>D888*(E888-1)*J888</x:f>
        <x:v>111976800000</x:v>
      </x:c>
      <x:c r="M888" s="87" t="n">
        <x:f>0</x:f>
        <x:v>0</x:v>
      </x:c>
      <x:c r="N888" s="87" t="n">
        <x:f>H888+K888+M888</x:f>
        <x:v>5280</x:v>
      </x:c>
      <x:c r="O888" s="87" t="n">
        <x:f>N888*'01 Base Costs'!$B$7+L888</x:f>
        <x:v>137373600000</x:v>
      </x:c>
      <x:c r="P888" s="87" t="n">
        <x:f>D888*E888</x:f>
        <x:v>72</x:v>
      </x:c>
      <x:c r="Q888" s="87" t="n">
        <x:f>P888*'01 Base Costs'!$B$12</x:f>
        <x:v>139968000</x:v>
      </x:c>
      <x:c r="R888" s="87" t="n">
        <x:f>0</x:f>
        <x:v>0</x:v>
      </x:c>
      <x:c r="S888" s="87" t="n">
        <x:f>Q888+R888</x:f>
        <x:v>139968000</x:v>
      </x:c>
      <x:c r="T888" s="141" t="n">
        <x:f>S888/'01 Base Costs'!$B$14</x:f>
        <x:v>279.936</x:v>
      </x:c>
      <x:c r="U888" s="87" t="n">
        <x:f>INT(T888)</x:f>
        <x:v>279</x:v>
      </x:c>
      <x:c r="V888" s="87" t="n">
        <x:f>S888-U888*'01 Base Costs'!$B$14</x:f>
        <x:v>468000</x:v>
      </x:c>
      <x:c r="W888" s="120" t="n">
        <x:f>'01 Base Costs'!$B$20/50</x:f>
        <x:v>112</x:v>
      </x:c>
      <x:c r="X888" s="120" t="n">
        <x:f>0</x:f>
        <x:v>0</x:v>
      </x:c>
      <x:c r="Y888" s="87" t="n">
        <x:f>T888*(W888*'01 Base Costs'!$B$7+X888)</x:f>
        <x:v>150807121920</x:v>
      </x:c>
      <x:c r="Z888" s="87" t="n">
        <x:f>T888*'01 Base Costs'!$B$8</x:f>
        <x:v>210763814399.99997</x:v>
      </x:c>
      <x:c r="AA888" s="87" t="n">
        <x:f>Z888*'01 Base Costs'!$B$11</x:f>
        <x:v>10538190720</x:v>
      </x:c>
      <x:c r="AB888" s="87" t="n">
        <x:f>Z888-AA888</x:f>
        <x:v>200225623679.99997</x:v>
      </x:c>
      <x:c r="AC888" s="87" t="n">
        <x:f>O888+Y888</x:f>
        <x:v>288180721920</x:v>
      </x:c>
      <x:c r="AD888" s="87" t="n">
        <x:f>AB888-AC888</x:f>
        <x:v>-87955098240.00003</x:v>
      </x:c>
      <x:c r="AE888" s="87" t="n">
        <x:f>AD888/D888</x:f>
        <x:v>-3664795760.0000014</x:v>
      </x:c>
      <x:c r="AF888" s="87" t="n">
        <x:f>AD888/P888</x:f>
        <x:v>-1221598586.666667</x:v>
      </x:c>
      <x:c r="AG888" s="87" t="n">
        <x:f>IF(T888=0,0,AC888/T888/(1-'01 Base Costs'!$B$11))</x:f>
        <x:v>1083633860.3710923</x:v>
      </x:c>
      <x:c r="AH888" s="88" t="str">
        <x:f>IF(AD888&gt;0,"PROFIT","LOSS")</x:f>
        <x:v>LOSS</x:v>
      </x:c>
      <x:c r="AI888" s="89" t="str">
        <x:v>Official 24M Omega sale example. MCT certificate bought with ISK market price. Base 50-pack average.</x:v>
      </x:c>
    </x:row>
    <x:row r="889">
      <x:c r="A889" s="86" t="n">
        <x:v>887</x:v>
      </x:c>
      <x:c r="B889" s="88" t="str">
        <x:v>Sale/Event</x:v>
      </x:c>
      <x:c r="C889" s="88" t="str">
        <x:v>Winter 24M Omega sale</x:v>
      </x:c>
      <x:c r="D889" s="88" t="n">
        <x:v>24</x:v>
      </x:c>
      <x:c r="E889" s="88" t="n">
        <x:v>3</x:v>
      </x:c>
      <x:c r="F889" s="88" t="str">
        <x:v>Market MCT certificate</x:v>
      </x:c>
      <x:c r="G889" s="88" t="str">
        <x:v>NES 3-for-2 extractor sale</x:v>
      </x:c>
      <x:c r="H889" s="87" t="n">
        <x:f>'01 Base Costs'!$B$29</x:f>
        <x:v>5280</x:v>
      </x:c>
      <x:c r="I889" s="87" t="n">
        <x:f>0</x:f>
        <x:v>0</x:v>
      </x:c>
      <x:c r="J889" s="87" t="n">
        <x:f>'01 Base Costs'!$B$10</x:f>
        <x:v>2332850000</x:v>
      </x:c>
      <x:c r="K889" s="87" t="n">
        <x:f>D889*(E889-1)*I889</x:f>
        <x:v>0</x:v>
      </x:c>
      <x:c r="L889" s="87" t="n">
        <x:f>D889*(E889-1)*J889</x:f>
        <x:v>111976800000</x:v>
      </x:c>
      <x:c r="M889" s="87" t="n">
        <x:f>0</x:f>
        <x:v>0</x:v>
      </x:c>
      <x:c r="N889" s="87" t="n">
        <x:f>H889+K889+M889</x:f>
        <x:v>5280</x:v>
      </x:c>
      <x:c r="O889" s="87" t="n">
        <x:f>N889*'01 Base Costs'!$B$7+L889</x:f>
        <x:v>137373600000</x:v>
      </x:c>
      <x:c r="P889" s="87" t="n">
        <x:f>D889*E889</x:f>
        <x:v>72</x:v>
      </x:c>
      <x:c r="Q889" s="87" t="n">
        <x:f>P889*'01 Base Costs'!$B$12</x:f>
        <x:v>139968000</x:v>
      </x:c>
      <x:c r="R889" s="87" t="n">
        <x:f>0</x:f>
        <x:v>0</x:v>
      </x:c>
      <x:c r="S889" s="87" t="n">
        <x:f>Q889+R889</x:f>
        <x:v>139968000</x:v>
      </x:c>
      <x:c r="T889" s="141" t="n">
        <x:f>S889/'01 Base Costs'!$B$14</x:f>
        <x:v>279.936</x:v>
      </x:c>
      <x:c r="U889" s="87" t="n">
        <x:f>INT(T889)</x:f>
        <x:v>279</x:v>
      </x:c>
      <x:c r="V889" s="87" t="n">
        <x:f>S889-U889*'01 Base Costs'!$B$14</x:f>
        <x:v>468000</x:v>
      </x:c>
      <x:c r="W889" s="120" t="n">
        <x:f>'01 Base Costs'!$B$17*2/3</x:f>
        <x:v>93.33333333333333</x:v>
      </x:c>
      <x:c r="X889" s="120" t="n">
        <x:f>0</x:f>
        <x:v>0</x:v>
      </x:c>
      <x:c r="Y889" s="87" t="n">
        <x:f>T889*(W889*'01 Base Costs'!$B$7+X889)</x:f>
        <x:v>125672601599.99998</x:v>
      </x:c>
      <x:c r="Z889" s="87" t="n">
        <x:f>T889*'01 Base Costs'!$B$8</x:f>
        <x:v>210763814399.99997</x:v>
      </x:c>
      <x:c r="AA889" s="87" t="n">
        <x:f>Z889*'01 Base Costs'!$B$11</x:f>
        <x:v>10538190720</x:v>
      </x:c>
      <x:c r="AB889" s="87" t="n">
        <x:f>Z889-AA889</x:f>
        <x:v>200225623679.99997</x:v>
      </x:c>
      <x:c r="AC889" s="87" t="n">
        <x:f>O889+Y889</x:f>
        <x:v>263046201600</x:v>
      </x:c>
      <x:c r="AD889" s="87" t="n">
        <x:f>AB889-AC889</x:f>
        <x:v>-62820577920.00003</x:v>
      </x:c>
      <x:c r="AE889" s="87" t="n">
        <x:f>AD889/D889</x:f>
        <x:v>-2617524080.0000014</x:v>
      </x:c>
      <x:c r="AF889" s="87" t="n">
        <x:f>AD889/P889</x:f>
        <x:v>-872508026.6666671</x:v>
      </x:c>
      <x:c r="AG889" s="87" t="n">
        <x:f>IF(T889=0,0,AC889/T889/(1-'01 Base Costs'!$B$11))</x:f>
        <x:v>989121579.6693381</x:v>
      </x:c>
      <x:c r="AH889" s="88" t="str">
        <x:f>IF(AD889&gt;0,"PROFIT","LOSS")</x:f>
        <x:v>LOSS</x:v>
      </x:c>
      <x:c r="AI889" s="89" t="str">
        <x:v>Official 24M Omega sale example. MCT certificate bought with ISK market price. Extractor 3-for-2 sale.</x:v>
      </x:c>
    </x:row>
    <x:row r="890">
      <x:c r="A890" s="86" t="n">
        <x:v>888</x:v>
      </x:c>
      <x:c r="B890" s="88" t="str">
        <x:v>Sale/Event</x:v>
      </x:c>
      <x:c r="C890" s="88" t="str">
        <x:v>Winter 24M Omega sale</x:v>
      </x:c>
      <x:c r="D890" s="88" t="n">
        <x:v>24</x:v>
      </x:c>
      <x:c r="E890" s="88" t="n">
        <x:v>3</x:v>
      </x:c>
      <x:c r="F890" s="88" t="str">
        <x:v>Market MCT certificate</x:v>
      </x:c>
      <x:c r="G890" s="88" t="str">
        <x:v>NES 2-for-1 extractor sale</x:v>
      </x:c>
      <x:c r="H890" s="87" t="n">
        <x:f>'01 Base Costs'!$B$29</x:f>
        <x:v>5280</x:v>
      </x:c>
      <x:c r="I890" s="87" t="n">
        <x:f>0</x:f>
        <x:v>0</x:v>
      </x:c>
      <x:c r="J890" s="87" t="n">
        <x:f>'01 Base Costs'!$B$10</x:f>
        <x:v>2332850000</x:v>
      </x:c>
      <x:c r="K890" s="87" t="n">
        <x:f>D890*(E890-1)*I890</x:f>
        <x:v>0</x:v>
      </x:c>
      <x:c r="L890" s="87" t="n">
        <x:f>D890*(E890-1)*J890</x:f>
        <x:v>111976800000</x:v>
      </x:c>
      <x:c r="M890" s="87" t="n">
        <x:f>0</x:f>
        <x:v>0</x:v>
      </x:c>
      <x:c r="N890" s="87" t="n">
        <x:f>H890+K890+M890</x:f>
        <x:v>5280</x:v>
      </x:c>
      <x:c r="O890" s="87" t="n">
        <x:f>N890*'01 Base Costs'!$B$7+L890</x:f>
        <x:v>137373600000</x:v>
      </x:c>
      <x:c r="P890" s="87" t="n">
        <x:f>D890*E890</x:f>
        <x:v>72</x:v>
      </x:c>
      <x:c r="Q890" s="87" t="n">
        <x:f>P890*'01 Base Costs'!$B$12</x:f>
        <x:v>139968000</x:v>
      </x:c>
      <x:c r="R890" s="87" t="n">
        <x:f>0</x:f>
        <x:v>0</x:v>
      </x:c>
      <x:c r="S890" s="87" t="n">
        <x:f>Q890+R890</x:f>
        <x:v>139968000</x:v>
      </x:c>
      <x:c r="T890" s="141" t="n">
        <x:f>S890/'01 Base Costs'!$B$14</x:f>
        <x:v>279.936</x:v>
      </x:c>
      <x:c r="U890" s="87" t="n">
        <x:f>INT(T890)</x:f>
        <x:v>279</x:v>
      </x:c>
      <x:c r="V890" s="87" t="n">
        <x:f>S890-U890*'01 Base Costs'!$B$14</x:f>
        <x:v>468000</x:v>
      </x:c>
      <x:c r="W890" s="120" t="n">
        <x:f>'01 Base Costs'!$B$17/2</x:f>
        <x:v>70</x:v>
      </x:c>
      <x:c r="X890" s="120" t="n">
        <x:f>0</x:f>
        <x:v>0</x:v>
      </x:c>
      <x:c r="Y890" s="87" t="n">
        <x:f>T890*(W890*'01 Base Costs'!$B$7+X890)</x:f>
        <x:v>94254451200</x:v>
      </x:c>
      <x:c r="Z890" s="87" t="n">
        <x:f>T890*'01 Base Costs'!$B$8</x:f>
        <x:v>210763814399.99997</x:v>
      </x:c>
      <x:c r="AA890" s="87" t="n">
        <x:f>Z890*'01 Base Costs'!$B$11</x:f>
        <x:v>10538190720</x:v>
      </x:c>
      <x:c r="AB890" s="87" t="n">
        <x:f>Z890-AA890</x:f>
        <x:v>200225623679.99997</x:v>
      </x:c>
      <x:c r="AC890" s="87" t="n">
        <x:f>O890+Y890</x:f>
        <x:v>231628051200</x:v>
      </x:c>
      <x:c r="AD890" s="87" t="n">
        <x:f>AB890-AC890</x:f>
        <x:v>-31402427520.00003</x:v>
      </x:c>
      <x:c r="AE890" s="87" t="n">
        <x:f>AD890/D890</x:f>
        <x:v>-1308434480.0000012</x:v>
      </x:c>
      <x:c r="AF890" s="87" t="n">
        <x:f>AD890/P890</x:f>
        <x:v>-436144826.6666671</x:v>
      </x:c>
      <x:c r="AG890" s="87" t="n">
        <x:f>IF(T890=0,0,AC890/T890/(1-'01 Base Costs'!$B$11))</x:f>
        <x:v>870981228.792145</x:v>
      </x:c>
      <x:c r="AH890" s="88" t="str">
        <x:f>IF(AD890&gt;0,"PROFIT","LOSS")</x:f>
        <x:v>LOSS</x:v>
      </x:c>
      <x:c r="AI890" s="89" t="str">
        <x:v>Official 24M Omega sale example. MCT certificate bought with ISK market price. Extractor 2-for-1 sale.</x:v>
      </x:c>
    </x:row>
    <x:row r="891">
      <x:c r="A891" s="86" t="n">
        <x:v>889</x:v>
      </x:c>
      <x:c r="B891" s="88" t="str">
        <x:v>Sale/Event</x:v>
      </x:c>
      <x:c r="C891" s="88" t="str">
        <x:v>Winter 24M Omega sale</x:v>
      </x:c>
      <x:c r="D891" s="88" t="n">
        <x:v>24</x:v>
      </x:c>
      <x:c r="E891" s="88" t="n">
        <x:v>3</x:v>
      </x:c>
      <x:c r="F891" s="88" t="str">
        <x:v>Market MCT certificate</x:v>
      </x:c>
      <x:c r="G891" s="88" t="str">
        <x:v>NES 10-pack extractor 20% sale</x:v>
      </x:c>
      <x:c r="H891" s="87" t="n">
        <x:f>'01 Base Costs'!$B$29</x:f>
        <x:v>5280</x:v>
      </x:c>
      <x:c r="I891" s="87" t="n">
        <x:f>0</x:f>
        <x:v>0</x:v>
      </x:c>
      <x:c r="J891" s="87" t="n">
        <x:f>'01 Base Costs'!$B$10</x:f>
        <x:v>2332850000</x:v>
      </x:c>
      <x:c r="K891" s="87" t="n">
        <x:f>D891*(E891-1)*I891</x:f>
        <x:v>0</x:v>
      </x:c>
      <x:c r="L891" s="87" t="n">
        <x:f>D891*(E891-1)*J891</x:f>
        <x:v>111976800000</x:v>
      </x:c>
      <x:c r="M891" s="87" t="n">
        <x:f>0</x:f>
        <x:v>0</x:v>
      </x:c>
      <x:c r="N891" s="87" t="n">
        <x:f>H891+K891+M891</x:f>
        <x:v>5280</x:v>
      </x:c>
      <x:c r="O891" s="87" t="n">
        <x:f>N891*'01 Base Costs'!$B$7+L891</x:f>
        <x:v>137373600000</x:v>
      </x:c>
      <x:c r="P891" s="87" t="n">
        <x:f>D891*E891</x:f>
        <x:v>72</x:v>
      </x:c>
      <x:c r="Q891" s="87" t="n">
        <x:f>P891*'01 Base Costs'!$B$12</x:f>
        <x:v>139968000</x:v>
      </x:c>
      <x:c r="R891" s="87" t="n">
        <x:f>0</x:f>
        <x:v>0</x:v>
      </x:c>
      <x:c r="S891" s="87" t="n">
        <x:f>Q891+R891</x:f>
        <x:v>139968000</x:v>
      </x:c>
      <x:c r="T891" s="141" t="n">
        <x:f>S891/'01 Base Costs'!$B$14</x:f>
        <x:v>279.936</x:v>
      </x:c>
      <x:c r="U891" s="87" t="n">
        <x:f>INT(T891)</x:f>
        <x:v>279</x:v>
      </x:c>
      <x:c r="V891" s="87" t="n">
        <x:f>S891-U891*'01 Base Costs'!$B$14</x:f>
        <x:v>468000</x:v>
      </x:c>
      <x:c r="W891" s="120" t="n">
        <x:f>'01 Base Costs'!$B$19*0.8/10</x:f>
        <x:v>95.2</x:v>
      </x:c>
      <x:c r="X891" s="120" t="n">
        <x:f>0</x:f>
        <x:v>0</x:v>
      </x:c>
      <x:c r="Y891" s="87" t="n">
        <x:f>T891*(W891*'01 Base Costs'!$B$7+X891)</x:f>
        <x:v>128186053631.99998</x:v>
      </x:c>
      <x:c r="Z891" s="87" t="n">
        <x:f>T891*'01 Base Costs'!$B$8</x:f>
        <x:v>210763814399.99997</x:v>
      </x:c>
      <x:c r="AA891" s="87" t="n">
        <x:f>Z891*'01 Base Costs'!$B$11</x:f>
        <x:v>10538190720</x:v>
      </x:c>
      <x:c r="AB891" s="87" t="n">
        <x:f>Z891-AA891</x:f>
        <x:v>200225623679.99997</x:v>
      </x:c>
      <x:c r="AC891" s="87" t="n">
        <x:f>O891+Y891</x:f>
        <x:v>265559653632</x:v>
      </x:c>
      <x:c r="AD891" s="87" t="n">
        <x:f>AB891-AC891</x:f>
        <x:v>-65334029952.00003</x:v>
      </x:c>
      <x:c r="AE891" s="87" t="n">
        <x:f>AD891/D891</x:f>
        <x:v>-2722251248.0000014</x:v>
      </x:c>
      <x:c r="AF891" s="87" t="n">
        <x:f>AD891/P891</x:f>
        <x:v>-907417082.6666671</x:v>
      </x:c>
      <x:c r="AG891" s="87" t="n">
        <x:f>IF(T891=0,0,AC891/T891/(1-'01 Base Costs'!$B$11))</x:f>
        <x:v>998572807.7395135</x:v>
      </x:c>
      <x:c r="AH891" s="88" t="str">
        <x:f>IF(AD891&gt;0,"PROFIT","LOSS")</x:f>
        <x:v>LOSS</x:v>
      </x:c>
      <x:c r="AI891" s="89" t="str">
        <x:v>Official 24M Omega sale example. MCT certificate bought with ISK market price. 10-pack at 20% off.</x:v>
      </x:c>
    </x:row>
    <x:row r="892">
      <x:c r="A892" s="86" t="n">
        <x:v>890</x:v>
      </x:c>
      <x:c r="B892" s="88" t="str">
        <x:v>Sale/Event</x:v>
      </x:c>
      <x:c r="C892" s="88" t="str">
        <x:v>Winter 24M Omega sale</x:v>
      </x:c>
      <x:c r="D892" s="88" t="n">
        <x:v>24</x:v>
      </x:c>
      <x:c r="E892" s="88" t="n">
        <x:v>3</x:v>
      </x:c>
      <x:c r="F892" s="88" t="str">
        <x:v>Market MCT certificate</x:v>
      </x:c>
      <x:c r="G892" s="88" t="str">
        <x:v>NES 50-pack extractor 20% sale</x:v>
      </x:c>
      <x:c r="H892" s="87" t="n">
        <x:f>'01 Base Costs'!$B$29</x:f>
        <x:v>5280</x:v>
      </x:c>
      <x:c r="I892" s="87" t="n">
        <x:f>0</x:f>
        <x:v>0</x:v>
      </x:c>
      <x:c r="J892" s="87" t="n">
        <x:f>'01 Base Costs'!$B$10</x:f>
        <x:v>2332850000</x:v>
      </x:c>
      <x:c r="K892" s="87" t="n">
        <x:f>D892*(E892-1)*I892</x:f>
        <x:v>0</x:v>
      </x:c>
      <x:c r="L892" s="87" t="n">
        <x:f>D892*(E892-1)*J892</x:f>
        <x:v>111976800000</x:v>
      </x:c>
      <x:c r="M892" s="87" t="n">
        <x:f>0</x:f>
        <x:v>0</x:v>
      </x:c>
      <x:c r="N892" s="87" t="n">
        <x:f>H892+K892+M892</x:f>
        <x:v>5280</x:v>
      </x:c>
      <x:c r="O892" s="87" t="n">
        <x:f>N892*'01 Base Costs'!$B$7+L892</x:f>
        <x:v>137373600000</x:v>
      </x:c>
      <x:c r="P892" s="87" t="n">
        <x:f>D892*E892</x:f>
        <x:v>72</x:v>
      </x:c>
      <x:c r="Q892" s="87" t="n">
        <x:f>P892*'01 Base Costs'!$B$12</x:f>
        <x:v>139968000</x:v>
      </x:c>
      <x:c r="R892" s="87" t="n">
        <x:f>0</x:f>
        <x:v>0</x:v>
      </x:c>
      <x:c r="S892" s="87" t="n">
        <x:f>Q892+R892</x:f>
        <x:v>139968000</x:v>
      </x:c>
      <x:c r="T892" s="141" t="n">
        <x:f>S892/'01 Base Costs'!$B$14</x:f>
        <x:v>279.936</x:v>
      </x:c>
      <x:c r="U892" s="87" t="n">
        <x:f>INT(T892)</x:f>
        <x:v>279</x:v>
      </x:c>
      <x:c r="V892" s="87" t="n">
        <x:f>S892-U892*'01 Base Costs'!$B$14</x:f>
        <x:v>468000</x:v>
      </x:c>
      <x:c r="W892" s="120" t="n">
        <x:f>'01 Base Costs'!$B$20*0.8/50</x:f>
        <x:v>89.6</x:v>
      </x:c>
      <x:c r="X892" s="120" t="n">
        <x:f>0</x:f>
        <x:v>0</x:v>
      </x:c>
      <x:c r="Y892" s="87" t="n">
        <x:f>T892*(W892*'01 Base Costs'!$B$7+X892)</x:f>
        <x:v>120645697535.99998</x:v>
      </x:c>
      <x:c r="Z892" s="87" t="n">
        <x:f>T892*'01 Base Costs'!$B$8</x:f>
        <x:v>210763814399.99997</x:v>
      </x:c>
      <x:c r="AA892" s="87" t="n">
        <x:f>Z892*'01 Base Costs'!$B$11</x:f>
        <x:v>10538190720</x:v>
      </x:c>
      <x:c r="AB892" s="87" t="n">
        <x:f>Z892-AA892</x:f>
        <x:v>200225623679.99997</x:v>
      </x:c>
      <x:c r="AC892" s="87" t="n">
        <x:f>O892+Y892</x:f>
        <x:v>258019297536</x:v>
      </x:c>
      <x:c r="AD892" s="87" t="n">
        <x:f>AB892-AC892</x:f>
        <x:v>-57793673856.00003</x:v>
      </x:c>
      <x:c r="AE892" s="87" t="n">
        <x:f>AD892/D892</x:f>
        <x:v>-2408069744.0000014</x:v>
      </x:c>
      <x:c r="AF892" s="87" t="n">
        <x:f>AD892/P892</x:f>
        <x:v>-802689914.6666671</x:v>
      </x:c>
      <x:c r="AG892" s="87" t="n">
        <x:f>IF(T892=0,0,AC892/T892/(1-'01 Base Costs'!$B$11))</x:f>
        <x:v>970219123.5289872</x:v>
      </x:c>
      <x:c r="AH892" s="88" t="str">
        <x:f>IF(AD892&gt;0,"PROFIT","LOSS")</x:f>
        <x:v>LOSS</x:v>
      </x:c>
      <x:c r="AI892" s="89" t="str">
        <x:v>Official 24M Omega sale example. MCT certificate bought with ISK market price. 50-pack at 20% off.</x:v>
      </x:c>
    </x:row>
    <x:row r="893">
      <x:c r="A893" s="86" t="n">
        <x:v>891</x:v>
      </x:c>
      <x:c r="B893" s="88" t="str">
        <x:v>Sale/Event</x:v>
      </x:c>
      <x:c r="C893" s="88" t="str">
        <x:v>Winter 24M Omega sale</x:v>
      </x:c>
      <x:c r="D893" s="88" t="n">
        <x:v>24</x:v>
      </x:c>
      <x:c r="E893" s="88" t="n">
        <x:v>3</x:v>
      </x:c>
      <x:c r="F893" s="88" t="str">
        <x:v>Market MCT certificate</x:v>
      </x:c>
      <x:c r="G893" s="88" t="str">
        <x:v>Market Skill Extractor</x:v>
      </x:c>
      <x:c r="H893" s="87" t="n">
        <x:f>'01 Base Costs'!$B$29</x:f>
        <x:v>5280</x:v>
      </x:c>
      <x:c r="I893" s="87" t="n">
        <x:f>0</x:f>
        <x:v>0</x:v>
      </x:c>
      <x:c r="J893" s="87" t="n">
        <x:f>'01 Base Costs'!$B$10</x:f>
        <x:v>2332850000</x:v>
      </x:c>
      <x:c r="K893" s="87" t="n">
        <x:f>D893*(E893-1)*I893</x:f>
        <x:v>0</x:v>
      </x:c>
      <x:c r="L893" s="87" t="n">
        <x:f>D893*(E893-1)*J893</x:f>
        <x:v>111976800000</x:v>
      </x:c>
      <x:c r="M893" s="87" t="n">
        <x:f>0</x:f>
        <x:v>0</x:v>
      </x:c>
      <x:c r="N893" s="87" t="n">
        <x:f>H893+K893+M893</x:f>
        <x:v>5280</x:v>
      </x:c>
      <x:c r="O893" s="87" t="n">
        <x:f>N893*'01 Base Costs'!$B$7+L893</x:f>
        <x:v>137373600000</x:v>
      </x:c>
      <x:c r="P893" s="87" t="n">
        <x:f>D893*E893</x:f>
        <x:v>72</x:v>
      </x:c>
      <x:c r="Q893" s="87" t="n">
        <x:f>P893*'01 Base Costs'!$B$12</x:f>
        <x:v>139968000</x:v>
      </x:c>
      <x:c r="R893" s="87" t="n">
        <x:f>0</x:f>
        <x:v>0</x:v>
      </x:c>
      <x:c r="S893" s="87" t="n">
        <x:f>Q893+R893</x:f>
        <x:v>139968000</x:v>
      </x:c>
      <x:c r="T893" s="141" t="n">
        <x:f>S893/'01 Base Costs'!$B$14</x:f>
        <x:v>279.936</x:v>
      </x:c>
      <x:c r="U893" s="87" t="n">
        <x:f>INT(T893)</x:f>
        <x:v>279</x:v>
      </x:c>
      <x:c r="V893" s="87" t="n">
        <x:f>S893-U893*'01 Base Costs'!$B$14</x:f>
        <x:v>468000</x:v>
      </x:c>
      <x:c r="W893" s="120" t="n">
        <x:f>0</x:f>
        <x:v>0</x:v>
      </x:c>
      <x:c r="X893" s="120" t="n">
        <x:f>'01 Base Costs'!$B$9</x:f>
        <x:v>463500000</x:v>
      </x:c>
      <x:c r="Y893" s="87" t="n">
        <x:f>T893*(W893*'01 Base Costs'!$B$7+X893)</x:f>
        <x:v>129750335999.99998</x:v>
      </x:c>
      <x:c r="Z893" s="87" t="n">
        <x:f>T893*'01 Base Costs'!$B$8</x:f>
        <x:v>210763814399.99997</x:v>
      </x:c>
      <x:c r="AA893" s="87" t="n">
        <x:f>Z893*'01 Base Costs'!$B$11</x:f>
        <x:v>10538190720</x:v>
      </x:c>
      <x:c r="AB893" s="87" t="n">
        <x:f>Z893-AA893</x:f>
        <x:v>200225623679.99997</x:v>
      </x:c>
      <x:c r="AC893" s="87" t="n">
        <x:f>O893+Y893</x:f>
        <x:v>267123936000</x:v>
      </x:c>
      <x:c r="AD893" s="87" t="n">
        <x:f>AB893-AC893</x:f>
        <x:v>-66898312320.00003</x:v>
      </x:c>
      <x:c r="AE893" s="87" t="n">
        <x:f>AD893/D893</x:f>
        <x:v>-2787429680.0000014</x:v>
      </x:c>
      <x:c r="AF893" s="87" t="n">
        <x:f>AD893/P893</x:f>
        <x:v>-929143226.6666671</x:v>
      </x:c>
      <x:c r="AG893" s="87" t="n">
        <x:f>IF(T893=0,0,AC893/T893/(1-'01 Base Costs'!$B$11))</x:f>
        <x:v>1004454913.0026714</x:v>
      </x:c>
      <x:c r="AH893" s="88" t="str">
        <x:f>IF(AD893&gt;0,"PROFIT","LOSS")</x:f>
        <x:v>LOSS</x:v>
      </x:c>
      <x:c r="AI893" s="89" t="str">
        <x:v>Official 24M Omega sale example. MCT certificate bought with ISK market price. Extractor bought on market with ISK.</x:v>
      </x:c>
    </x:row>
    <x:row r="894">
      <x:c r="A894" s="86" t="n">
        <x:v>892</x:v>
      </x:c>
      <x:c r="B894" s="88" t="str">
        <x:v>Omega+MCT 50% Bundle</x:v>
      </x:c>
      <x:c r="C894" s="88" t="str">
        <x:v>1M Omega + 2M MCT 50% bundle</x:v>
      </x:c>
      <x:c r="D894" s="88" t="n">
        <x:v>1</x:v>
      </x:c>
      <x:c r="E894" s="88" t="n">
        <x:v>3</x:v>
      </x:c>
      <x:c r="F894" s="88" t="str">
        <x:v>Included in Omega+MCT bundle</x:v>
      </x:c>
      <x:c r="G894" s="88" t="str">
        <x:v>NES single extractor</x:v>
      </x:c>
      <x:c r="H894" s="87" t="n">
        <x:f>0</x:f>
        <x:v>0</x:v>
      </x:c>
      <x:c r="I894" s="87" t="n">
        <x:f>0</x:f>
        <x:v>0</x:v>
      </x:c>
      <x:c r="J894" s="87" t="n">
        <x:f>0</x:f>
        <x:v>0</x:v>
      </x:c>
      <x:c r="K894" s="87" t="n">
        <x:f>D894*(E894-1)*I894</x:f>
        <x:v>0</x:v>
      </x:c>
      <x:c r="L894" s="87" t="n">
        <x:f>D894*(E894-1)*J894</x:f>
        <x:v>0</x:v>
      </x:c>
      <x:c r="M894" s="87" t="n">
        <x:f>('01 Base Costs'!$B$21+2*'01 Base Costs'!$B$16)*0.5</x:f>
        <x:v>735</x:v>
      </x:c>
      <x:c r="N894" s="87" t="n">
        <x:f>H894+K894+M894</x:f>
        <x:v>735</x:v>
      </x:c>
      <x:c r="O894" s="87" t="n">
        <x:f>N894*'01 Base Costs'!$B$7+L894</x:f>
        <x:v>3535350000</x:v>
      </x:c>
      <x:c r="P894" s="87" t="n">
        <x:f>D894*E894</x:f>
        <x:v>3</x:v>
      </x:c>
      <x:c r="Q894" s="87" t="n">
        <x:f>P894*'01 Base Costs'!$B$12</x:f>
        <x:v>5832000</x:v>
      </x:c>
      <x:c r="R894" s="87" t="n">
        <x:f>0</x:f>
        <x:v>0</x:v>
      </x:c>
      <x:c r="S894" s="87" t="n">
        <x:f>Q894+R894</x:f>
        <x:v>5832000</x:v>
      </x:c>
      <x:c r="T894" s="141" t="n">
        <x:f>S894/'01 Base Costs'!$B$14</x:f>
        <x:v>11.664</x:v>
      </x:c>
      <x:c r="U894" s="87" t="n">
        <x:f>INT(T894)</x:f>
        <x:v>11</x:v>
      </x:c>
      <x:c r="V894" s="87" t="n">
        <x:f>S894-U894*'01 Base Costs'!$B$14</x:f>
        <x:v>332000</x:v>
      </x:c>
      <x:c r="W894" s="120" t="n">
        <x:f>'01 Base Costs'!$B$17</x:f>
        <x:v>140</x:v>
      </x:c>
      <x:c r="X894" s="120" t="n">
        <x:f>0</x:f>
        <x:v>0</x:v>
      </x:c>
      <x:c r="Y894" s="87" t="n">
        <x:f>T894*(W894*'01 Base Costs'!$B$7+X894)</x:f>
        <x:v>7854537600</x:v>
      </x:c>
      <x:c r="Z894" s="87" t="n">
        <x:f>T894*'01 Base Costs'!$B$8</x:f>
        <x:v>8781825600</x:v>
      </x:c>
      <x:c r="AA894" s="87" t="n">
        <x:f>Z894*'01 Base Costs'!$B$11</x:f>
        <x:v>439091280</x:v>
      </x:c>
      <x:c r="AB894" s="87" t="n">
        <x:f>Z894-AA894</x:f>
        <x:v>8342734320</x:v>
      </x:c>
      <x:c r="AC894" s="87" t="n">
        <x:f>O894+Y894</x:f>
        <x:v>11389887600</x:v>
      </x:c>
      <x:c r="AD894" s="87" t="n">
        <x:f>AB894-AC894</x:f>
        <x:v>-3047153280</x:v>
      </x:c>
      <x:c r="AE894" s="87" t="n">
        <x:f>AD894/D894</x:f>
        <x:v>-3047153280</x:v>
      </x:c>
      <x:c r="AF894" s="87" t="n">
        <x:f>AD894/P894</x:f>
        <x:v>-1015717760</x:v>
      </x:c>
      <x:c r="AG894" s="87" t="n">
        <x:f>IF(T894=0,0,AC894/T894/(1-'01 Base Costs'!$B$11))</x:f>
        <x:v>1027893978.7740958</x:v>
      </x:c>
      <x:c r="AH894" s="88" t="str">
        <x:f>IF(AD894&gt;0,"PROFIT","LOSS")</x:f>
        <x:v>LOSS</x:v>
      </x:c>
      <x:c r="AI894" s="89" t="str">
        <x:v>Bundle includes Omega + two MCT-months; bonus SP not assumed. Base single extractor.</x:v>
      </x:c>
    </x:row>
    <x:row r="895">
      <x:c r="A895" s="86" t="n">
        <x:v>893</x:v>
      </x:c>
      <x:c r="B895" s="88" t="str">
        <x:v>Omega+MCT 50% Bundle</x:v>
      </x:c>
      <x:c r="C895" s="88" t="str">
        <x:v>1M Omega + 2M MCT 50% bundle</x:v>
      </x:c>
      <x:c r="D895" s="88" t="n">
        <x:v>1</x:v>
      </x:c>
      <x:c r="E895" s="88" t="n">
        <x:v>3</x:v>
      </x:c>
      <x:c r="F895" s="88" t="str">
        <x:v>Included in Omega+MCT bundle</x:v>
      </x:c>
      <x:c r="G895" s="88" t="str">
        <x:v>NES 5-pack extractor</x:v>
      </x:c>
      <x:c r="H895" s="87" t="n">
        <x:f>0</x:f>
        <x:v>0</x:v>
      </x:c>
      <x:c r="I895" s="87" t="n">
        <x:f>0</x:f>
        <x:v>0</x:v>
      </x:c>
      <x:c r="J895" s="87" t="n">
        <x:f>0</x:f>
        <x:v>0</x:v>
      </x:c>
      <x:c r="K895" s="87" t="n">
        <x:f>D895*(E895-1)*I895</x:f>
        <x:v>0</x:v>
      </x:c>
      <x:c r="L895" s="87" t="n">
        <x:f>D895*(E895-1)*J895</x:f>
        <x:v>0</x:v>
      </x:c>
      <x:c r="M895" s="87" t="n">
        <x:f>('01 Base Costs'!$B$21+2*'01 Base Costs'!$B$16)*0.5</x:f>
        <x:v>735</x:v>
      </x:c>
      <x:c r="N895" s="87" t="n">
        <x:f>H895+K895+M895</x:f>
        <x:v>735</x:v>
      </x:c>
      <x:c r="O895" s="87" t="n">
        <x:f>N895*'01 Base Costs'!$B$7+L895</x:f>
        <x:v>3535350000</x:v>
      </x:c>
      <x:c r="P895" s="87" t="n">
        <x:f>D895*E895</x:f>
        <x:v>3</x:v>
      </x:c>
      <x:c r="Q895" s="87" t="n">
        <x:f>P895*'01 Base Costs'!$B$12</x:f>
        <x:v>5832000</x:v>
      </x:c>
      <x:c r="R895" s="87" t="n">
        <x:f>0</x:f>
        <x:v>0</x:v>
      </x:c>
      <x:c r="S895" s="87" t="n">
        <x:f>Q895+R895</x:f>
        <x:v>5832000</x:v>
      </x:c>
      <x:c r="T895" s="141" t="n">
        <x:f>S895/'01 Base Costs'!$B$14</x:f>
        <x:v>11.664</x:v>
      </x:c>
      <x:c r="U895" s="87" t="n">
        <x:f>INT(T895)</x:f>
        <x:v>11</x:v>
      </x:c>
      <x:c r="V895" s="87" t="n">
        <x:f>S895-U895*'01 Base Costs'!$B$14</x:f>
        <x:v>332000</x:v>
      </x:c>
      <x:c r="W895" s="120" t="n">
        <x:f>'01 Base Costs'!$B$18/5</x:f>
        <x:v>126</x:v>
      </x:c>
      <x:c r="X895" s="120" t="n">
        <x:f>0</x:f>
        <x:v>0</x:v>
      </x:c>
      <x:c r="Y895" s="87" t="n">
        <x:f>T895*(W895*'01 Base Costs'!$B$7+X895)</x:f>
        <x:v>7069083840</x:v>
      </x:c>
      <x:c r="Z895" s="87" t="n">
        <x:f>T895*'01 Base Costs'!$B$8</x:f>
        <x:v>8781825600</x:v>
      </x:c>
      <x:c r="AA895" s="87" t="n">
        <x:f>Z895*'01 Base Costs'!$B$11</x:f>
        <x:v>439091280</x:v>
      </x:c>
      <x:c r="AB895" s="87" t="n">
        <x:f>Z895-AA895</x:f>
        <x:v>8342734320</x:v>
      </x:c>
      <x:c r="AC895" s="87" t="n">
        <x:f>O895+Y895</x:f>
        <x:v>10604433840</x:v>
      </x:c>
      <x:c r="AD895" s="87" t="n">
        <x:f>AB895-AC895</x:f>
        <x:v>-2261699520</x:v>
      </x:c>
      <x:c r="AE895" s="87" t="n">
        <x:f>AD895/D895</x:f>
        <x:v>-2261699520</x:v>
      </x:c>
      <x:c r="AF895" s="87" t="n">
        <x:f>AD895/P895</x:f>
        <x:v>-753899840</x:v>
      </x:c>
      <x:c r="AG895" s="87" t="n">
        <x:f>IF(T895=0,0,AC895/T895/(1-'01 Base Costs'!$B$11))</x:f>
        <x:v>957009768.24778</x:v>
      </x:c>
      <x:c r="AH895" s="88" t="str">
        <x:f>IF(AD895&gt;0,"PROFIT","LOSS")</x:f>
        <x:v>LOSS</x:v>
      </x:c>
      <x:c r="AI895" s="89" t="str">
        <x:v>Bundle includes Omega + two MCT-months; bonus SP not assumed. Base 5-pack average.</x:v>
      </x:c>
    </x:row>
    <x:row r="896">
      <x:c r="A896" s="86" t="n">
        <x:v>894</x:v>
      </x:c>
      <x:c r="B896" s="88" t="str">
        <x:v>Omega+MCT 50% Bundle</x:v>
      </x:c>
      <x:c r="C896" s="88" t="str">
        <x:v>1M Omega + 2M MCT 50% bundle</x:v>
      </x:c>
      <x:c r="D896" s="88" t="n">
        <x:v>1</x:v>
      </x:c>
      <x:c r="E896" s="88" t="n">
        <x:v>3</x:v>
      </x:c>
      <x:c r="F896" s="88" t="str">
        <x:v>Included in Omega+MCT bundle</x:v>
      </x:c>
      <x:c r="G896" s="88" t="str">
        <x:v>NES 10-pack extractor</x:v>
      </x:c>
      <x:c r="H896" s="87" t="n">
        <x:f>0</x:f>
        <x:v>0</x:v>
      </x:c>
      <x:c r="I896" s="87" t="n">
        <x:f>0</x:f>
        <x:v>0</x:v>
      </x:c>
      <x:c r="J896" s="87" t="n">
        <x:f>0</x:f>
        <x:v>0</x:v>
      </x:c>
      <x:c r="K896" s="87" t="n">
        <x:f>D896*(E896-1)*I896</x:f>
        <x:v>0</x:v>
      </x:c>
      <x:c r="L896" s="87" t="n">
        <x:f>D896*(E896-1)*J896</x:f>
        <x:v>0</x:v>
      </x:c>
      <x:c r="M896" s="87" t="n">
        <x:f>('01 Base Costs'!$B$21+2*'01 Base Costs'!$B$16)*0.5</x:f>
        <x:v>735</x:v>
      </x:c>
      <x:c r="N896" s="87" t="n">
        <x:f>H896+K896+M896</x:f>
        <x:v>735</x:v>
      </x:c>
      <x:c r="O896" s="87" t="n">
        <x:f>N896*'01 Base Costs'!$B$7+L896</x:f>
        <x:v>3535350000</x:v>
      </x:c>
      <x:c r="P896" s="87" t="n">
        <x:f>D896*E896</x:f>
        <x:v>3</x:v>
      </x:c>
      <x:c r="Q896" s="87" t="n">
        <x:f>P896*'01 Base Costs'!$B$12</x:f>
        <x:v>5832000</x:v>
      </x:c>
      <x:c r="R896" s="87" t="n">
        <x:f>0</x:f>
        <x:v>0</x:v>
      </x:c>
      <x:c r="S896" s="87" t="n">
        <x:f>Q896+R896</x:f>
        <x:v>5832000</x:v>
      </x:c>
      <x:c r="T896" s="141" t="n">
        <x:f>S896/'01 Base Costs'!$B$14</x:f>
        <x:v>11.664</x:v>
      </x:c>
      <x:c r="U896" s="87" t="n">
        <x:f>INT(T896)</x:f>
        <x:v>11</x:v>
      </x:c>
      <x:c r="V896" s="87" t="n">
        <x:f>S896-U896*'01 Base Costs'!$B$14</x:f>
        <x:v>332000</x:v>
      </x:c>
      <x:c r="W896" s="120" t="n">
        <x:f>'01 Base Costs'!$B$19/10</x:f>
        <x:v>119</x:v>
      </x:c>
      <x:c r="X896" s="120" t="n">
        <x:f>0</x:f>
        <x:v>0</x:v>
      </x:c>
      <x:c r="Y896" s="87" t="n">
        <x:f>T896*(W896*'01 Base Costs'!$B$7+X896)</x:f>
        <x:v>6676356960</x:v>
      </x:c>
      <x:c r="Z896" s="87" t="n">
        <x:f>T896*'01 Base Costs'!$B$8</x:f>
        <x:v>8781825600</x:v>
      </x:c>
      <x:c r="AA896" s="87" t="n">
        <x:f>Z896*'01 Base Costs'!$B$11</x:f>
        <x:v>439091280</x:v>
      </x:c>
      <x:c r="AB896" s="87" t="n">
        <x:f>Z896-AA896</x:f>
        <x:v>8342734320</x:v>
      </x:c>
      <x:c r="AC896" s="87" t="n">
        <x:f>O896+Y896</x:f>
        <x:v>10211706960</x:v>
      </x:c>
      <x:c r="AD896" s="87" t="n">
        <x:f>AB896-AC896</x:f>
        <x:v>-1868972640</x:v>
      </x:c>
      <x:c r="AE896" s="87" t="n">
        <x:f>AD896/D896</x:f>
        <x:v>-1868972640</x:v>
      </x:c>
      <x:c r="AF896" s="87" t="n">
        <x:f>AD896/P896</x:f>
        <x:v>-622990880</x:v>
      </x:c>
      <x:c r="AG896" s="87" t="n">
        <x:f>IF(T896=0,0,AC896/T896/(1-'01 Base Costs'!$B$11))</x:f>
        <x:v>921567662.9846221</x:v>
      </x:c>
      <x:c r="AH896" s="88" t="str">
        <x:f>IF(AD896&gt;0,"PROFIT","LOSS")</x:f>
        <x:v>LOSS</x:v>
      </x:c>
      <x:c r="AI896" s="89" t="str">
        <x:v>Bundle includes Omega + two MCT-months; bonus SP not assumed. Base 10-pack average.</x:v>
      </x:c>
    </x:row>
    <x:row r="897">
      <x:c r="A897" s="86" t="n">
        <x:v>895</x:v>
      </x:c>
      <x:c r="B897" s="88" t="str">
        <x:v>Omega+MCT 50% Bundle</x:v>
      </x:c>
      <x:c r="C897" s="88" t="str">
        <x:v>1M Omega + 2M MCT 50% bundle</x:v>
      </x:c>
      <x:c r="D897" s="88" t="n">
        <x:v>1</x:v>
      </x:c>
      <x:c r="E897" s="88" t="n">
        <x:v>3</x:v>
      </x:c>
      <x:c r="F897" s="88" t="str">
        <x:v>Included in Omega+MCT bundle</x:v>
      </x:c>
      <x:c r="G897" s="88" t="str">
        <x:v>NES 50-pack extractor</x:v>
      </x:c>
      <x:c r="H897" s="87" t="n">
        <x:f>0</x:f>
        <x:v>0</x:v>
      </x:c>
      <x:c r="I897" s="87" t="n">
        <x:f>0</x:f>
        <x:v>0</x:v>
      </x:c>
      <x:c r="J897" s="87" t="n">
        <x:f>0</x:f>
        <x:v>0</x:v>
      </x:c>
      <x:c r="K897" s="87" t="n">
        <x:f>D897*(E897-1)*I897</x:f>
        <x:v>0</x:v>
      </x:c>
      <x:c r="L897" s="87" t="n">
        <x:f>D897*(E897-1)*J897</x:f>
        <x:v>0</x:v>
      </x:c>
      <x:c r="M897" s="87" t="n">
        <x:f>('01 Base Costs'!$B$21+2*'01 Base Costs'!$B$16)*0.5</x:f>
        <x:v>735</x:v>
      </x:c>
      <x:c r="N897" s="87" t="n">
        <x:f>H897+K897+M897</x:f>
        <x:v>735</x:v>
      </x:c>
      <x:c r="O897" s="87" t="n">
        <x:f>N897*'01 Base Costs'!$B$7+L897</x:f>
        <x:v>3535350000</x:v>
      </x:c>
      <x:c r="P897" s="87" t="n">
        <x:f>D897*E897</x:f>
        <x:v>3</x:v>
      </x:c>
      <x:c r="Q897" s="87" t="n">
        <x:f>P897*'01 Base Costs'!$B$12</x:f>
        <x:v>5832000</x:v>
      </x:c>
      <x:c r="R897" s="87" t="n">
        <x:f>0</x:f>
        <x:v>0</x:v>
      </x:c>
      <x:c r="S897" s="87" t="n">
        <x:f>Q897+R897</x:f>
        <x:v>5832000</x:v>
      </x:c>
      <x:c r="T897" s="141" t="n">
        <x:f>S897/'01 Base Costs'!$B$14</x:f>
        <x:v>11.664</x:v>
      </x:c>
      <x:c r="U897" s="87" t="n">
        <x:f>INT(T897)</x:f>
        <x:v>11</x:v>
      </x:c>
      <x:c r="V897" s="87" t="n">
        <x:f>S897-U897*'01 Base Costs'!$B$14</x:f>
        <x:v>332000</x:v>
      </x:c>
      <x:c r="W897" s="120" t="n">
        <x:f>'01 Base Costs'!$B$20/50</x:f>
        <x:v>112</x:v>
      </x:c>
      <x:c r="X897" s="120" t="n">
        <x:f>0</x:f>
        <x:v>0</x:v>
      </x:c>
      <x:c r="Y897" s="87" t="n">
        <x:f>T897*(W897*'01 Base Costs'!$B$7+X897)</x:f>
        <x:v>6283630080</x:v>
      </x:c>
      <x:c r="Z897" s="87" t="n">
        <x:f>T897*'01 Base Costs'!$B$8</x:f>
        <x:v>8781825600</x:v>
      </x:c>
      <x:c r="AA897" s="87" t="n">
        <x:f>Z897*'01 Base Costs'!$B$11</x:f>
        <x:v>439091280</x:v>
      </x:c>
      <x:c r="AB897" s="87" t="n">
        <x:f>Z897-AA897</x:f>
        <x:v>8342734320</x:v>
      </x:c>
      <x:c r="AC897" s="87" t="n">
        <x:f>O897+Y897</x:f>
        <x:v>9818980080</x:v>
      </x:c>
      <x:c r="AD897" s="87" t="n">
        <x:f>AB897-AC897</x:f>
        <x:v>-1476245760</x:v>
      </x:c>
      <x:c r="AE897" s="87" t="n">
        <x:f>AD897/D897</x:f>
        <x:v>-1476245760</x:v>
      </x:c>
      <x:c r="AF897" s="87" t="n">
        <x:f>AD897/P897</x:f>
        <x:v>-492081920</x:v>
      </x:c>
      <x:c r="AG897" s="87" t="n">
        <x:f>IF(T897=0,0,AC897/T897/(1-'01 Base Costs'!$B$11))</x:f>
        <x:v>886125557.7214642</x:v>
      </x:c>
      <x:c r="AH897" s="88" t="str">
        <x:f>IF(AD897&gt;0,"PROFIT","LOSS")</x:f>
        <x:v>LOSS</x:v>
      </x:c>
      <x:c r="AI897" s="89" t="str">
        <x:v>Bundle includes Omega + two MCT-months; bonus SP not assumed. Base 50-pack average.</x:v>
      </x:c>
    </x:row>
    <x:row r="898">
      <x:c r="A898" s="86" t="n">
        <x:v>896</x:v>
      </x:c>
      <x:c r="B898" s="88" t="str">
        <x:v>Omega+MCT 50% Bundle</x:v>
      </x:c>
      <x:c r="C898" s="88" t="str">
        <x:v>1M Omega + 2M MCT 50% bundle</x:v>
      </x:c>
      <x:c r="D898" s="88" t="n">
        <x:v>1</x:v>
      </x:c>
      <x:c r="E898" s="88" t="n">
        <x:v>3</x:v>
      </x:c>
      <x:c r="F898" s="88" t="str">
        <x:v>Included in Omega+MCT bundle</x:v>
      </x:c>
      <x:c r="G898" s="88" t="str">
        <x:v>NES 3-for-2 extractor sale</x:v>
      </x:c>
      <x:c r="H898" s="87" t="n">
        <x:f>0</x:f>
        <x:v>0</x:v>
      </x:c>
      <x:c r="I898" s="87" t="n">
        <x:f>0</x:f>
        <x:v>0</x:v>
      </x:c>
      <x:c r="J898" s="87" t="n">
        <x:f>0</x:f>
        <x:v>0</x:v>
      </x:c>
      <x:c r="K898" s="87" t="n">
        <x:f>D898*(E898-1)*I898</x:f>
        <x:v>0</x:v>
      </x:c>
      <x:c r="L898" s="87" t="n">
        <x:f>D898*(E898-1)*J898</x:f>
        <x:v>0</x:v>
      </x:c>
      <x:c r="M898" s="87" t="n">
        <x:f>('01 Base Costs'!$B$21+2*'01 Base Costs'!$B$16)*0.5</x:f>
        <x:v>735</x:v>
      </x:c>
      <x:c r="N898" s="87" t="n">
        <x:f>H898+K898+M898</x:f>
        <x:v>735</x:v>
      </x:c>
      <x:c r="O898" s="87" t="n">
        <x:f>N898*'01 Base Costs'!$B$7+L898</x:f>
        <x:v>3535350000</x:v>
      </x:c>
      <x:c r="P898" s="87" t="n">
        <x:f>D898*E898</x:f>
        <x:v>3</x:v>
      </x:c>
      <x:c r="Q898" s="87" t="n">
        <x:f>P898*'01 Base Costs'!$B$12</x:f>
        <x:v>5832000</x:v>
      </x:c>
      <x:c r="R898" s="87" t="n">
        <x:f>0</x:f>
        <x:v>0</x:v>
      </x:c>
      <x:c r="S898" s="87" t="n">
        <x:f>Q898+R898</x:f>
        <x:v>5832000</x:v>
      </x:c>
      <x:c r="T898" s="141" t="n">
        <x:f>S898/'01 Base Costs'!$B$14</x:f>
        <x:v>11.664</x:v>
      </x:c>
      <x:c r="U898" s="87" t="n">
        <x:f>INT(T898)</x:f>
        <x:v>11</x:v>
      </x:c>
      <x:c r="V898" s="87" t="n">
        <x:f>S898-U898*'01 Base Costs'!$B$14</x:f>
        <x:v>332000</x:v>
      </x:c>
      <x:c r="W898" s="120" t="n">
        <x:f>'01 Base Costs'!$B$17*2/3</x:f>
        <x:v>93.33333333333333</x:v>
      </x:c>
      <x:c r="X898" s="120" t="n">
        <x:f>0</x:f>
        <x:v>0</x:v>
      </x:c>
      <x:c r="Y898" s="87" t="n">
        <x:f>T898*(W898*'01 Base Costs'!$B$7+X898)</x:f>
        <x:v>5236358400</x:v>
      </x:c>
      <x:c r="Z898" s="87" t="n">
        <x:f>T898*'01 Base Costs'!$B$8</x:f>
        <x:v>8781825600</x:v>
      </x:c>
      <x:c r="AA898" s="87" t="n">
        <x:f>Z898*'01 Base Costs'!$B$11</x:f>
        <x:v>439091280</x:v>
      </x:c>
      <x:c r="AB898" s="87" t="n">
        <x:f>Z898-AA898</x:f>
        <x:v>8342734320</x:v>
      </x:c>
      <x:c r="AC898" s="87" t="n">
        <x:f>O898+Y898</x:f>
        <x:v>8771708400</x:v>
      </x:c>
      <x:c r="AD898" s="87" t="n">
        <x:f>AB898-AC898</x:f>
        <x:v>-428974080</x:v>
      </x:c>
      <x:c r="AE898" s="87" t="n">
        <x:f>AD898/D898</x:f>
        <x:v>-428974080</x:v>
      </x:c>
      <x:c r="AF898" s="87" t="n">
        <x:f>AD898/P898</x:f>
        <x:v>-142991360</x:v>
      </x:c>
      <x:c r="AG898" s="87" t="n">
        <x:f>IF(T898=0,0,AC898/T898/(1-'01 Base Costs'!$B$11))</x:f>
        <x:v>791613277.0197098</x:v>
      </x:c>
      <x:c r="AH898" s="88" t="str">
        <x:f>IF(AD898&gt;0,"PROFIT","LOSS")</x:f>
        <x:v>LOSS</x:v>
      </x:c>
      <x:c r="AI898" s="89" t="str">
        <x:v>Bundle includes Omega + two MCT-months; bonus SP not assumed. Extractor 3-for-2 sale.</x:v>
      </x:c>
    </x:row>
    <x:row r="899">
      <x:c r="A899" s="86" t="n">
        <x:v>897</x:v>
      </x:c>
      <x:c r="B899" s="88" t="str">
        <x:v>Omega+MCT 50% Bundle</x:v>
      </x:c>
      <x:c r="C899" s="88" t="str">
        <x:v>1M Omega + 2M MCT 50% bundle</x:v>
      </x:c>
      <x:c r="D899" s="88" t="n">
        <x:v>1</x:v>
      </x:c>
      <x:c r="E899" s="88" t="n">
        <x:v>3</x:v>
      </x:c>
      <x:c r="F899" s="88" t="str">
        <x:v>Included in Omega+MCT bundle</x:v>
      </x:c>
      <x:c r="G899" s="88" t="str">
        <x:v>NES 2-for-1 extractor sale</x:v>
      </x:c>
      <x:c r="H899" s="87" t="n">
        <x:f>0</x:f>
        <x:v>0</x:v>
      </x:c>
      <x:c r="I899" s="87" t="n">
        <x:f>0</x:f>
        <x:v>0</x:v>
      </x:c>
      <x:c r="J899" s="87" t="n">
        <x:f>0</x:f>
        <x:v>0</x:v>
      </x:c>
      <x:c r="K899" s="87" t="n">
        <x:f>D899*(E899-1)*I899</x:f>
        <x:v>0</x:v>
      </x:c>
      <x:c r="L899" s="87" t="n">
        <x:f>D899*(E899-1)*J899</x:f>
        <x:v>0</x:v>
      </x:c>
      <x:c r="M899" s="87" t="n">
        <x:f>('01 Base Costs'!$B$21+2*'01 Base Costs'!$B$16)*0.5</x:f>
        <x:v>735</x:v>
      </x:c>
      <x:c r="N899" s="87" t="n">
        <x:f>H899+K899+M899</x:f>
        <x:v>735</x:v>
      </x:c>
      <x:c r="O899" s="87" t="n">
        <x:f>N899*'01 Base Costs'!$B$7+L899</x:f>
        <x:v>3535350000</x:v>
      </x:c>
      <x:c r="P899" s="87" t="n">
        <x:f>D899*E899</x:f>
        <x:v>3</x:v>
      </x:c>
      <x:c r="Q899" s="87" t="n">
        <x:f>P899*'01 Base Costs'!$B$12</x:f>
        <x:v>5832000</x:v>
      </x:c>
      <x:c r="R899" s="87" t="n">
        <x:f>0</x:f>
        <x:v>0</x:v>
      </x:c>
      <x:c r="S899" s="87" t="n">
        <x:f>Q899+R899</x:f>
        <x:v>5832000</x:v>
      </x:c>
      <x:c r="T899" s="141" t="n">
        <x:f>S899/'01 Base Costs'!$B$14</x:f>
        <x:v>11.664</x:v>
      </x:c>
      <x:c r="U899" s="87" t="n">
        <x:f>INT(T899)</x:f>
        <x:v>11</x:v>
      </x:c>
      <x:c r="V899" s="87" t="n">
        <x:f>S899-U899*'01 Base Costs'!$B$14</x:f>
        <x:v>332000</x:v>
      </x:c>
      <x:c r="W899" s="120" t="n">
        <x:f>'01 Base Costs'!$B$17/2</x:f>
        <x:v>70</x:v>
      </x:c>
      <x:c r="X899" s="120" t="n">
        <x:f>0</x:f>
        <x:v>0</x:v>
      </x:c>
      <x:c r="Y899" s="87" t="n">
        <x:f>T899*(W899*'01 Base Costs'!$B$7+X899)</x:f>
        <x:v>3927268800</x:v>
      </x:c>
      <x:c r="Z899" s="87" t="n">
        <x:f>T899*'01 Base Costs'!$B$8</x:f>
        <x:v>8781825600</x:v>
      </x:c>
      <x:c r="AA899" s="87" t="n">
        <x:f>Z899*'01 Base Costs'!$B$11</x:f>
        <x:v>439091280</x:v>
      </x:c>
      <x:c r="AB899" s="87" t="n">
        <x:f>Z899-AA899</x:f>
        <x:v>8342734320</x:v>
      </x:c>
      <x:c r="AC899" s="87" t="n">
        <x:f>O899+Y899</x:f>
        <x:v>7462618800</x:v>
      </x:c>
      <x:c r="AD899" s="87" t="n">
        <x:f>AB899-AC899</x:f>
        <x:v>880115520</x:v>
      </x:c>
      <x:c r="AE899" s="87" t="n">
        <x:f>AD899/D899</x:f>
        <x:v>880115520</x:v>
      </x:c>
      <x:c r="AF899" s="87" t="n">
        <x:f>AD899/P899</x:f>
        <x:v>293371840</x:v>
      </x:c>
      <x:c r="AG899" s="87" t="n">
        <x:f>IF(T899=0,0,AC899/T899/(1-'01 Base Costs'!$B$11))</x:f>
        <x:v>673472926.1425169</x:v>
      </x:c>
      <x:c r="AH899" s="88" t="str">
        <x:f>IF(AD899&gt;0,"PROFIT","LOSS")</x:f>
        <x:v>PROFIT</x:v>
      </x:c>
      <x:c r="AI899" s="89" t="str">
        <x:v>Bundle includes Omega + two MCT-months; bonus SP not assumed. Extractor 2-for-1 sale.</x:v>
      </x:c>
    </x:row>
    <x:row r="900">
      <x:c r="A900" s="86" t="n">
        <x:v>898</x:v>
      </x:c>
      <x:c r="B900" s="88" t="str">
        <x:v>Omega+MCT 50% Bundle</x:v>
      </x:c>
      <x:c r="C900" s="88" t="str">
        <x:v>1M Omega + 2M MCT 50% bundle</x:v>
      </x:c>
      <x:c r="D900" s="88" t="n">
        <x:v>1</x:v>
      </x:c>
      <x:c r="E900" s="88" t="n">
        <x:v>3</x:v>
      </x:c>
      <x:c r="F900" s="88" t="str">
        <x:v>Included in Omega+MCT bundle</x:v>
      </x:c>
      <x:c r="G900" s="88" t="str">
        <x:v>NES 10-pack extractor 20% sale</x:v>
      </x:c>
      <x:c r="H900" s="87" t="n">
        <x:f>0</x:f>
        <x:v>0</x:v>
      </x:c>
      <x:c r="I900" s="87" t="n">
        <x:f>0</x:f>
        <x:v>0</x:v>
      </x:c>
      <x:c r="J900" s="87" t="n">
        <x:f>0</x:f>
        <x:v>0</x:v>
      </x:c>
      <x:c r="K900" s="87" t="n">
        <x:f>D900*(E900-1)*I900</x:f>
        <x:v>0</x:v>
      </x:c>
      <x:c r="L900" s="87" t="n">
        <x:f>D900*(E900-1)*J900</x:f>
        <x:v>0</x:v>
      </x:c>
      <x:c r="M900" s="87" t="n">
        <x:f>('01 Base Costs'!$B$21+2*'01 Base Costs'!$B$16)*0.5</x:f>
        <x:v>735</x:v>
      </x:c>
      <x:c r="N900" s="87" t="n">
        <x:f>H900+K900+M900</x:f>
        <x:v>735</x:v>
      </x:c>
      <x:c r="O900" s="87" t="n">
        <x:f>N900*'01 Base Costs'!$B$7+L900</x:f>
        <x:v>3535350000</x:v>
      </x:c>
      <x:c r="P900" s="87" t="n">
        <x:f>D900*E900</x:f>
        <x:v>3</x:v>
      </x:c>
      <x:c r="Q900" s="87" t="n">
        <x:f>P900*'01 Base Costs'!$B$12</x:f>
        <x:v>5832000</x:v>
      </x:c>
      <x:c r="R900" s="87" t="n">
        <x:f>0</x:f>
        <x:v>0</x:v>
      </x:c>
      <x:c r="S900" s="87" t="n">
        <x:f>Q900+R900</x:f>
        <x:v>5832000</x:v>
      </x:c>
      <x:c r="T900" s="141" t="n">
        <x:f>S900/'01 Base Costs'!$B$14</x:f>
        <x:v>11.664</x:v>
      </x:c>
      <x:c r="U900" s="87" t="n">
        <x:f>INT(T900)</x:f>
        <x:v>11</x:v>
      </x:c>
      <x:c r="V900" s="87" t="n">
        <x:f>S900-U900*'01 Base Costs'!$B$14</x:f>
        <x:v>332000</x:v>
      </x:c>
      <x:c r="W900" s="120" t="n">
        <x:f>'01 Base Costs'!$B$19*0.8/10</x:f>
        <x:v>95.2</x:v>
      </x:c>
      <x:c r="X900" s="120" t="n">
        <x:f>0</x:f>
        <x:v>0</x:v>
      </x:c>
      <x:c r="Y900" s="87" t="n">
        <x:f>T900*(W900*'01 Base Costs'!$B$7+X900)</x:f>
        <x:v>5341085568</x:v>
      </x:c>
      <x:c r="Z900" s="87" t="n">
        <x:f>T900*'01 Base Costs'!$B$8</x:f>
        <x:v>8781825600</x:v>
      </x:c>
      <x:c r="AA900" s="87" t="n">
        <x:f>Z900*'01 Base Costs'!$B$11</x:f>
        <x:v>439091280</x:v>
      </x:c>
      <x:c r="AB900" s="87" t="n">
        <x:f>Z900-AA900</x:f>
        <x:v>8342734320</x:v>
      </x:c>
      <x:c r="AC900" s="87" t="n">
        <x:f>O900+Y900</x:f>
        <x:v>8876435568</x:v>
      </x:c>
      <x:c r="AD900" s="87" t="n">
        <x:f>AB900-AC900</x:f>
        <x:v>-533701248</x:v>
      </x:c>
      <x:c r="AE900" s="87" t="n">
        <x:f>AD900/D900</x:f>
        <x:v>-533701248</x:v>
      </x:c>
      <x:c r="AF900" s="87" t="n">
        <x:f>AD900/P900</x:f>
        <x:v>-177900416</x:v>
      </x:c>
      <x:c r="AG900" s="87" t="n">
        <x:f>IF(T900=0,0,AC900/T900/(1-'01 Base Costs'!$B$11))</x:f>
        <x:v>801064505.0898852</x:v>
      </x:c>
      <x:c r="AH900" s="88" t="str">
        <x:f>IF(AD900&gt;0,"PROFIT","LOSS")</x:f>
        <x:v>LOSS</x:v>
      </x:c>
      <x:c r="AI900" s="89" t="str">
        <x:v>Bundle includes Omega + two MCT-months; bonus SP not assumed. 10-pack at 20% off.</x:v>
      </x:c>
    </x:row>
    <x:row r="901">
      <x:c r="A901" s="86" t="n">
        <x:v>899</x:v>
      </x:c>
      <x:c r="B901" s="88" t="str">
        <x:v>Omega+MCT 50% Bundle</x:v>
      </x:c>
      <x:c r="C901" s="88" t="str">
        <x:v>1M Omega + 2M MCT 50% bundle</x:v>
      </x:c>
      <x:c r="D901" s="88" t="n">
        <x:v>1</x:v>
      </x:c>
      <x:c r="E901" s="88" t="n">
        <x:v>3</x:v>
      </x:c>
      <x:c r="F901" s="88" t="str">
        <x:v>Included in Omega+MCT bundle</x:v>
      </x:c>
      <x:c r="G901" s="88" t="str">
        <x:v>NES 50-pack extractor 20% sale</x:v>
      </x:c>
      <x:c r="H901" s="87" t="n">
        <x:f>0</x:f>
        <x:v>0</x:v>
      </x:c>
      <x:c r="I901" s="87" t="n">
        <x:f>0</x:f>
        <x:v>0</x:v>
      </x:c>
      <x:c r="J901" s="87" t="n">
        <x:f>0</x:f>
        <x:v>0</x:v>
      </x:c>
      <x:c r="K901" s="87" t="n">
        <x:f>D901*(E901-1)*I901</x:f>
        <x:v>0</x:v>
      </x:c>
      <x:c r="L901" s="87" t="n">
        <x:f>D901*(E901-1)*J901</x:f>
        <x:v>0</x:v>
      </x:c>
      <x:c r="M901" s="87" t="n">
        <x:f>('01 Base Costs'!$B$21+2*'01 Base Costs'!$B$16)*0.5</x:f>
        <x:v>735</x:v>
      </x:c>
      <x:c r="N901" s="87" t="n">
        <x:f>H901+K901+M901</x:f>
        <x:v>735</x:v>
      </x:c>
      <x:c r="O901" s="87" t="n">
        <x:f>N901*'01 Base Costs'!$B$7+L901</x:f>
        <x:v>3535350000</x:v>
      </x:c>
      <x:c r="P901" s="87" t="n">
        <x:f>D901*E901</x:f>
        <x:v>3</x:v>
      </x:c>
      <x:c r="Q901" s="87" t="n">
        <x:f>P901*'01 Base Costs'!$B$12</x:f>
        <x:v>5832000</x:v>
      </x:c>
      <x:c r="R901" s="87" t="n">
        <x:f>0</x:f>
        <x:v>0</x:v>
      </x:c>
      <x:c r="S901" s="87" t="n">
        <x:f>Q901+R901</x:f>
        <x:v>5832000</x:v>
      </x:c>
      <x:c r="T901" s="141" t="n">
        <x:f>S901/'01 Base Costs'!$B$14</x:f>
        <x:v>11.664</x:v>
      </x:c>
      <x:c r="U901" s="87" t="n">
        <x:f>INT(T901)</x:f>
        <x:v>11</x:v>
      </x:c>
      <x:c r="V901" s="87" t="n">
        <x:f>S901-U901*'01 Base Costs'!$B$14</x:f>
        <x:v>332000</x:v>
      </x:c>
      <x:c r="W901" s="120" t="n">
        <x:f>'01 Base Costs'!$B$20*0.8/50</x:f>
        <x:v>89.6</x:v>
      </x:c>
      <x:c r="X901" s="120" t="n">
        <x:f>0</x:f>
        <x:v>0</x:v>
      </x:c>
      <x:c r="Y901" s="87" t="n">
        <x:f>T901*(W901*'01 Base Costs'!$B$7+X901)</x:f>
        <x:v>5026904064</x:v>
      </x:c>
      <x:c r="Z901" s="87" t="n">
        <x:f>T901*'01 Base Costs'!$B$8</x:f>
        <x:v>8781825600</x:v>
      </x:c>
      <x:c r="AA901" s="87" t="n">
        <x:f>Z901*'01 Base Costs'!$B$11</x:f>
        <x:v>439091280</x:v>
      </x:c>
      <x:c r="AB901" s="87" t="n">
        <x:f>Z901-AA901</x:f>
        <x:v>8342734320</x:v>
      </x:c>
      <x:c r="AC901" s="87" t="n">
        <x:f>O901+Y901</x:f>
        <x:v>8562254064</x:v>
      </x:c>
      <x:c r="AD901" s="87" t="n">
        <x:f>AB901-AC901</x:f>
        <x:v>-219519744</x:v>
      </x:c>
      <x:c r="AE901" s="87" t="n">
        <x:f>AD901/D901</x:f>
        <x:v>-219519744</x:v>
      </x:c>
      <x:c r="AF901" s="87" t="n">
        <x:f>AD901/P901</x:f>
        <x:v>-73173248</x:v>
      </x:c>
      <x:c r="AG901" s="87" t="n">
        <x:f>IF(T901=0,0,AC901/T901/(1-'01 Base Costs'!$B$11))</x:f>
        <x:v>772710820.8793589</x:v>
      </x:c>
      <x:c r="AH901" s="88" t="str">
        <x:f>IF(AD901&gt;0,"PROFIT","LOSS")</x:f>
        <x:v>LOSS</x:v>
      </x:c>
      <x:c r="AI901" s="89" t="str">
        <x:v>Bundle includes Omega + two MCT-months; bonus SP not assumed. 50-pack at 20% off.</x:v>
      </x:c>
    </x:row>
    <x:row r="902">
      <x:c r="A902" s="86" t="n">
        <x:v>900</x:v>
      </x:c>
      <x:c r="B902" s="88" t="str">
        <x:v>Omega+MCT 50% Bundle</x:v>
      </x:c>
      <x:c r="C902" s="88" t="str">
        <x:v>1M Omega + 2M MCT 50% bundle</x:v>
      </x:c>
      <x:c r="D902" s="88" t="n">
        <x:v>1</x:v>
      </x:c>
      <x:c r="E902" s="88" t="n">
        <x:v>3</x:v>
      </x:c>
      <x:c r="F902" s="88" t="str">
        <x:v>Included in Omega+MCT bundle</x:v>
      </x:c>
      <x:c r="G902" s="88" t="str">
        <x:v>Market Skill Extractor</x:v>
      </x:c>
      <x:c r="H902" s="87" t="n">
        <x:f>0</x:f>
        <x:v>0</x:v>
      </x:c>
      <x:c r="I902" s="87" t="n">
        <x:f>0</x:f>
        <x:v>0</x:v>
      </x:c>
      <x:c r="J902" s="87" t="n">
        <x:f>0</x:f>
        <x:v>0</x:v>
      </x:c>
      <x:c r="K902" s="87" t="n">
        <x:f>D902*(E902-1)*I902</x:f>
        <x:v>0</x:v>
      </x:c>
      <x:c r="L902" s="87" t="n">
        <x:f>D902*(E902-1)*J902</x:f>
        <x:v>0</x:v>
      </x:c>
      <x:c r="M902" s="87" t="n">
        <x:f>('01 Base Costs'!$B$21+2*'01 Base Costs'!$B$16)*0.5</x:f>
        <x:v>735</x:v>
      </x:c>
      <x:c r="N902" s="87" t="n">
        <x:f>H902+K902+M902</x:f>
        <x:v>735</x:v>
      </x:c>
      <x:c r="O902" s="87" t="n">
        <x:f>N902*'01 Base Costs'!$B$7+L902</x:f>
        <x:v>3535350000</x:v>
      </x:c>
      <x:c r="P902" s="87" t="n">
        <x:f>D902*E902</x:f>
        <x:v>3</x:v>
      </x:c>
      <x:c r="Q902" s="87" t="n">
        <x:f>P902*'01 Base Costs'!$B$12</x:f>
        <x:v>5832000</x:v>
      </x:c>
      <x:c r="R902" s="87" t="n">
        <x:f>0</x:f>
        <x:v>0</x:v>
      </x:c>
      <x:c r="S902" s="87" t="n">
        <x:f>Q902+R902</x:f>
        <x:v>5832000</x:v>
      </x:c>
      <x:c r="T902" s="141" t="n">
        <x:f>S902/'01 Base Costs'!$B$14</x:f>
        <x:v>11.664</x:v>
      </x:c>
      <x:c r="U902" s="87" t="n">
        <x:f>INT(T902)</x:f>
        <x:v>11</x:v>
      </x:c>
      <x:c r="V902" s="87" t="n">
        <x:f>S902-U902*'01 Base Costs'!$B$14</x:f>
        <x:v>332000</x:v>
      </x:c>
      <x:c r="W902" s="120" t="n">
        <x:f>0</x:f>
        <x:v>0</x:v>
      </x:c>
      <x:c r="X902" s="120" t="n">
        <x:f>'01 Base Costs'!$B$9</x:f>
        <x:v>463500000</x:v>
      </x:c>
      <x:c r="Y902" s="87" t="n">
        <x:f>T902*(W902*'01 Base Costs'!$B$7+X902)</x:f>
        <x:v>5406264000</x:v>
      </x:c>
      <x:c r="Z902" s="87" t="n">
        <x:f>T902*'01 Base Costs'!$B$8</x:f>
        <x:v>8781825600</x:v>
      </x:c>
      <x:c r="AA902" s="87" t="n">
        <x:f>Z902*'01 Base Costs'!$B$11</x:f>
        <x:v>439091280</x:v>
      </x:c>
      <x:c r="AB902" s="87" t="n">
        <x:f>Z902-AA902</x:f>
        <x:v>8342734320</x:v>
      </x:c>
      <x:c r="AC902" s="87" t="n">
        <x:f>O902+Y902</x:f>
        <x:v>8941614000</x:v>
      </x:c>
      <x:c r="AD902" s="87" t="n">
        <x:f>AB902-AC902</x:f>
        <x:v>-598879680</x:v>
      </x:c>
      <x:c r="AE902" s="87" t="n">
        <x:f>AD902/D902</x:f>
        <x:v>-598879680</x:v>
      </x:c>
      <x:c r="AF902" s="87" t="n">
        <x:f>AD902/P902</x:f>
        <x:v>-199626560</x:v>
      </x:c>
      <x:c r="AG902" s="87" t="n">
        <x:f>IF(T902=0,0,AC902/T902/(1-'01 Base Costs'!$B$11))</x:f>
        <x:v>806946610.3530431</x:v>
      </x:c>
      <x:c r="AH902" s="88" t="str">
        <x:f>IF(AD902&gt;0,"PROFIT","LOSS")</x:f>
        <x:v>LOSS</x:v>
      </x:c>
      <x:c r="AI902" s="89" t="str">
        <x:v>Bundle includes Omega + two MCT-months; bonus SP not assumed. Extractor bought on market with ISK.</x:v>
      </x:c>
    </x:row>
    <x:row r="903">
      <x:c r="A903" s="86" t="n">
        <x:v>901</x:v>
      </x:c>
      <x:c r="B903" s="88" t="str">
        <x:v>Omega+MCT 50% Bundle</x:v>
      </x:c>
      <x:c r="C903" s="88" t="str">
        <x:v>3M Omega + 6M MCT 50% bundle</x:v>
      </x:c>
      <x:c r="D903" s="88" t="n">
        <x:v>3</x:v>
      </x:c>
      <x:c r="E903" s="88" t="n">
        <x:v>3</x:v>
      </x:c>
      <x:c r="F903" s="88" t="str">
        <x:v>Included in Omega+MCT bundle</x:v>
      </x:c>
      <x:c r="G903" s="88" t="str">
        <x:v>NES single extractor</x:v>
      </x:c>
      <x:c r="H903" s="87" t="n">
        <x:f>0</x:f>
        <x:v>0</x:v>
      </x:c>
      <x:c r="I903" s="87" t="n">
        <x:f>0</x:f>
        <x:v>0</x:v>
      </x:c>
      <x:c r="J903" s="87" t="n">
        <x:f>0</x:f>
        <x:v>0</x:v>
      </x:c>
      <x:c r="K903" s="87" t="n">
        <x:f>D903*(E903-1)*I903</x:f>
        <x:v>0</x:v>
      </x:c>
      <x:c r="L903" s="87" t="n">
        <x:f>D903*(E903-1)*J903</x:f>
        <x:v>0</x:v>
      </x:c>
      <x:c r="M903" s="87" t="n">
        <x:f>('01 Base Costs'!$B$22+6*'01 Base Costs'!$B$16)*0.5</x:f>
        <x:v>2055</x:v>
      </x:c>
      <x:c r="N903" s="87" t="n">
        <x:f>H903+K903+M903</x:f>
        <x:v>2055</x:v>
      </x:c>
      <x:c r="O903" s="87" t="n">
        <x:f>N903*'01 Base Costs'!$B$7+L903</x:f>
        <x:v>9884550000</x:v>
      </x:c>
      <x:c r="P903" s="87" t="n">
        <x:f>D903*E903</x:f>
        <x:v>9</x:v>
      </x:c>
      <x:c r="Q903" s="87" t="n">
        <x:f>P903*'01 Base Costs'!$B$12</x:f>
        <x:v>17496000</x:v>
      </x:c>
      <x:c r="R903" s="87" t="n">
        <x:f>0</x:f>
        <x:v>0</x:v>
      </x:c>
      <x:c r="S903" s="87" t="n">
        <x:f>Q903+R903</x:f>
        <x:v>17496000</x:v>
      </x:c>
      <x:c r="T903" s="141" t="n">
        <x:f>S903/'01 Base Costs'!$B$14</x:f>
        <x:v>34.992</x:v>
      </x:c>
      <x:c r="U903" s="87" t="n">
        <x:f>INT(T903)</x:f>
        <x:v>34</x:v>
      </x:c>
      <x:c r="V903" s="87" t="n">
        <x:f>S903-U903*'01 Base Costs'!$B$14</x:f>
        <x:v>496000</x:v>
      </x:c>
      <x:c r="W903" s="120" t="n">
        <x:f>'01 Base Costs'!$B$17</x:f>
        <x:v>140</x:v>
      </x:c>
      <x:c r="X903" s="120" t="n">
        <x:f>0</x:f>
        <x:v>0</x:v>
      </x:c>
      <x:c r="Y903" s="87" t="n">
        <x:f>T903*(W903*'01 Base Costs'!$B$7+X903)</x:f>
        <x:v>23563612800</x:v>
      </x:c>
      <x:c r="Z903" s="87" t="n">
        <x:f>T903*'01 Base Costs'!$B$8</x:f>
        <x:v>26345476799.999996</x:v>
      </x:c>
      <x:c r="AA903" s="87" t="n">
        <x:f>Z903*'01 Base Costs'!$B$11</x:f>
        <x:v>1317273840</x:v>
      </x:c>
      <x:c r="AB903" s="87" t="n">
        <x:f>Z903-AA903</x:f>
        <x:v>25028202959.999996</x:v>
      </x:c>
      <x:c r="AC903" s="87" t="n">
        <x:f>O903+Y903</x:f>
        <x:v>33448162800</x:v>
      </x:c>
      <x:c r="AD903" s="87" t="n">
        <x:f>AB903-AC903</x:f>
        <x:v>-8419959840.000004</x:v>
      </x:c>
      <x:c r="AE903" s="87" t="n">
        <x:f>AD903/D903</x:f>
        <x:v>-2806653280.0000014</x:v>
      </x:c>
      <x:c r="AF903" s="87" t="n">
        <x:f>AD903/P903</x:f>
        <x:v>-935551093.3333337</x:v>
      </x:c>
      <x:c r="AG903" s="87" t="n">
        <x:f>IF(T903=0,0,AC903/T903/(1-'01 Base Costs'!$B$11))</x:f>
        <x:v>1006189769.6917192</x:v>
      </x:c>
      <x:c r="AH903" s="88" t="str">
        <x:f>IF(AD903&gt;0,"PROFIT","LOSS")</x:f>
        <x:v>LOSS</x:v>
      </x:c>
      <x:c r="AI903" s="89" t="str">
        <x:v>Bundle includes Omega + six MCT-months. Base single extractor.</x:v>
      </x:c>
    </x:row>
    <x:row r="904">
      <x:c r="A904" s="86" t="n">
        <x:v>902</x:v>
      </x:c>
      <x:c r="B904" s="88" t="str">
        <x:v>Omega+MCT 50% Bundle</x:v>
      </x:c>
      <x:c r="C904" s="88" t="str">
        <x:v>3M Omega + 6M MCT 50% bundle</x:v>
      </x:c>
      <x:c r="D904" s="88" t="n">
        <x:v>3</x:v>
      </x:c>
      <x:c r="E904" s="88" t="n">
        <x:v>3</x:v>
      </x:c>
      <x:c r="F904" s="88" t="str">
        <x:v>Included in Omega+MCT bundle</x:v>
      </x:c>
      <x:c r="G904" s="88" t="str">
        <x:v>NES 5-pack extractor</x:v>
      </x:c>
      <x:c r="H904" s="87" t="n">
        <x:f>0</x:f>
        <x:v>0</x:v>
      </x:c>
      <x:c r="I904" s="87" t="n">
        <x:f>0</x:f>
        <x:v>0</x:v>
      </x:c>
      <x:c r="J904" s="87" t="n">
        <x:f>0</x:f>
        <x:v>0</x:v>
      </x:c>
      <x:c r="K904" s="87" t="n">
        <x:f>D904*(E904-1)*I904</x:f>
        <x:v>0</x:v>
      </x:c>
      <x:c r="L904" s="87" t="n">
        <x:f>D904*(E904-1)*J904</x:f>
        <x:v>0</x:v>
      </x:c>
      <x:c r="M904" s="87" t="n">
        <x:f>('01 Base Costs'!$B$22+6*'01 Base Costs'!$B$16)*0.5</x:f>
        <x:v>2055</x:v>
      </x:c>
      <x:c r="N904" s="87" t="n">
        <x:f>H904+K904+M904</x:f>
        <x:v>2055</x:v>
      </x:c>
      <x:c r="O904" s="87" t="n">
        <x:f>N904*'01 Base Costs'!$B$7+L904</x:f>
        <x:v>9884550000</x:v>
      </x:c>
      <x:c r="P904" s="87" t="n">
        <x:f>D904*E904</x:f>
        <x:v>9</x:v>
      </x:c>
      <x:c r="Q904" s="87" t="n">
        <x:f>P904*'01 Base Costs'!$B$12</x:f>
        <x:v>17496000</x:v>
      </x:c>
      <x:c r="R904" s="87" t="n">
        <x:f>0</x:f>
        <x:v>0</x:v>
      </x:c>
      <x:c r="S904" s="87" t="n">
        <x:f>Q904+R904</x:f>
        <x:v>17496000</x:v>
      </x:c>
      <x:c r="T904" s="141" t="n">
        <x:f>S904/'01 Base Costs'!$B$14</x:f>
        <x:v>34.992</x:v>
      </x:c>
      <x:c r="U904" s="87" t="n">
        <x:f>INT(T904)</x:f>
        <x:v>34</x:v>
      </x:c>
      <x:c r="V904" s="87" t="n">
        <x:f>S904-U904*'01 Base Costs'!$B$14</x:f>
        <x:v>496000</x:v>
      </x:c>
      <x:c r="W904" s="120" t="n">
        <x:f>'01 Base Costs'!$B$18/5</x:f>
        <x:v>126</x:v>
      </x:c>
      <x:c r="X904" s="120" t="n">
        <x:f>0</x:f>
        <x:v>0</x:v>
      </x:c>
      <x:c r="Y904" s="87" t="n">
        <x:f>T904*(W904*'01 Base Costs'!$B$7+X904)</x:f>
        <x:v>21207251520</x:v>
      </x:c>
      <x:c r="Z904" s="87" t="n">
        <x:f>T904*'01 Base Costs'!$B$8</x:f>
        <x:v>26345476799.999996</x:v>
      </x:c>
      <x:c r="AA904" s="87" t="n">
        <x:f>Z904*'01 Base Costs'!$B$11</x:f>
        <x:v>1317273840</x:v>
      </x:c>
      <x:c r="AB904" s="87" t="n">
        <x:f>Z904-AA904</x:f>
        <x:v>25028202959.999996</x:v>
      </x:c>
      <x:c r="AC904" s="87" t="n">
        <x:f>O904+Y904</x:f>
        <x:v>31091801520</x:v>
      </x:c>
      <x:c r="AD904" s="87" t="n">
        <x:f>AB904-AC904</x:f>
        <x:v>-6063598560.000004</x:v>
      </x:c>
      <x:c r="AE904" s="87" t="n">
        <x:f>AD904/D904</x:f>
        <x:v>-2021199520.0000012</x:v>
      </x:c>
      <x:c r="AF904" s="87" t="n">
        <x:f>AD904/P904</x:f>
        <x:v>-673733173.3333337</x:v>
      </x:c>
      <x:c r="AG904" s="87" t="n">
        <x:f>IF(T904=0,0,AC904/T904/(1-'01 Base Costs'!$B$11))</x:f>
        <x:v>935305559.1654034</x:v>
      </x:c>
      <x:c r="AH904" s="88" t="str">
        <x:f>IF(AD904&gt;0,"PROFIT","LOSS")</x:f>
        <x:v>LOSS</x:v>
      </x:c>
      <x:c r="AI904" s="89" t="str">
        <x:v>Bundle includes Omega + six MCT-months. Base 5-pack average.</x:v>
      </x:c>
    </x:row>
    <x:row r="905">
      <x:c r="A905" s="86" t="n">
        <x:v>903</x:v>
      </x:c>
      <x:c r="B905" s="88" t="str">
        <x:v>Omega+MCT 50% Bundle</x:v>
      </x:c>
      <x:c r="C905" s="88" t="str">
        <x:v>3M Omega + 6M MCT 50% bundle</x:v>
      </x:c>
      <x:c r="D905" s="88" t="n">
        <x:v>3</x:v>
      </x:c>
      <x:c r="E905" s="88" t="n">
        <x:v>3</x:v>
      </x:c>
      <x:c r="F905" s="88" t="str">
        <x:v>Included in Omega+MCT bundle</x:v>
      </x:c>
      <x:c r="G905" s="88" t="str">
        <x:v>NES 10-pack extractor</x:v>
      </x:c>
      <x:c r="H905" s="87" t="n">
        <x:f>0</x:f>
        <x:v>0</x:v>
      </x:c>
      <x:c r="I905" s="87" t="n">
        <x:f>0</x:f>
        <x:v>0</x:v>
      </x:c>
      <x:c r="J905" s="87" t="n">
        <x:f>0</x:f>
        <x:v>0</x:v>
      </x:c>
      <x:c r="K905" s="87" t="n">
        <x:f>D905*(E905-1)*I905</x:f>
        <x:v>0</x:v>
      </x:c>
      <x:c r="L905" s="87" t="n">
        <x:f>D905*(E905-1)*J905</x:f>
        <x:v>0</x:v>
      </x:c>
      <x:c r="M905" s="87" t="n">
        <x:f>('01 Base Costs'!$B$22+6*'01 Base Costs'!$B$16)*0.5</x:f>
        <x:v>2055</x:v>
      </x:c>
      <x:c r="N905" s="87" t="n">
        <x:f>H905+K905+M905</x:f>
        <x:v>2055</x:v>
      </x:c>
      <x:c r="O905" s="87" t="n">
        <x:f>N905*'01 Base Costs'!$B$7+L905</x:f>
        <x:v>9884550000</x:v>
      </x:c>
      <x:c r="P905" s="87" t="n">
        <x:f>D905*E905</x:f>
        <x:v>9</x:v>
      </x:c>
      <x:c r="Q905" s="87" t="n">
        <x:f>P905*'01 Base Costs'!$B$12</x:f>
        <x:v>17496000</x:v>
      </x:c>
      <x:c r="R905" s="87" t="n">
        <x:f>0</x:f>
        <x:v>0</x:v>
      </x:c>
      <x:c r="S905" s="87" t="n">
        <x:f>Q905+R905</x:f>
        <x:v>17496000</x:v>
      </x:c>
      <x:c r="T905" s="141" t="n">
        <x:f>S905/'01 Base Costs'!$B$14</x:f>
        <x:v>34.992</x:v>
      </x:c>
      <x:c r="U905" s="87" t="n">
        <x:f>INT(T905)</x:f>
        <x:v>34</x:v>
      </x:c>
      <x:c r="V905" s="87" t="n">
        <x:f>S905-U905*'01 Base Costs'!$B$14</x:f>
        <x:v>496000</x:v>
      </x:c>
      <x:c r="W905" s="120" t="n">
        <x:f>'01 Base Costs'!$B$19/10</x:f>
        <x:v>119</x:v>
      </x:c>
      <x:c r="X905" s="120" t="n">
        <x:f>0</x:f>
        <x:v>0</x:v>
      </x:c>
      <x:c r="Y905" s="87" t="n">
        <x:f>T905*(W905*'01 Base Costs'!$B$7+X905)</x:f>
        <x:v>20029070880</x:v>
      </x:c>
      <x:c r="Z905" s="87" t="n">
        <x:f>T905*'01 Base Costs'!$B$8</x:f>
        <x:v>26345476799.999996</x:v>
      </x:c>
      <x:c r="AA905" s="87" t="n">
        <x:f>Z905*'01 Base Costs'!$B$11</x:f>
        <x:v>1317273840</x:v>
      </x:c>
      <x:c r="AB905" s="87" t="n">
        <x:f>Z905-AA905</x:f>
        <x:v>25028202959.999996</x:v>
      </x:c>
      <x:c r="AC905" s="87" t="n">
        <x:f>O905+Y905</x:f>
        <x:v>29913620880</x:v>
      </x:c>
      <x:c r="AD905" s="87" t="n">
        <x:f>AB905-AC905</x:f>
        <x:v>-4885417920.000004</x:v>
      </x:c>
      <x:c r="AE905" s="87" t="n">
        <x:f>AD905/D905</x:f>
        <x:v>-1628472640.0000012</x:v>
      </x:c>
      <x:c r="AF905" s="87" t="n">
        <x:f>AD905/P905</x:f>
        <x:v>-542824213.3333337</x:v>
      </x:c>
      <x:c r="AG905" s="87" t="n">
        <x:f>IF(T905=0,0,AC905/T905/(1-'01 Base Costs'!$B$11))</x:f>
        <x:v>899863453.9022455</x:v>
      </x:c>
      <x:c r="AH905" s="88" t="str">
        <x:f>IF(AD905&gt;0,"PROFIT","LOSS")</x:f>
        <x:v>LOSS</x:v>
      </x:c>
      <x:c r="AI905" s="89" t="str">
        <x:v>Bundle includes Omega + six MCT-months. Base 10-pack average.</x:v>
      </x:c>
    </x:row>
    <x:row r="906">
      <x:c r="A906" s="86" t="n">
        <x:v>904</x:v>
      </x:c>
      <x:c r="B906" s="88" t="str">
        <x:v>Omega+MCT 50% Bundle</x:v>
      </x:c>
      <x:c r="C906" s="88" t="str">
        <x:v>3M Omega + 6M MCT 50% bundle</x:v>
      </x:c>
      <x:c r="D906" s="88" t="n">
        <x:v>3</x:v>
      </x:c>
      <x:c r="E906" s="88" t="n">
        <x:v>3</x:v>
      </x:c>
      <x:c r="F906" s="88" t="str">
        <x:v>Included in Omega+MCT bundle</x:v>
      </x:c>
      <x:c r="G906" s="88" t="str">
        <x:v>NES 50-pack extractor</x:v>
      </x:c>
      <x:c r="H906" s="87" t="n">
        <x:f>0</x:f>
        <x:v>0</x:v>
      </x:c>
      <x:c r="I906" s="87" t="n">
        <x:f>0</x:f>
        <x:v>0</x:v>
      </x:c>
      <x:c r="J906" s="87" t="n">
        <x:f>0</x:f>
        <x:v>0</x:v>
      </x:c>
      <x:c r="K906" s="87" t="n">
        <x:f>D906*(E906-1)*I906</x:f>
        <x:v>0</x:v>
      </x:c>
      <x:c r="L906" s="87" t="n">
        <x:f>D906*(E906-1)*J906</x:f>
        <x:v>0</x:v>
      </x:c>
      <x:c r="M906" s="87" t="n">
        <x:f>('01 Base Costs'!$B$22+6*'01 Base Costs'!$B$16)*0.5</x:f>
        <x:v>2055</x:v>
      </x:c>
      <x:c r="N906" s="87" t="n">
        <x:f>H906+K906+M906</x:f>
        <x:v>2055</x:v>
      </x:c>
      <x:c r="O906" s="87" t="n">
        <x:f>N906*'01 Base Costs'!$B$7+L906</x:f>
        <x:v>9884550000</x:v>
      </x:c>
      <x:c r="P906" s="87" t="n">
        <x:f>D906*E906</x:f>
        <x:v>9</x:v>
      </x:c>
      <x:c r="Q906" s="87" t="n">
        <x:f>P906*'01 Base Costs'!$B$12</x:f>
        <x:v>17496000</x:v>
      </x:c>
      <x:c r="R906" s="87" t="n">
        <x:f>0</x:f>
        <x:v>0</x:v>
      </x:c>
      <x:c r="S906" s="87" t="n">
        <x:f>Q906+R906</x:f>
        <x:v>17496000</x:v>
      </x:c>
      <x:c r="T906" s="141" t="n">
        <x:f>S906/'01 Base Costs'!$B$14</x:f>
        <x:v>34.992</x:v>
      </x:c>
      <x:c r="U906" s="87" t="n">
        <x:f>INT(T906)</x:f>
        <x:v>34</x:v>
      </x:c>
      <x:c r="V906" s="87" t="n">
        <x:f>S906-U906*'01 Base Costs'!$B$14</x:f>
        <x:v>496000</x:v>
      </x:c>
      <x:c r="W906" s="120" t="n">
        <x:f>'01 Base Costs'!$B$20/50</x:f>
        <x:v>112</x:v>
      </x:c>
      <x:c r="X906" s="120" t="n">
        <x:f>0</x:f>
        <x:v>0</x:v>
      </x:c>
      <x:c r="Y906" s="87" t="n">
        <x:f>T906*(W906*'01 Base Costs'!$B$7+X906)</x:f>
        <x:v>18850890240</x:v>
      </x:c>
      <x:c r="Z906" s="87" t="n">
        <x:f>T906*'01 Base Costs'!$B$8</x:f>
        <x:v>26345476799.999996</x:v>
      </x:c>
      <x:c r="AA906" s="87" t="n">
        <x:f>Z906*'01 Base Costs'!$B$11</x:f>
        <x:v>1317273840</x:v>
      </x:c>
      <x:c r="AB906" s="87" t="n">
        <x:f>Z906-AA906</x:f>
        <x:v>25028202959.999996</x:v>
      </x:c>
      <x:c r="AC906" s="87" t="n">
        <x:f>O906+Y906</x:f>
        <x:v>28735440240</x:v>
      </x:c>
      <x:c r="AD906" s="87" t="n">
        <x:f>AB906-AC906</x:f>
        <x:v>-3707237280.000004</x:v>
      </x:c>
      <x:c r="AE906" s="87" t="n">
        <x:f>AD906/D906</x:f>
        <x:v>-1235745760.0000012</x:v>
      </x:c>
      <x:c r="AF906" s="87" t="n">
        <x:f>AD906/P906</x:f>
        <x:v>-411915253.33333373</x:v>
      </x:c>
      <x:c r="AG906" s="87" t="n">
        <x:f>IF(T906=0,0,AC906/T906/(1-'01 Base Costs'!$B$11))</x:f>
        <x:v>864421348.6390876</x:v>
      </x:c>
      <x:c r="AH906" s="88" t="str">
        <x:f>IF(AD906&gt;0,"PROFIT","LOSS")</x:f>
        <x:v>LOSS</x:v>
      </x:c>
      <x:c r="AI906" s="89" t="str">
        <x:v>Bundle includes Omega + six MCT-months. Base 50-pack average.</x:v>
      </x:c>
    </x:row>
    <x:row r="907">
      <x:c r="A907" s="86" t="n">
        <x:v>905</x:v>
      </x:c>
      <x:c r="B907" s="88" t="str">
        <x:v>Omega+MCT 50% Bundle</x:v>
      </x:c>
      <x:c r="C907" s="88" t="str">
        <x:v>3M Omega + 6M MCT 50% bundle</x:v>
      </x:c>
      <x:c r="D907" s="88" t="n">
        <x:v>3</x:v>
      </x:c>
      <x:c r="E907" s="88" t="n">
        <x:v>3</x:v>
      </x:c>
      <x:c r="F907" s="88" t="str">
        <x:v>Included in Omega+MCT bundle</x:v>
      </x:c>
      <x:c r="G907" s="88" t="str">
        <x:v>NES 3-for-2 extractor sale</x:v>
      </x:c>
      <x:c r="H907" s="87" t="n">
        <x:f>0</x:f>
        <x:v>0</x:v>
      </x:c>
      <x:c r="I907" s="87" t="n">
        <x:f>0</x:f>
        <x:v>0</x:v>
      </x:c>
      <x:c r="J907" s="87" t="n">
        <x:f>0</x:f>
        <x:v>0</x:v>
      </x:c>
      <x:c r="K907" s="87" t="n">
        <x:f>D907*(E907-1)*I907</x:f>
        <x:v>0</x:v>
      </x:c>
      <x:c r="L907" s="87" t="n">
        <x:f>D907*(E907-1)*J907</x:f>
        <x:v>0</x:v>
      </x:c>
      <x:c r="M907" s="87" t="n">
        <x:f>('01 Base Costs'!$B$22+6*'01 Base Costs'!$B$16)*0.5</x:f>
        <x:v>2055</x:v>
      </x:c>
      <x:c r="N907" s="87" t="n">
        <x:f>H907+K907+M907</x:f>
        <x:v>2055</x:v>
      </x:c>
      <x:c r="O907" s="87" t="n">
        <x:f>N907*'01 Base Costs'!$B$7+L907</x:f>
        <x:v>9884550000</x:v>
      </x:c>
      <x:c r="P907" s="87" t="n">
        <x:f>D907*E907</x:f>
        <x:v>9</x:v>
      </x:c>
      <x:c r="Q907" s="87" t="n">
        <x:f>P907*'01 Base Costs'!$B$12</x:f>
        <x:v>17496000</x:v>
      </x:c>
      <x:c r="R907" s="87" t="n">
        <x:f>0</x:f>
        <x:v>0</x:v>
      </x:c>
      <x:c r="S907" s="87" t="n">
        <x:f>Q907+R907</x:f>
        <x:v>17496000</x:v>
      </x:c>
      <x:c r="T907" s="141" t="n">
        <x:f>S907/'01 Base Costs'!$B$14</x:f>
        <x:v>34.992</x:v>
      </x:c>
      <x:c r="U907" s="87" t="n">
        <x:f>INT(T907)</x:f>
        <x:v>34</x:v>
      </x:c>
      <x:c r="V907" s="87" t="n">
        <x:f>S907-U907*'01 Base Costs'!$B$14</x:f>
        <x:v>496000</x:v>
      </x:c>
      <x:c r="W907" s="120" t="n">
        <x:f>'01 Base Costs'!$B$17*2/3</x:f>
        <x:v>93.33333333333333</x:v>
      </x:c>
      <x:c r="X907" s="120" t="n">
        <x:f>0</x:f>
        <x:v>0</x:v>
      </x:c>
      <x:c r="Y907" s="87" t="n">
        <x:f>T907*(W907*'01 Base Costs'!$B$7+X907)</x:f>
        <x:v>15709075199.999998</x:v>
      </x:c>
      <x:c r="Z907" s="87" t="n">
        <x:f>T907*'01 Base Costs'!$B$8</x:f>
        <x:v>26345476799.999996</x:v>
      </x:c>
      <x:c r="AA907" s="87" t="n">
        <x:f>Z907*'01 Base Costs'!$B$11</x:f>
        <x:v>1317273840</x:v>
      </x:c>
      <x:c r="AB907" s="87" t="n">
        <x:f>Z907-AA907</x:f>
        <x:v>25028202959.999996</x:v>
      </x:c>
      <x:c r="AC907" s="87" t="n">
        <x:f>O907+Y907</x:f>
        <x:v>25593625200</x:v>
      </x:c>
      <x:c r="AD907" s="87" t="n">
        <x:f>AB907-AC907</x:f>
        <x:v>-565422240.0000038</x:v>
      </x:c>
      <x:c r="AE907" s="87" t="n">
        <x:f>AD907/D907</x:f>
        <x:v>-188474080.00000128</x:v>
      </x:c>
      <x:c r="AF907" s="87" t="n">
        <x:f>AD907/P907</x:f>
        <x:v>-62824693.33333376</x:v>
      </x:c>
      <x:c r="AG907" s="87" t="n">
        <x:f>IF(T907=0,0,AC907/T907/(1-'01 Base Costs'!$B$11))</x:f>
        <x:v>769909067.9373331</x:v>
      </x:c>
      <x:c r="AH907" s="88" t="str">
        <x:f>IF(AD907&gt;0,"PROFIT","LOSS")</x:f>
        <x:v>LOSS</x:v>
      </x:c>
      <x:c r="AI907" s="89" t="str">
        <x:v>Bundle includes Omega + six MCT-months. Extractor 3-for-2 sale.</x:v>
      </x:c>
    </x:row>
    <x:row r="908">
      <x:c r="A908" s="86" t="n">
        <x:v>906</x:v>
      </x:c>
      <x:c r="B908" s="88" t="str">
        <x:v>Omega+MCT 50% Bundle</x:v>
      </x:c>
      <x:c r="C908" s="88" t="str">
        <x:v>3M Omega + 6M MCT 50% bundle</x:v>
      </x:c>
      <x:c r="D908" s="88" t="n">
        <x:v>3</x:v>
      </x:c>
      <x:c r="E908" s="88" t="n">
        <x:v>3</x:v>
      </x:c>
      <x:c r="F908" s="88" t="str">
        <x:v>Included in Omega+MCT bundle</x:v>
      </x:c>
      <x:c r="G908" s="88" t="str">
        <x:v>NES 2-for-1 extractor sale</x:v>
      </x:c>
      <x:c r="H908" s="87" t="n">
        <x:f>0</x:f>
        <x:v>0</x:v>
      </x:c>
      <x:c r="I908" s="87" t="n">
        <x:f>0</x:f>
        <x:v>0</x:v>
      </x:c>
      <x:c r="J908" s="87" t="n">
        <x:f>0</x:f>
        <x:v>0</x:v>
      </x:c>
      <x:c r="K908" s="87" t="n">
        <x:f>D908*(E908-1)*I908</x:f>
        <x:v>0</x:v>
      </x:c>
      <x:c r="L908" s="87" t="n">
        <x:f>D908*(E908-1)*J908</x:f>
        <x:v>0</x:v>
      </x:c>
      <x:c r="M908" s="87" t="n">
        <x:f>('01 Base Costs'!$B$22+6*'01 Base Costs'!$B$16)*0.5</x:f>
        <x:v>2055</x:v>
      </x:c>
      <x:c r="N908" s="87" t="n">
        <x:f>H908+K908+M908</x:f>
        <x:v>2055</x:v>
      </x:c>
      <x:c r="O908" s="87" t="n">
        <x:f>N908*'01 Base Costs'!$B$7+L908</x:f>
        <x:v>9884550000</x:v>
      </x:c>
      <x:c r="P908" s="87" t="n">
        <x:f>D908*E908</x:f>
        <x:v>9</x:v>
      </x:c>
      <x:c r="Q908" s="87" t="n">
        <x:f>P908*'01 Base Costs'!$B$12</x:f>
        <x:v>17496000</x:v>
      </x:c>
      <x:c r="R908" s="87" t="n">
        <x:f>0</x:f>
        <x:v>0</x:v>
      </x:c>
      <x:c r="S908" s="87" t="n">
        <x:f>Q908+R908</x:f>
        <x:v>17496000</x:v>
      </x:c>
      <x:c r="T908" s="141" t="n">
        <x:f>S908/'01 Base Costs'!$B$14</x:f>
        <x:v>34.992</x:v>
      </x:c>
      <x:c r="U908" s="87" t="n">
        <x:f>INT(T908)</x:f>
        <x:v>34</x:v>
      </x:c>
      <x:c r="V908" s="87" t="n">
        <x:f>S908-U908*'01 Base Costs'!$B$14</x:f>
        <x:v>496000</x:v>
      </x:c>
      <x:c r="W908" s="120" t="n">
        <x:f>'01 Base Costs'!$B$17/2</x:f>
        <x:v>70</x:v>
      </x:c>
      <x:c r="X908" s="120" t="n">
        <x:f>0</x:f>
        <x:v>0</x:v>
      </x:c>
      <x:c r="Y908" s="87" t="n">
        <x:f>T908*(W908*'01 Base Costs'!$B$7+X908)</x:f>
        <x:v>11781806400</x:v>
      </x:c>
      <x:c r="Z908" s="87" t="n">
        <x:f>T908*'01 Base Costs'!$B$8</x:f>
        <x:v>26345476799.999996</x:v>
      </x:c>
      <x:c r="AA908" s="87" t="n">
        <x:f>Z908*'01 Base Costs'!$B$11</x:f>
        <x:v>1317273840</x:v>
      </x:c>
      <x:c r="AB908" s="87" t="n">
        <x:f>Z908-AA908</x:f>
        <x:v>25028202959.999996</x:v>
      </x:c>
      <x:c r="AC908" s="87" t="n">
        <x:f>O908+Y908</x:f>
        <x:v>21666356400</x:v>
      </x:c>
      <x:c r="AD908" s="87" t="n">
        <x:f>AB908-AC908</x:f>
        <x:v>3361846559.999996</x:v>
      </x:c>
      <x:c r="AE908" s="87" t="n">
        <x:f>AD908/D908</x:f>
        <x:v>1120615519.9999988</x:v>
      </x:c>
      <x:c r="AF908" s="87" t="n">
        <x:f>AD908/P908</x:f>
        <x:v>373538506.66666627</x:v>
      </x:c>
      <x:c r="AG908" s="87" t="n">
        <x:f>IF(T908=0,0,AC908/T908/(1-'01 Base Costs'!$B$11))</x:f>
        <x:v>651768717.0601401</x:v>
      </x:c>
      <x:c r="AH908" s="88" t="str">
        <x:f>IF(AD908&gt;0,"PROFIT","LOSS")</x:f>
        <x:v>PROFIT</x:v>
      </x:c>
      <x:c r="AI908" s="89" t="str">
        <x:v>Bundle includes Omega + six MCT-months. Extractor 2-for-1 sale.</x:v>
      </x:c>
    </x:row>
    <x:row r="909">
      <x:c r="A909" s="86" t="n">
        <x:v>907</x:v>
      </x:c>
      <x:c r="B909" s="88" t="str">
        <x:v>Omega+MCT 50% Bundle</x:v>
      </x:c>
      <x:c r="C909" s="88" t="str">
        <x:v>3M Omega + 6M MCT 50% bundle</x:v>
      </x:c>
      <x:c r="D909" s="88" t="n">
        <x:v>3</x:v>
      </x:c>
      <x:c r="E909" s="88" t="n">
        <x:v>3</x:v>
      </x:c>
      <x:c r="F909" s="88" t="str">
        <x:v>Included in Omega+MCT bundle</x:v>
      </x:c>
      <x:c r="G909" s="88" t="str">
        <x:v>NES 10-pack extractor 20% sale</x:v>
      </x:c>
      <x:c r="H909" s="87" t="n">
        <x:f>0</x:f>
        <x:v>0</x:v>
      </x:c>
      <x:c r="I909" s="87" t="n">
        <x:f>0</x:f>
        <x:v>0</x:v>
      </x:c>
      <x:c r="J909" s="87" t="n">
        <x:f>0</x:f>
        <x:v>0</x:v>
      </x:c>
      <x:c r="K909" s="87" t="n">
        <x:f>D909*(E909-1)*I909</x:f>
        <x:v>0</x:v>
      </x:c>
      <x:c r="L909" s="87" t="n">
        <x:f>D909*(E909-1)*J909</x:f>
        <x:v>0</x:v>
      </x:c>
      <x:c r="M909" s="87" t="n">
        <x:f>('01 Base Costs'!$B$22+6*'01 Base Costs'!$B$16)*0.5</x:f>
        <x:v>2055</x:v>
      </x:c>
      <x:c r="N909" s="87" t="n">
        <x:f>H909+K909+M909</x:f>
        <x:v>2055</x:v>
      </x:c>
      <x:c r="O909" s="87" t="n">
        <x:f>N909*'01 Base Costs'!$B$7+L909</x:f>
        <x:v>9884550000</x:v>
      </x:c>
      <x:c r="P909" s="87" t="n">
        <x:f>D909*E909</x:f>
        <x:v>9</x:v>
      </x:c>
      <x:c r="Q909" s="87" t="n">
        <x:f>P909*'01 Base Costs'!$B$12</x:f>
        <x:v>17496000</x:v>
      </x:c>
      <x:c r="R909" s="87" t="n">
        <x:f>0</x:f>
        <x:v>0</x:v>
      </x:c>
      <x:c r="S909" s="87" t="n">
        <x:f>Q909+R909</x:f>
        <x:v>17496000</x:v>
      </x:c>
      <x:c r="T909" s="141" t="n">
        <x:f>S909/'01 Base Costs'!$B$14</x:f>
        <x:v>34.992</x:v>
      </x:c>
      <x:c r="U909" s="87" t="n">
        <x:f>INT(T909)</x:f>
        <x:v>34</x:v>
      </x:c>
      <x:c r="V909" s="87" t="n">
        <x:f>S909-U909*'01 Base Costs'!$B$14</x:f>
        <x:v>496000</x:v>
      </x:c>
      <x:c r="W909" s="120" t="n">
        <x:f>'01 Base Costs'!$B$19*0.8/10</x:f>
        <x:v>95.2</x:v>
      </x:c>
      <x:c r="X909" s="120" t="n">
        <x:f>0</x:f>
        <x:v>0</x:v>
      </x:c>
      <x:c r="Y909" s="87" t="n">
        <x:f>T909*(W909*'01 Base Costs'!$B$7+X909)</x:f>
        <x:v>16023256703.999998</x:v>
      </x:c>
      <x:c r="Z909" s="87" t="n">
        <x:f>T909*'01 Base Costs'!$B$8</x:f>
        <x:v>26345476799.999996</x:v>
      </x:c>
      <x:c r="AA909" s="87" t="n">
        <x:f>Z909*'01 Base Costs'!$B$11</x:f>
        <x:v>1317273840</x:v>
      </x:c>
      <x:c r="AB909" s="87" t="n">
        <x:f>Z909-AA909</x:f>
        <x:v>25028202959.999996</x:v>
      </x:c>
      <x:c r="AC909" s="87" t="n">
        <x:f>O909+Y909</x:f>
        <x:v>25907806704</x:v>
      </x:c>
      <x:c r="AD909" s="87" t="n">
        <x:f>AB909-AC909</x:f>
        <x:v>-879603744.0000038</x:v>
      </x:c>
      <x:c r="AE909" s="87" t="n">
        <x:f>AD909/D909</x:f>
        <x:v>-293201248.00000125</x:v>
      </x:c>
      <x:c r="AF909" s="87" t="n">
        <x:f>AD909/P909</x:f>
        <x:v>-97733749.33333376</x:v>
      </x:c>
      <x:c r="AG909" s="87" t="n">
        <x:f>IF(T909=0,0,AC909/T909/(1-'01 Base Costs'!$B$11))</x:f>
        <x:v>779360296.0075086</x:v>
      </x:c>
      <x:c r="AH909" s="88" t="str">
        <x:f>IF(AD909&gt;0,"PROFIT","LOSS")</x:f>
        <x:v>LOSS</x:v>
      </x:c>
      <x:c r="AI909" s="89" t="str">
        <x:v>Bundle includes Omega + six MCT-months. 10-pack at 20% off.</x:v>
      </x:c>
    </x:row>
    <x:row r="910">
      <x:c r="A910" s="86" t="n">
        <x:v>908</x:v>
      </x:c>
      <x:c r="B910" s="88" t="str">
        <x:v>Omega+MCT 50% Bundle</x:v>
      </x:c>
      <x:c r="C910" s="88" t="str">
        <x:v>3M Omega + 6M MCT 50% bundle</x:v>
      </x:c>
      <x:c r="D910" s="88" t="n">
        <x:v>3</x:v>
      </x:c>
      <x:c r="E910" s="88" t="n">
        <x:v>3</x:v>
      </x:c>
      <x:c r="F910" s="88" t="str">
        <x:v>Included in Omega+MCT bundle</x:v>
      </x:c>
      <x:c r="G910" s="88" t="str">
        <x:v>NES 50-pack extractor 20% sale</x:v>
      </x:c>
      <x:c r="H910" s="87" t="n">
        <x:f>0</x:f>
        <x:v>0</x:v>
      </x:c>
      <x:c r="I910" s="87" t="n">
        <x:f>0</x:f>
        <x:v>0</x:v>
      </x:c>
      <x:c r="J910" s="87" t="n">
        <x:f>0</x:f>
        <x:v>0</x:v>
      </x:c>
      <x:c r="K910" s="87" t="n">
        <x:f>D910*(E910-1)*I910</x:f>
        <x:v>0</x:v>
      </x:c>
      <x:c r="L910" s="87" t="n">
        <x:f>D910*(E910-1)*J910</x:f>
        <x:v>0</x:v>
      </x:c>
      <x:c r="M910" s="87" t="n">
        <x:f>('01 Base Costs'!$B$22+6*'01 Base Costs'!$B$16)*0.5</x:f>
        <x:v>2055</x:v>
      </x:c>
      <x:c r="N910" s="87" t="n">
        <x:f>H910+K910+M910</x:f>
        <x:v>2055</x:v>
      </x:c>
      <x:c r="O910" s="87" t="n">
        <x:f>N910*'01 Base Costs'!$B$7+L910</x:f>
        <x:v>9884550000</x:v>
      </x:c>
      <x:c r="P910" s="87" t="n">
        <x:f>D910*E910</x:f>
        <x:v>9</x:v>
      </x:c>
      <x:c r="Q910" s="87" t="n">
        <x:f>P910*'01 Base Costs'!$B$12</x:f>
        <x:v>17496000</x:v>
      </x:c>
      <x:c r="R910" s="87" t="n">
        <x:f>0</x:f>
        <x:v>0</x:v>
      </x:c>
      <x:c r="S910" s="87" t="n">
        <x:f>Q910+R910</x:f>
        <x:v>17496000</x:v>
      </x:c>
      <x:c r="T910" s="141" t="n">
        <x:f>S910/'01 Base Costs'!$B$14</x:f>
        <x:v>34.992</x:v>
      </x:c>
      <x:c r="U910" s="87" t="n">
        <x:f>INT(T910)</x:f>
        <x:v>34</x:v>
      </x:c>
      <x:c r="V910" s="87" t="n">
        <x:f>S910-U910*'01 Base Costs'!$B$14</x:f>
        <x:v>496000</x:v>
      </x:c>
      <x:c r="W910" s="120" t="n">
        <x:f>'01 Base Costs'!$B$20*0.8/50</x:f>
        <x:v>89.6</x:v>
      </x:c>
      <x:c r="X910" s="120" t="n">
        <x:f>0</x:f>
        <x:v>0</x:v>
      </x:c>
      <x:c r="Y910" s="87" t="n">
        <x:f>T910*(W910*'01 Base Costs'!$B$7+X910)</x:f>
        <x:v>15080712191.999998</x:v>
      </x:c>
      <x:c r="Z910" s="87" t="n">
        <x:f>T910*'01 Base Costs'!$B$8</x:f>
        <x:v>26345476799.999996</x:v>
      </x:c>
      <x:c r="AA910" s="87" t="n">
        <x:f>Z910*'01 Base Costs'!$B$11</x:f>
        <x:v>1317273840</x:v>
      </x:c>
      <x:c r="AB910" s="87" t="n">
        <x:f>Z910-AA910</x:f>
        <x:v>25028202959.999996</x:v>
      </x:c>
      <x:c r="AC910" s="87" t="n">
        <x:f>O910+Y910</x:f>
        <x:v>24965262192</x:v>
      </x:c>
      <x:c r="AD910" s="87" t="n">
        <x:f>AB910-AC910</x:f>
        <x:v>62940767.999996185</x:v>
      </x:c>
      <x:c r="AE910" s="87" t="n">
        <x:f>AD910/D910</x:f>
        <x:v>20980255.99999873</x:v>
      </x:c>
      <x:c r="AF910" s="87" t="n">
        <x:f>AD910/P910</x:f>
        <x:v>6993418.666666243</x:v>
      </x:c>
      <x:c r="AG910" s="87" t="n">
        <x:f>IF(T910=0,0,AC910/T910/(1-'01 Base Costs'!$B$11))</x:f>
        <x:v>751006611.7969822</x:v>
      </x:c>
      <x:c r="AH910" s="88" t="str">
        <x:f>IF(AD910&gt;0,"PROFIT","LOSS")</x:f>
        <x:v>PROFIT</x:v>
      </x:c>
      <x:c r="AI910" s="89" t="str">
        <x:v>Bundle includes Omega + six MCT-months. 50-pack at 20% off.</x:v>
      </x:c>
    </x:row>
    <x:row r="911">
      <x:c r="A911" s="86" t="n">
        <x:v>909</x:v>
      </x:c>
      <x:c r="B911" s="88" t="str">
        <x:v>Omega+MCT 50% Bundle</x:v>
      </x:c>
      <x:c r="C911" s="88" t="str">
        <x:v>3M Omega + 6M MCT 50% bundle</x:v>
      </x:c>
      <x:c r="D911" s="88" t="n">
        <x:v>3</x:v>
      </x:c>
      <x:c r="E911" s="88" t="n">
        <x:v>3</x:v>
      </x:c>
      <x:c r="F911" s="88" t="str">
        <x:v>Included in Omega+MCT bundle</x:v>
      </x:c>
      <x:c r="G911" s="88" t="str">
        <x:v>Market Skill Extractor</x:v>
      </x:c>
      <x:c r="H911" s="87" t="n">
        <x:f>0</x:f>
        <x:v>0</x:v>
      </x:c>
      <x:c r="I911" s="87" t="n">
        <x:f>0</x:f>
        <x:v>0</x:v>
      </x:c>
      <x:c r="J911" s="87" t="n">
        <x:f>0</x:f>
        <x:v>0</x:v>
      </x:c>
      <x:c r="K911" s="87" t="n">
        <x:f>D911*(E911-1)*I911</x:f>
        <x:v>0</x:v>
      </x:c>
      <x:c r="L911" s="87" t="n">
        <x:f>D911*(E911-1)*J911</x:f>
        <x:v>0</x:v>
      </x:c>
      <x:c r="M911" s="87" t="n">
        <x:f>('01 Base Costs'!$B$22+6*'01 Base Costs'!$B$16)*0.5</x:f>
        <x:v>2055</x:v>
      </x:c>
      <x:c r="N911" s="87" t="n">
        <x:f>H911+K911+M911</x:f>
        <x:v>2055</x:v>
      </x:c>
      <x:c r="O911" s="87" t="n">
        <x:f>N911*'01 Base Costs'!$B$7+L911</x:f>
        <x:v>9884550000</x:v>
      </x:c>
      <x:c r="P911" s="87" t="n">
        <x:f>D911*E911</x:f>
        <x:v>9</x:v>
      </x:c>
      <x:c r="Q911" s="87" t="n">
        <x:f>P911*'01 Base Costs'!$B$12</x:f>
        <x:v>17496000</x:v>
      </x:c>
      <x:c r="R911" s="87" t="n">
        <x:f>0</x:f>
        <x:v>0</x:v>
      </x:c>
      <x:c r="S911" s="87" t="n">
        <x:f>Q911+R911</x:f>
        <x:v>17496000</x:v>
      </x:c>
      <x:c r="T911" s="141" t="n">
        <x:f>S911/'01 Base Costs'!$B$14</x:f>
        <x:v>34.992</x:v>
      </x:c>
      <x:c r="U911" s="87" t="n">
        <x:f>INT(T911)</x:f>
        <x:v>34</x:v>
      </x:c>
      <x:c r="V911" s="87" t="n">
        <x:f>S911-U911*'01 Base Costs'!$B$14</x:f>
        <x:v>496000</x:v>
      </x:c>
      <x:c r="W911" s="120" t="n">
        <x:f>0</x:f>
        <x:v>0</x:v>
      </x:c>
      <x:c r="X911" s="120" t="n">
        <x:f>'01 Base Costs'!$B$9</x:f>
        <x:v>463500000</x:v>
      </x:c>
      <x:c r="Y911" s="87" t="n">
        <x:f>T911*(W911*'01 Base Costs'!$B$7+X911)</x:f>
        <x:v>16218791999.999998</x:v>
      </x:c>
      <x:c r="Z911" s="87" t="n">
        <x:f>T911*'01 Base Costs'!$B$8</x:f>
        <x:v>26345476799.999996</x:v>
      </x:c>
      <x:c r="AA911" s="87" t="n">
        <x:f>Z911*'01 Base Costs'!$B$11</x:f>
        <x:v>1317273840</x:v>
      </x:c>
      <x:c r="AB911" s="87" t="n">
        <x:f>Z911-AA911</x:f>
        <x:v>25028202959.999996</x:v>
      </x:c>
      <x:c r="AC911" s="87" t="n">
        <x:f>O911+Y911</x:f>
        <x:v>26103342000</x:v>
      </x:c>
      <x:c r="AD911" s="87" t="n">
        <x:f>AB911-AC911</x:f>
        <x:v>-1075139040.0000038</x:v>
      </x:c>
      <x:c r="AE911" s="87" t="n">
        <x:f>AD911/D911</x:f>
        <x:v>-358379680.00000125</x:v>
      </x:c>
      <x:c r="AF911" s="87" t="n">
        <x:f>AD911/P911</x:f>
        <x:v>-119459893.33333376</x:v>
      </x:c>
      <x:c r="AG911" s="87" t="n">
        <x:f>IF(T911=0,0,AC911/T911/(1-'01 Base Costs'!$B$11))</x:f>
        <x:v>785242401.2706665</x:v>
      </x:c>
      <x:c r="AH911" s="88" t="str">
        <x:f>IF(AD911&gt;0,"PROFIT","LOSS")</x:f>
        <x:v>LOSS</x:v>
      </x:c>
      <x:c r="AI911" s="89" t="str">
        <x:v>Bundle includes Omega + six MCT-months. Extractor bought on market with ISK.</x:v>
      </x:c>
    </x:row>
    <x:row r="912">
      <x:c r="A912" s="86" t="n">
        <x:v>910</x:v>
      </x:c>
      <x:c r="B912" s="88" t="str">
        <x:v>Omega+MCT 50% Bundle</x:v>
      </x:c>
      <x:c r="C912" s="88" t="str">
        <x:v>6M Omega + 12M MCT 50% bundle</x:v>
      </x:c>
      <x:c r="D912" s="88" t="n">
        <x:v>6</x:v>
      </x:c>
      <x:c r="E912" s="88" t="n">
        <x:v>3</x:v>
      </x:c>
      <x:c r="F912" s="88" t="str">
        <x:v>Included in Omega+MCT bundle</x:v>
      </x:c>
      <x:c r="G912" s="88" t="str">
        <x:v>NES single extractor</x:v>
      </x:c>
      <x:c r="H912" s="87" t="n">
        <x:f>0</x:f>
        <x:v>0</x:v>
      </x:c>
      <x:c r="I912" s="87" t="n">
        <x:f>0</x:f>
        <x:v>0</x:v>
      </x:c>
      <x:c r="J912" s="87" t="n">
        <x:f>0</x:f>
        <x:v>0</x:v>
      </x:c>
      <x:c r="K912" s="87" t="n">
        <x:f>D912*(E912-1)*I912</x:f>
        <x:v>0</x:v>
      </x:c>
      <x:c r="L912" s="87" t="n">
        <x:f>D912*(E912-1)*J912</x:f>
        <x:v>0</x:v>
      </x:c>
      <x:c r="M912" s="87" t="n">
        <x:f>('01 Base Costs'!$B$23+12*'01 Base Costs'!$B$16)*0.5</x:f>
        <x:v>3960</x:v>
      </x:c>
      <x:c r="N912" s="87" t="n">
        <x:f>H912+K912+M912</x:f>
        <x:v>3960</x:v>
      </x:c>
      <x:c r="O912" s="87" t="n">
        <x:f>N912*'01 Base Costs'!$B$7+L912</x:f>
        <x:v>19047600000</x:v>
      </x:c>
      <x:c r="P912" s="87" t="n">
        <x:f>D912*E912</x:f>
        <x:v>18</x:v>
      </x:c>
      <x:c r="Q912" s="87" t="n">
        <x:f>P912*'01 Base Costs'!$B$12</x:f>
        <x:v>34992000</x:v>
      </x:c>
      <x:c r="R912" s="87" t="n">
        <x:f>0</x:f>
        <x:v>0</x:v>
      </x:c>
      <x:c r="S912" s="87" t="n">
        <x:f>Q912+R912</x:f>
        <x:v>34992000</x:v>
      </x:c>
      <x:c r="T912" s="141" t="n">
        <x:f>S912/'01 Base Costs'!$B$14</x:f>
        <x:v>69.984</x:v>
      </x:c>
      <x:c r="U912" s="87" t="n">
        <x:f>INT(T912)</x:f>
        <x:v>69</x:v>
      </x:c>
      <x:c r="V912" s="87" t="n">
        <x:f>S912-U912*'01 Base Costs'!$B$14</x:f>
        <x:v>492000</x:v>
      </x:c>
      <x:c r="W912" s="120" t="n">
        <x:f>'01 Base Costs'!$B$17</x:f>
        <x:v>140</x:v>
      </x:c>
      <x:c r="X912" s="120" t="n">
        <x:f>0</x:f>
        <x:v>0</x:v>
      </x:c>
      <x:c r="Y912" s="87" t="n">
        <x:f>T912*(W912*'01 Base Costs'!$B$7+X912)</x:f>
        <x:v>47127225600</x:v>
      </x:c>
      <x:c r="Z912" s="87" t="n">
        <x:f>T912*'01 Base Costs'!$B$8</x:f>
        <x:v>52690953599.99999</x:v>
      </x:c>
      <x:c r="AA912" s="87" t="n">
        <x:f>Z912*'01 Base Costs'!$B$11</x:f>
        <x:v>2634547680</x:v>
      </x:c>
      <x:c r="AB912" s="87" t="n">
        <x:f>Z912-AA912</x:f>
        <x:v>50056405919.99999</x:v>
      </x:c>
      <x:c r="AC912" s="87" t="n">
        <x:f>O912+Y912</x:f>
        <x:v>66174825600</x:v>
      </x:c>
      <x:c r="AD912" s="87" t="n">
        <x:f>AB912-AC912</x:f>
        <x:v>-16118419680.000008</x:v>
      </x:c>
      <x:c r="AE912" s="87" t="n">
        <x:f>AD912/D912</x:f>
        <x:v>-2686403280.0000014</x:v>
      </x:c>
      <x:c r="AF912" s="87" t="n">
        <x:f>AD912/P912</x:f>
        <x:v>-895467760.0000005</x:v>
      </x:c>
      <x:c r="AG912" s="87" t="n">
        <x:f>IF(T912=0,0,AC912/T912/(1-'01 Base Costs'!$B$11))</x:f>
        <x:v>995337665.1505308</x:v>
      </x:c>
      <x:c r="AH912" s="88" t="str">
        <x:f>IF(AD912&gt;0,"PROFIT","LOSS")</x:f>
        <x:v>LOSS</x:v>
      </x:c>
      <x:c r="AI912" s="89" t="str">
        <x:v>Bundle includes Omega + twelve MCT-months. Base single extractor.</x:v>
      </x:c>
    </x:row>
    <x:row r="913">
      <x:c r="A913" s="86" t="n">
        <x:v>911</x:v>
      </x:c>
      <x:c r="B913" s="88" t="str">
        <x:v>Omega+MCT 50% Bundle</x:v>
      </x:c>
      <x:c r="C913" s="88" t="str">
        <x:v>6M Omega + 12M MCT 50% bundle</x:v>
      </x:c>
      <x:c r="D913" s="88" t="n">
        <x:v>6</x:v>
      </x:c>
      <x:c r="E913" s="88" t="n">
        <x:v>3</x:v>
      </x:c>
      <x:c r="F913" s="88" t="str">
        <x:v>Included in Omega+MCT bundle</x:v>
      </x:c>
      <x:c r="G913" s="88" t="str">
        <x:v>NES 5-pack extractor</x:v>
      </x:c>
      <x:c r="H913" s="87" t="n">
        <x:f>0</x:f>
        <x:v>0</x:v>
      </x:c>
      <x:c r="I913" s="87" t="n">
        <x:f>0</x:f>
        <x:v>0</x:v>
      </x:c>
      <x:c r="J913" s="87" t="n">
        <x:f>0</x:f>
        <x:v>0</x:v>
      </x:c>
      <x:c r="K913" s="87" t="n">
        <x:f>D913*(E913-1)*I913</x:f>
        <x:v>0</x:v>
      </x:c>
      <x:c r="L913" s="87" t="n">
        <x:f>D913*(E913-1)*J913</x:f>
        <x:v>0</x:v>
      </x:c>
      <x:c r="M913" s="87" t="n">
        <x:f>('01 Base Costs'!$B$23+12*'01 Base Costs'!$B$16)*0.5</x:f>
        <x:v>3960</x:v>
      </x:c>
      <x:c r="N913" s="87" t="n">
        <x:f>H913+K913+M913</x:f>
        <x:v>3960</x:v>
      </x:c>
      <x:c r="O913" s="87" t="n">
        <x:f>N913*'01 Base Costs'!$B$7+L913</x:f>
        <x:v>19047600000</x:v>
      </x:c>
      <x:c r="P913" s="87" t="n">
        <x:f>D913*E913</x:f>
        <x:v>18</x:v>
      </x:c>
      <x:c r="Q913" s="87" t="n">
        <x:f>P913*'01 Base Costs'!$B$12</x:f>
        <x:v>34992000</x:v>
      </x:c>
      <x:c r="R913" s="87" t="n">
        <x:f>0</x:f>
        <x:v>0</x:v>
      </x:c>
      <x:c r="S913" s="87" t="n">
        <x:f>Q913+R913</x:f>
        <x:v>34992000</x:v>
      </x:c>
      <x:c r="T913" s="141" t="n">
        <x:f>S913/'01 Base Costs'!$B$14</x:f>
        <x:v>69.984</x:v>
      </x:c>
      <x:c r="U913" s="87" t="n">
        <x:f>INT(T913)</x:f>
        <x:v>69</x:v>
      </x:c>
      <x:c r="V913" s="87" t="n">
        <x:f>S913-U913*'01 Base Costs'!$B$14</x:f>
        <x:v>492000</x:v>
      </x:c>
      <x:c r="W913" s="120" t="n">
        <x:f>'01 Base Costs'!$B$18/5</x:f>
        <x:v>126</x:v>
      </x:c>
      <x:c r="X913" s="120" t="n">
        <x:f>0</x:f>
        <x:v>0</x:v>
      </x:c>
      <x:c r="Y913" s="87" t="n">
        <x:f>T913*(W913*'01 Base Costs'!$B$7+X913)</x:f>
        <x:v>42414503040</x:v>
      </x:c>
      <x:c r="Z913" s="87" t="n">
        <x:f>T913*'01 Base Costs'!$B$8</x:f>
        <x:v>52690953599.99999</x:v>
      </x:c>
      <x:c r="AA913" s="87" t="n">
        <x:f>Z913*'01 Base Costs'!$B$11</x:f>
        <x:v>2634547680</x:v>
      </x:c>
      <x:c r="AB913" s="87" t="n">
        <x:f>Z913-AA913</x:f>
        <x:v>50056405919.99999</x:v>
      </x:c>
      <x:c r="AC913" s="87" t="n">
        <x:f>O913+Y913</x:f>
        <x:v>61462103040</x:v>
      </x:c>
      <x:c r="AD913" s="87" t="n">
        <x:f>AB913-AC913</x:f>
        <x:v>-11405697120.000008</x:v>
      </x:c>
      <x:c r="AE913" s="87" t="n">
        <x:f>AD913/D913</x:f>
        <x:v>-1900949520.0000012</x:v>
      </x:c>
      <x:c r="AF913" s="87" t="n">
        <x:f>AD913/P913</x:f>
        <x:v>-633649840.0000005</x:v>
      </x:c>
      <x:c r="AG913" s="87" t="n">
        <x:f>IF(T913=0,0,AC913/T913/(1-'01 Base Costs'!$B$11))</x:f>
        <x:v>924453454.624215</x:v>
      </x:c>
      <x:c r="AH913" s="88" t="str">
        <x:f>IF(AD913&gt;0,"PROFIT","LOSS")</x:f>
        <x:v>LOSS</x:v>
      </x:c>
      <x:c r="AI913" s="89" t="str">
        <x:v>Bundle includes Omega + twelve MCT-months. Base 5-pack average.</x:v>
      </x:c>
    </x:row>
    <x:row r="914">
      <x:c r="A914" s="86" t="n">
        <x:v>912</x:v>
      </x:c>
      <x:c r="B914" s="88" t="str">
        <x:v>Omega+MCT 50% Bundle</x:v>
      </x:c>
      <x:c r="C914" s="88" t="str">
        <x:v>6M Omega + 12M MCT 50% bundle</x:v>
      </x:c>
      <x:c r="D914" s="88" t="n">
        <x:v>6</x:v>
      </x:c>
      <x:c r="E914" s="88" t="n">
        <x:v>3</x:v>
      </x:c>
      <x:c r="F914" s="88" t="str">
        <x:v>Included in Omega+MCT bundle</x:v>
      </x:c>
      <x:c r="G914" s="88" t="str">
        <x:v>NES 10-pack extractor</x:v>
      </x:c>
      <x:c r="H914" s="87" t="n">
        <x:f>0</x:f>
        <x:v>0</x:v>
      </x:c>
      <x:c r="I914" s="87" t="n">
        <x:f>0</x:f>
        <x:v>0</x:v>
      </x:c>
      <x:c r="J914" s="87" t="n">
        <x:f>0</x:f>
        <x:v>0</x:v>
      </x:c>
      <x:c r="K914" s="87" t="n">
        <x:f>D914*(E914-1)*I914</x:f>
        <x:v>0</x:v>
      </x:c>
      <x:c r="L914" s="87" t="n">
        <x:f>D914*(E914-1)*J914</x:f>
        <x:v>0</x:v>
      </x:c>
      <x:c r="M914" s="87" t="n">
        <x:f>('01 Base Costs'!$B$23+12*'01 Base Costs'!$B$16)*0.5</x:f>
        <x:v>3960</x:v>
      </x:c>
      <x:c r="N914" s="87" t="n">
        <x:f>H914+K914+M914</x:f>
        <x:v>3960</x:v>
      </x:c>
      <x:c r="O914" s="87" t="n">
        <x:f>N914*'01 Base Costs'!$B$7+L914</x:f>
        <x:v>19047600000</x:v>
      </x:c>
      <x:c r="P914" s="87" t="n">
        <x:f>D914*E914</x:f>
        <x:v>18</x:v>
      </x:c>
      <x:c r="Q914" s="87" t="n">
        <x:f>P914*'01 Base Costs'!$B$12</x:f>
        <x:v>34992000</x:v>
      </x:c>
      <x:c r="R914" s="87" t="n">
        <x:f>0</x:f>
        <x:v>0</x:v>
      </x:c>
      <x:c r="S914" s="87" t="n">
        <x:f>Q914+R914</x:f>
        <x:v>34992000</x:v>
      </x:c>
      <x:c r="T914" s="141" t="n">
        <x:f>S914/'01 Base Costs'!$B$14</x:f>
        <x:v>69.984</x:v>
      </x:c>
      <x:c r="U914" s="87" t="n">
        <x:f>INT(T914)</x:f>
        <x:v>69</x:v>
      </x:c>
      <x:c r="V914" s="87" t="n">
        <x:f>S914-U914*'01 Base Costs'!$B$14</x:f>
        <x:v>492000</x:v>
      </x:c>
      <x:c r="W914" s="120" t="n">
        <x:f>'01 Base Costs'!$B$19/10</x:f>
        <x:v>119</x:v>
      </x:c>
      <x:c r="X914" s="120" t="n">
        <x:f>0</x:f>
        <x:v>0</x:v>
      </x:c>
      <x:c r="Y914" s="87" t="n">
        <x:f>T914*(W914*'01 Base Costs'!$B$7+X914)</x:f>
        <x:v>40058141760</x:v>
      </x:c>
      <x:c r="Z914" s="87" t="n">
        <x:f>T914*'01 Base Costs'!$B$8</x:f>
        <x:v>52690953599.99999</x:v>
      </x:c>
      <x:c r="AA914" s="87" t="n">
        <x:f>Z914*'01 Base Costs'!$B$11</x:f>
        <x:v>2634547680</x:v>
      </x:c>
      <x:c r="AB914" s="87" t="n">
        <x:f>Z914-AA914</x:f>
        <x:v>50056405919.99999</x:v>
      </x:c>
      <x:c r="AC914" s="87" t="n">
        <x:f>O914+Y914</x:f>
        <x:v>59105741760</x:v>
      </x:c>
      <x:c r="AD914" s="87" t="n">
        <x:f>AB914-AC914</x:f>
        <x:v>-9049335840.000008</x:v>
      </x:c>
      <x:c r="AE914" s="87" t="n">
        <x:f>AD914/D914</x:f>
        <x:v>-1508222640.0000012</x:v>
      </x:c>
      <x:c r="AF914" s="87" t="n">
        <x:f>AD914/P914</x:f>
        <x:v>-502740880.0000004</x:v>
      </x:c>
      <x:c r="AG914" s="87" t="n">
        <x:f>IF(T914=0,0,AC914/T914/(1-'01 Base Costs'!$B$11))</x:f>
        <x:v>889011349.361057</x:v>
      </x:c>
      <x:c r="AH914" s="88" t="str">
        <x:f>IF(AD914&gt;0,"PROFIT","LOSS")</x:f>
        <x:v>LOSS</x:v>
      </x:c>
      <x:c r="AI914" s="89" t="str">
        <x:v>Bundle includes Omega + twelve MCT-months. Base 10-pack average.</x:v>
      </x:c>
    </x:row>
    <x:row r="915">
      <x:c r="A915" s="86" t="n">
        <x:v>913</x:v>
      </x:c>
      <x:c r="B915" s="88" t="str">
        <x:v>Omega+MCT 50% Bundle</x:v>
      </x:c>
      <x:c r="C915" s="88" t="str">
        <x:v>6M Omega + 12M MCT 50% bundle</x:v>
      </x:c>
      <x:c r="D915" s="88" t="n">
        <x:v>6</x:v>
      </x:c>
      <x:c r="E915" s="88" t="n">
        <x:v>3</x:v>
      </x:c>
      <x:c r="F915" s="88" t="str">
        <x:v>Included in Omega+MCT bundle</x:v>
      </x:c>
      <x:c r="G915" s="88" t="str">
        <x:v>NES 50-pack extractor</x:v>
      </x:c>
      <x:c r="H915" s="87" t="n">
        <x:f>0</x:f>
        <x:v>0</x:v>
      </x:c>
      <x:c r="I915" s="87" t="n">
        <x:f>0</x:f>
        <x:v>0</x:v>
      </x:c>
      <x:c r="J915" s="87" t="n">
        <x:f>0</x:f>
        <x:v>0</x:v>
      </x:c>
      <x:c r="K915" s="87" t="n">
        <x:f>D915*(E915-1)*I915</x:f>
        <x:v>0</x:v>
      </x:c>
      <x:c r="L915" s="87" t="n">
        <x:f>D915*(E915-1)*J915</x:f>
        <x:v>0</x:v>
      </x:c>
      <x:c r="M915" s="87" t="n">
        <x:f>('01 Base Costs'!$B$23+12*'01 Base Costs'!$B$16)*0.5</x:f>
        <x:v>3960</x:v>
      </x:c>
      <x:c r="N915" s="87" t="n">
        <x:f>H915+K915+M915</x:f>
        <x:v>3960</x:v>
      </x:c>
      <x:c r="O915" s="87" t="n">
        <x:f>N915*'01 Base Costs'!$B$7+L915</x:f>
        <x:v>19047600000</x:v>
      </x:c>
      <x:c r="P915" s="87" t="n">
        <x:f>D915*E915</x:f>
        <x:v>18</x:v>
      </x:c>
      <x:c r="Q915" s="87" t="n">
        <x:f>P915*'01 Base Costs'!$B$12</x:f>
        <x:v>34992000</x:v>
      </x:c>
      <x:c r="R915" s="87" t="n">
        <x:f>0</x:f>
        <x:v>0</x:v>
      </x:c>
      <x:c r="S915" s="87" t="n">
        <x:f>Q915+R915</x:f>
        <x:v>34992000</x:v>
      </x:c>
      <x:c r="T915" s="141" t="n">
        <x:f>S915/'01 Base Costs'!$B$14</x:f>
        <x:v>69.984</x:v>
      </x:c>
      <x:c r="U915" s="87" t="n">
        <x:f>INT(T915)</x:f>
        <x:v>69</x:v>
      </x:c>
      <x:c r="V915" s="87" t="n">
        <x:f>S915-U915*'01 Base Costs'!$B$14</x:f>
        <x:v>492000</x:v>
      </x:c>
      <x:c r="W915" s="120" t="n">
        <x:f>'01 Base Costs'!$B$20/50</x:f>
        <x:v>112</x:v>
      </x:c>
      <x:c r="X915" s="120" t="n">
        <x:f>0</x:f>
        <x:v>0</x:v>
      </x:c>
      <x:c r="Y915" s="87" t="n">
        <x:f>T915*(W915*'01 Base Costs'!$B$7+X915)</x:f>
        <x:v>37701780480</x:v>
      </x:c>
      <x:c r="Z915" s="87" t="n">
        <x:f>T915*'01 Base Costs'!$B$8</x:f>
        <x:v>52690953599.99999</x:v>
      </x:c>
      <x:c r="AA915" s="87" t="n">
        <x:f>Z915*'01 Base Costs'!$B$11</x:f>
        <x:v>2634547680</x:v>
      </x:c>
      <x:c r="AB915" s="87" t="n">
        <x:f>Z915-AA915</x:f>
        <x:v>50056405919.99999</x:v>
      </x:c>
      <x:c r="AC915" s="87" t="n">
        <x:f>O915+Y915</x:f>
        <x:v>56749380480</x:v>
      </x:c>
      <x:c r="AD915" s="87" t="n">
        <x:f>AB915-AC915</x:f>
        <x:v>-6692974560.000008</x:v>
      </x:c>
      <x:c r="AE915" s="87" t="n">
        <x:f>AD915/D915</x:f>
        <x:v>-1115495760.0000012</x:v>
      </x:c>
      <x:c r="AF915" s="87" t="n">
        <x:f>AD915/P915</x:f>
        <x:v>-371831920.0000004</x:v>
      </x:c>
      <x:c r="AG915" s="87" t="n">
        <x:f>IF(T915=0,0,AC915/T915/(1-'01 Base Costs'!$B$11))</x:f>
        <x:v>853569244.0978992</x:v>
      </x:c>
      <x:c r="AH915" s="88" t="str">
        <x:f>IF(AD915&gt;0,"PROFIT","LOSS")</x:f>
        <x:v>LOSS</x:v>
      </x:c>
      <x:c r="AI915" s="89" t="str">
        <x:v>Bundle includes Omega + twelve MCT-months. Base 50-pack average.</x:v>
      </x:c>
    </x:row>
    <x:row r="916">
      <x:c r="A916" s="86" t="n">
        <x:v>914</x:v>
      </x:c>
      <x:c r="B916" s="88" t="str">
        <x:v>Omega+MCT 50% Bundle</x:v>
      </x:c>
      <x:c r="C916" s="88" t="str">
        <x:v>6M Omega + 12M MCT 50% bundle</x:v>
      </x:c>
      <x:c r="D916" s="88" t="n">
        <x:v>6</x:v>
      </x:c>
      <x:c r="E916" s="88" t="n">
        <x:v>3</x:v>
      </x:c>
      <x:c r="F916" s="88" t="str">
        <x:v>Included in Omega+MCT bundle</x:v>
      </x:c>
      <x:c r="G916" s="88" t="str">
        <x:v>NES 3-for-2 extractor sale</x:v>
      </x:c>
      <x:c r="H916" s="87" t="n">
        <x:f>0</x:f>
        <x:v>0</x:v>
      </x:c>
      <x:c r="I916" s="87" t="n">
        <x:f>0</x:f>
        <x:v>0</x:v>
      </x:c>
      <x:c r="J916" s="87" t="n">
        <x:f>0</x:f>
        <x:v>0</x:v>
      </x:c>
      <x:c r="K916" s="87" t="n">
        <x:f>D916*(E916-1)*I916</x:f>
        <x:v>0</x:v>
      </x:c>
      <x:c r="L916" s="87" t="n">
        <x:f>D916*(E916-1)*J916</x:f>
        <x:v>0</x:v>
      </x:c>
      <x:c r="M916" s="87" t="n">
        <x:f>('01 Base Costs'!$B$23+12*'01 Base Costs'!$B$16)*0.5</x:f>
        <x:v>3960</x:v>
      </x:c>
      <x:c r="N916" s="87" t="n">
        <x:f>H916+K916+M916</x:f>
        <x:v>3960</x:v>
      </x:c>
      <x:c r="O916" s="87" t="n">
        <x:f>N916*'01 Base Costs'!$B$7+L916</x:f>
        <x:v>19047600000</x:v>
      </x:c>
      <x:c r="P916" s="87" t="n">
        <x:f>D916*E916</x:f>
        <x:v>18</x:v>
      </x:c>
      <x:c r="Q916" s="87" t="n">
        <x:f>P916*'01 Base Costs'!$B$12</x:f>
        <x:v>34992000</x:v>
      </x:c>
      <x:c r="R916" s="87" t="n">
        <x:f>0</x:f>
        <x:v>0</x:v>
      </x:c>
      <x:c r="S916" s="87" t="n">
        <x:f>Q916+R916</x:f>
        <x:v>34992000</x:v>
      </x:c>
      <x:c r="T916" s="141" t="n">
        <x:f>S916/'01 Base Costs'!$B$14</x:f>
        <x:v>69.984</x:v>
      </x:c>
      <x:c r="U916" s="87" t="n">
        <x:f>INT(T916)</x:f>
        <x:v>69</x:v>
      </x:c>
      <x:c r="V916" s="87" t="n">
        <x:f>S916-U916*'01 Base Costs'!$B$14</x:f>
        <x:v>492000</x:v>
      </x:c>
      <x:c r="W916" s="120" t="n">
        <x:f>'01 Base Costs'!$B$17*2/3</x:f>
        <x:v>93.33333333333333</x:v>
      </x:c>
      <x:c r="X916" s="120" t="n">
        <x:f>0</x:f>
        <x:v>0</x:v>
      </x:c>
      <x:c r="Y916" s="87" t="n">
        <x:f>T916*(W916*'01 Base Costs'!$B$7+X916)</x:f>
        <x:v>31418150399.999996</x:v>
      </x:c>
      <x:c r="Z916" s="87" t="n">
        <x:f>T916*'01 Base Costs'!$B$8</x:f>
        <x:v>52690953599.99999</x:v>
      </x:c>
      <x:c r="AA916" s="87" t="n">
        <x:f>Z916*'01 Base Costs'!$B$11</x:f>
        <x:v>2634547680</x:v>
      </x:c>
      <x:c r="AB916" s="87" t="n">
        <x:f>Z916-AA916</x:f>
        <x:v>50056405919.99999</x:v>
      </x:c>
      <x:c r="AC916" s="87" t="n">
        <x:f>O916+Y916</x:f>
        <x:v>50465750400</x:v>
      </x:c>
      <x:c r="AD916" s="87" t="n">
        <x:f>AB916-AC916</x:f>
        <x:v>-409344480.0000076</x:v>
      </x:c>
      <x:c r="AE916" s="87" t="n">
        <x:f>AD916/D916</x:f>
        <x:v>-68224080.00000127</x:v>
      </x:c>
      <x:c r="AF916" s="87" t="n">
        <x:f>AD916/P916</x:f>
        <x:v>-22741360.000000425</x:v>
      </x:c>
      <x:c r="AG916" s="87" t="n">
        <x:f>IF(T916=0,0,AC916/T916/(1-'01 Base Costs'!$B$11))</x:f>
        <x:v>759056963.3961449</x:v>
      </x:c>
      <x:c r="AH916" s="88" t="str">
        <x:f>IF(AD916&gt;0,"PROFIT","LOSS")</x:f>
        <x:v>LOSS</x:v>
      </x:c>
      <x:c r="AI916" s="89" t="str">
        <x:v>Bundle includes Omega + twelve MCT-months. Extractor 3-for-2 sale.</x:v>
      </x:c>
    </x:row>
    <x:row r="917">
      <x:c r="A917" s="86" t="n">
        <x:v>915</x:v>
      </x:c>
      <x:c r="B917" s="88" t="str">
        <x:v>Omega+MCT 50% Bundle</x:v>
      </x:c>
      <x:c r="C917" s="88" t="str">
        <x:v>6M Omega + 12M MCT 50% bundle</x:v>
      </x:c>
      <x:c r="D917" s="88" t="n">
        <x:v>6</x:v>
      </x:c>
      <x:c r="E917" s="88" t="n">
        <x:v>3</x:v>
      </x:c>
      <x:c r="F917" s="88" t="str">
        <x:v>Included in Omega+MCT bundle</x:v>
      </x:c>
      <x:c r="G917" s="88" t="str">
        <x:v>NES 2-for-1 extractor sale</x:v>
      </x:c>
      <x:c r="H917" s="87" t="n">
        <x:f>0</x:f>
        <x:v>0</x:v>
      </x:c>
      <x:c r="I917" s="87" t="n">
        <x:f>0</x:f>
        <x:v>0</x:v>
      </x:c>
      <x:c r="J917" s="87" t="n">
        <x:f>0</x:f>
        <x:v>0</x:v>
      </x:c>
      <x:c r="K917" s="87" t="n">
        <x:f>D917*(E917-1)*I917</x:f>
        <x:v>0</x:v>
      </x:c>
      <x:c r="L917" s="87" t="n">
        <x:f>D917*(E917-1)*J917</x:f>
        <x:v>0</x:v>
      </x:c>
      <x:c r="M917" s="87" t="n">
        <x:f>('01 Base Costs'!$B$23+12*'01 Base Costs'!$B$16)*0.5</x:f>
        <x:v>3960</x:v>
      </x:c>
      <x:c r="N917" s="87" t="n">
        <x:f>H917+K917+M917</x:f>
        <x:v>3960</x:v>
      </x:c>
      <x:c r="O917" s="87" t="n">
        <x:f>N917*'01 Base Costs'!$B$7+L917</x:f>
        <x:v>19047600000</x:v>
      </x:c>
      <x:c r="P917" s="87" t="n">
        <x:f>D917*E917</x:f>
        <x:v>18</x:v>
      </x:c>
      <x:c r="Q917" s="87" t="n">
        <x:f>P917*'01 Base Costs'!$B$12</x:f>
        <x:v>34992000</x:v>
      </x:c>
      <x:c r="R917" s="87" t="n">
        <x:f>0</x:f>
        <x:v>0</x:v>
      </x:c>
      <x:c r="S917" s="87" t="n">
        <x:f>Q917+R917</x:f>
        <x:v>34992000</x:v>
      </x:c>
      <x:c r="T917" s="141" t="n">
        <x:f>S917/'01 Base Costs'!$B$14</x:f>
        <x:v>69.984</x:v>
      </x:c>
      <x:c r="U917" s="87" t="n">
        <x:f>INT(T917)</x:f>
        <x:v>69</x:v>
      </x:c>
      <x:c r="V917" s="87" t="n">
        <x:f>S917-U917*'01 Base Costs'!$B$14</x:f>
        <x:v>492000</x:v>
      </x:c>
      <x:c r="W917" s="120" t="n">
        <x:f>'01 Base Costs'!$B$17/2</x:f>
        <x:v>70</x:v>
      </x:c>
      <x:c r="X917" s="120" t="n">
        <x:f>0</x:f>
        <x:v>0</x:v>
      </x:c>
      <x:c r="Y917" s="87" t="n">
        <x:f>T917*(W917*'01 Base Costs'!$B$7+X917)</x:f>
        <x:v>23563612800</x:v>
      </x:c>
      <x:c r="Z917" s="87" t="n">
        <x:f>T917*'01 Base Costs'!$B$8</x:f>
        <x:v>52690953599.99999</x:v>
      </x:c>
      <x:c r="AA917" s="87" t="n">
        <x:f>Z917*'01 Base Costs'!$B$11</x:f>
        <x:v>2634547680</x:v>
      </x:c>
      <x:c r="AB917" s="87" t="n">
        <x:f>Z917-AA917</x:f>
        <x:v>50056405919.99999</x:v>
      </x:c>
      <x:c r="AC917" s="87" t="n">
        <x:f>O917+Y917</x:f>
        <x:v>42611212800</x:v>
      </x:c>
      <x:c r="AD917" s="87" t="n">
        <x:f>AB917-AC917</x:f>
        <x:v>7445193119.999992</x:v>
      </x:c>
      <x:c r="AE917" s="87" t="n">
        <x:f>AD917/D917</x:f>
        <x:v>1240865519.9999988</x:v>
      </x:c>
      <x:c r="AF917" s="87" t="n">
        <x:f>AD917/P917</x:f>
        <x:v>413621839.9999996</x:v>
      </x:c>
      <x:c r="AG917" s="87" t="n">
        <x:f>IF(T917=0,0,AC917/T917/(1-'01 Base Costs'!$B$11))</x:f>
        <x:v>640916612.5189518</x:v>
      </x:c>
      <x:c r="AH917" s="88" t="str">
        <x:f>IF(AD917&gt;0,"PROFIT","LOSS")</x:f>
        <x:v>PROFIT</x:v>
      </x:c>
      <x:c r="AI917" s="89" t="str">
        <x:v>Bundle includes Omega + twelve MCT-months. Extractor 2-for-1 sale.</x:v>
      </x:c>
    </x:row>
    <x:row r="918">
      <x:c r="A918" s="86" t="n">
        <x:v>916</x:v>
      </x:c>
      <x:c r="B918" s="88" t="str">
        <x:v>Omega+MCT 50% Bundle</x:v>
      </x:c>
      <x:c r="C918" s="88" t="str">
        <x:v>6M Omega + 12M MCT 50% bundle</x:v>
      </x:c>
      <x:c r="D918" s="88" t="n">
        <x:v>6</x:v>
      </x:c>
      <x:c r="E918" s="88" t="n">
        <x:v>3</x:v>
      </x:c>
      <x:c r="F918" s="88" t="str">
        <x:v>Included in Omega+MCT bundle</x:v>
      </x:c>
      <x:c r="G918" s="88" t="str">
        <x:v>NES 10-pack extractor 20% sale</x:v>
      </x:c>
      <x:c r="H918" s="87" t="n">
        <x:f>0</x:f>
        <x:v>0</x:v>
      </x:c>
      <x:c r="I918" s="87" t="n">
        <x:f>0</x:f>
        <x:v>0</x:v>
      </x:c>
      <x:c r="J918" s="87" t="n">
        <x:f>0</x:f>
        <x:v>0</x:v>
      </x:c>
      <x:c r="K918" s="87" t="n">
        <x:f>D918*(E918-1)*I918</x:f>
        <x:v>0</x:v>
      </x:c>
      <x:c r="L918" s="87" t="n">
        <x:f>D918*(E918-1)*J918</x:f>
        <x:v>0</x:v>
      </x:c>
      <x:c r="M918" s="87" t="n">
        <x:f>('01 Base Costs'!$B$23+12*'01 Base Costs'!$B$16)*0.5</x:f>
        <x:v>3960</x:v>
      </x:c>
      <x:c r="N918" s="87" t="n">
        <x:f>H918+K918+M918</x:f>
        <x:v>3960</x:v>
      </x:c>
      <x:c r="O918" s="87" t="n">
        <x:f>N918*'01 Base Costs'!$B$7+L918</x:f>
        <x:v>19047600000</x:v>
      </x:c>
      <x:c r="P918" s="87" t="n">
        <x:f>D918*E918</x:f>
        <x:v>18</x:v>
      </x:c>
      <x:c r="Q918" s="87" t="n">
        <x:f>P918*'01 Base Costs'!$B$12</x:f>
        <x:v>34992000</x:v>
      </x:c>
      <x:c r="R918" s="87" t="n">
        <x:f>0</x:f>
        <x:v>0</x:v>
      </x:c>
      <x:c r="S918" s="87" t="n">
        <x:f>Q918+R918</x:f>
        <x:v>34992000</x:v>
      </x:c>
      <x:c r="T918" s="141" t="n">
        <x:f>S918/'01 Base Costs'!$B$14</x:f>
        <x:v>69.984</x:v>
      </x:c>
      <x:c r="U918" s="87" t="n">
        <x:f>INT(T918)</x:f>
        <x:v>69</x:v>
      </x:c>
      <x:c r="V918" s="87" t="n">
        <x:f>S918-U918*'01 Base Costs'!$B$14</x:f>
        <x:v>492000</x:v>
      </x:c>
      <x:c r="W918" s="120" t="n">
        <x:f>'01 Base Costs'!$B$19*0.8/10</x:f>
        <x:v>95.2</x:v>
      </x:c>
      <x:c r="X918" s="120" t="n">
        <x:f>0</x:f>
        <x:v>0</x:v>
      </x:c>
      <x:c r="Y918" s="87" t="n">
        <x:f>T918*(W918*'01 Base Costs'!$B$7+X918)</x:f>
        <x:v>32046513407.999996</x:v>
      </x:c>
      <x:c r="Z918" s="87" t="n">
        <x:f>T918*'01 Base Costs'!$B$8</x:f>
        <x:v>52690953599.99999</x:v>
      </x:c>
      <x:c r="AA918" s="87" t="n">
        <x:f>Z918*'01 Base Costs'!$B$11</x:f>
        <x:v>2634547680</x:v>
      </x:c>
      <x:c r="AB918" s="87" t="n">
        <x:f>Z918-AA918</x:f>
        <x:v>50056405919.99999</x:v>
      </x:c>
      <x:c r="AC918" s="87" t="n">
        <x:f>O918+Y918</x:f>
        <x:v>51094113408</x:v>
      </x:c>
      <x:c r="AD918" s="87" t="n">
        <x:f>AB918-AC918</x:f>
        <x:v>-1037707488.0000076</x:v>
      </x:c>
      <x:c r="AE918" s="87" t="n">
        <x:f>AD918/D918</x:f>
        <x:v>-172951248.00000128</x:v>
      </x:c>
      <x:c r="AF918" s="87" t="n">
        <x:f>AD918/P918</x:f>
        <x:v>-57650416.000000425</x:v>
      </x:c>
      <x:c r="AG918" s="87" t="n">
        <x:f>IF(T918=0,0,AC918/T918/(1-'01 Base Costs'!$B$11))</x:f>
        <x:v>768508191.4663203</x:v>
      </x:c>
      <x:c r="AH918" s="88" t="str">
        <x:f>IF(AD918&gt;0,"PROFIT","LOSS")</x:f>
        <x:v>LOSS</x:v>
      </x:c>
      <x:c r="AI918" s="89" t="str">
        <x:v>Bundle includes Omega + twelve MCT-months. 10-pack at 20% off.</x:v>
      </x:c>
    </x:row>
    <x:row r="919">
      <x:c r="A919" s="86" t="n">
        <x:v>917</x:v>
      </x:c>
      <x:c r="B919" s="88" t="str">
        <x:v>Omega+MCT 50% Bundle</x:v>
      </x:c>
      <x:c r="C919" s="88" t="str">
        <x:v>6M Omega + 12M MCT 50% bundle</x:v>
      </x:c>
      <x:c r="D919" s="88" t="n">
        <x:v>6</x:v>
      </x:c>
      <x:c r="E919" s="88" t="n">
        <x:v>3</x:v>
      </x:c>
      <x:c r="F919" s="88" t="str">
        <x:v>Included in Omega+MCT bundle</x:v>
      </x:c>
      <x:c r="G919" s="88" t="str">
        <x:v>NES 50-pack extractor 20% sale</x:v>
      </x:c>
      <x:c r="H919" s="87" t="n">
        <x:f>0</x:f>
        <x:v>0</x:v>
      </x:c>
      <x:c r="I919" s="87" t="n">
        <x:f>0</x:f>
        <x:v>0</x:v>
      </x:c>
      <x:c r="J919" s="87" t="n">
        <x:f>0</x:f>
        <x:v>0</x:v>
      </x:c>
      <x:c r="K919" s="87" t="n">
        <x:f>D919*(E919-1)*I919</x:f>
        <x:v>0</x:v>
      </x:c>
      <x:c r="L919" s="87" t="n">
        <x:f>D919*(E919-1)*J919</x:f>
        <x:v>0</x:v>
      </x:c>
      <x:c r="M919" s="87" t="n">
        <x:f>('01 Base Costs'!$B$23+12*'01 Base Costs'!$B$16)*0.5</x:f>
        <x:v>3960</x:v>
      </x:c>
      <x:c r="N919" s="87" t="n">
        <x:f>H919+K919+M919</x:f>
        <x:v>3960</x:v>
      </x:c>
      <x:c r="O919" s="87" t="n">
        <x:f>N919*'01 Base Costs'!$B$7+L919</x:f>
        <x:v>19047600000</x:v>
      </x:c>
      <x:c r="P919" s="87" t="n">
        <x:f>D919*E919</x:f>
        <x:v>18</x:v>
      </x:c>
      <x:c r="Q919" s="87" t="n">
        <x:f>P919*'01 Base Costs'!$B$12</x:f>
        <x:v>34992000</x:v>
      </x:c>
      <x:c r="R919" s="87" t="n">
        <x:f>0</x:f>
        <x:v>0</x:v>
      </x:c>
      <x:c r="S919" s="87" t="n">
        <x:f>Q919+R919</x:f>
        <x:v>34992000</x:v>
      </x:c>
      <x:c r="T919" s="141" t="n">
        <x:f>S919/'01 Base Costs'!$B$14</x:f>
        <x:v>69.984</x:v>
      </x:c>
      <x:c r="U919" s="87" t="n">
        <x:f>INT(T919)</x:f>
        <x:v>69</x:v>
      </x:c>
      <x:c r="V919" s="87" t="n">
        <x:f>S919-U919*'01 Base Costs'!$B$14</x:f>
        <x:v>492000</x:v>
      </x:c>
      <x:c r="W919" s="120" t="n">
        <x:f>'01 Base Costs'!$B$20*0.8/50</x:f>
        <x:v>89.6</x:v>
      </x:c>
      <x:c r="X919" s="120" t="n">
        <x:f>0</x:f>
        <x:v>0</x:v>
      </x:c>
      <x:c r="Y919" s="87" t="n">
        <x:f>T919*(W919*'01 Base Costs'!$B$7+X919)</x:f>
        <x:v>30161424383.999996</x:v>
      </x:c>
      <x:c r="Z919" s="87" t="n">
        <x:f>T919*'01 Base Costs'!$B$8</x:f>
        <x:v>52690953599.99999</x:v>
      </x:c>
      <x:c r="AA919" s="87" t="n">
        <x:f>Z919*'01 Base Costs'!$B$11</x:f>
        <x:v>2634547680</x:v>
      </x:c>
      <x:c r="AB919" s="87" t="n">
        <x:f>Z919-AA919</x:f>
        <x:v>50056405919.99999</x:v>
      </x:c>
      <x:c r="AC919" s="87" t="n">
        <x:f>O919+Y919</x:f>
        <x:v>49209024384</x:v>
      </x:c>
      <x:c r="AD919" s="87" t="n">
        <x:f>AB919-AC919</x:f>
        <x:v>847381535.9999924</x:v>
      </x:c>
      <x:c r="AE919" s="87" t="n">
        <x:f>AD919/D919</x:f>
        <x:v>141230255.99999872</x:v>
      </x:c>
      <x:c r="AF919" s="87" t="n">
        <x:f>AD919/P919</x:f>
        <x:v>47076751.999999575</x:v>
      </x:c>
      <x:c r="AG919" s="87" t="n">
        <x:f>IF(T919=0,0,AC919/T919/(1-'01 Base Costs'!$B$11))</x:f>
        <x:v>740154507.2557939</x:v>
      </x:c>
      <x:c r="AH919" s="88" t="str">
        <x:f>IF(AD919&gt;0,"PROFIT","LOSS")</x:f>
        <x:v>PROFIT</x:v>
      </x:c>
      <x:c r="AI919" s="89" t="str">
        <x:v>Bundle includes Omega + twelve MCT-months. 50-pack at 20% off.</x:v>
      </x:c>
    </x:row>
    <x:row r="920">
      <x:c r="A920" s="86" t="n">
        <x:v>918</x:v>
      </x:c>
      <x:c r="B920" s="88" t="str">
        <x:v>Omega+MCT 50% Bundle</x:v>
      </x:c>
      <x:c r="C920" s="88" t="str">
        <x:v>6M Omega + 12M MCT 50% bundle</x:v>
      </x:c>
      <x:c r="D920" s="88" t="n">
        <x:v>6</x:v>
      </x:c>
      <x:c r="E920" s="88" t="n">
        <x:v>3</x:v>
      </x:c>
      <x:c r="F920" s="88" t="str">
        <x:v>Included in Omega+MCT bundle</x:v>
      </x:c>
      <x:c r="G920" s="88" t="str">
        <x:v>Market Skill Extractor</x:v>
      </x:c>
      <x:c r="H920" s="87" t="n">
        <x:f>0</x:f>
        <x:v>0</x:v>
      </x:c>
      <x:c r="I920" s="87" t="n">
        <x:f>0</x:f>
        <x:v>0</x:v>
      </x:c>
      <x:c r="J920" s="87" t="n">
        <x:f>0</x:f>
        <x:v>0</x:v>
      </x:c>
      <x:c r="K920" s="87" t="n">
        <x:f>D920*(E920-1)*I920</x:f>
        <x:v>0</x:v>
      </x:c>
      <x:c r="L920" s="87" t="n">
        <x:f>D920*(E920-1)*J920</x:f>
        <x:v>0</x:v>
      </x:c>
      <x:c r="M920" s="87" t="n">
        <x:f>('01 Base Costs'!$B$23+12*'01 Base Costs'!$B$16)*0.5</x:f>
        <x:v>3960</x:v>
      </x:c>
      <x:c r="N920" s="87" t="n">
        <x:f>H920+K920+M920</x:f>
        <x:v>3960</x:v>
      </x:c>
      <x:c r="O920" s="87" t="n">
        <x:f>N920*'01 Base Costs'!$B$7+L920</x:f>
        <x:v>19047600000</x:v>
      </x:c>
      <x:c r="P920" s="87" t="n">
        <x:f>D920*E920</x:f>
        <x:v>18</x:v>
      </x:c>
      <x:c r="Q920" s="87" t="n">
        <x:f>P920*'01 Base Costs'!$B$12</x:f>
        <x:v>34992000</x:v>
      </x:c>
      <x:c r="R920" s="87" t="n">
        <x:f>0</x:f>
        <x:v>0</x:v>
      </x:c>
      <x:c r="S920" s="87" t="n">
        <x:f>Q920+R920</x:f>
        <x:v>34992000</x:v>
      </x:c>
      <x:c r="T920" s="141" t="n">
        <x:f>S920/'01 Base Costs'!$B$14</x:f>
        <x:v>69.984</x:v>
      </x:c>
      <x:c r="U920" s="87" t="n">
        <x:f>INT(T920)</x:f>
        <x:v>69</x:v>
      </x:c>
      <x:c r="V920" s="87" t="n">
        <x:f>S920-U920*'01 Base Costs'!$B$14</x:f>
        <x:v>492000</x:v>
      </x:c>
      <x:c r="W920" s="120" t="n">
        <x:f>0</x:f>
        <x:v>0</x:v>
      </x:c>
      <x:c r="X920" s="120" t="n">
        <x:f>'01 Base Costs'!$B$9</x:f>
        <x:v>463500000</x:v>
      </x:c>
      <x:c r="Y920" s="87" t="n">
        <x:f>T920*(W920*'01 Base Costs'!$B$7+X920)</x:f>
        <x:v>32437583999.999996</x:v>
      </x:c>
      <x:c r="Z920" s="87" t="n">
        <x:f>T920*'01 Base Costs'!$B$8</x:f>
        <x:v>52690953599.99999</x:v>
      </x:c>
      <x:c r="AA920" s="87" t="n">
        <x:f>Z920*'01 Base Costs'!$B$11</x:f>
        <x:v>2634547680</x:v>
      </x:c>
      <x:c r="AB920" s="87" t="n">
        <x:f>Z920-AA920</x:f>
        <x:v>50056405919.99999</x:v>
      </x:c>
      <x:c r="AC920" s="87" t="n">
        <x:f>O920+Y920</x:f>
        <x:v>51485184000</x:v>
      </x:c>
      <x:c r="AD920" s="87" t="n">
        <x:f>AB920-AC920</x:f>
        <x:v>-1428778080.0000076</x:v>
      </x:c>
      <x:c r="AE920" s="87" t="n">
        <x:f>AD920/D920</x:f>
        <x:v>-238129680.00000128</x:v>
      </x:c>
      <x:c r="AF920" s="87" t="n">
        <x:f>AD920/P920</x:f>
        <x:v>-79376560.00000042</x:v>
      </x:c>
      <x:c r="AG920" s="87" t="n">
        <x:f>IF(T920=0,0,AC920/T920/(1-'01 Base Costs'!$B$11))</x:f>
        <x:v>774390296.7294781</x:v>
      </x:c>
      <x:c r="AH920" s="88" t="str">
        <x:f>IF(AD920&gt;0,"PROFIT","LOSS")</x:f>
        <x:v>LOSS</x:v>
      </x:c>
      <x:c r="AI920" s="89" t="str">
        <x:v>Bundle includes Omega + twelve MCT-months. Extractor bought on market with ISK.</x:v>
      </x:c>
    </x:row>
    <x:row r="921">
      <x:c r="A921" s="86" t="n">
        <x:v>919</x:v>
      </x:c>
      <x:c r="B921" s="88" t="str">
        <x:v>Omega+MCT 50% Bundle</x:v>
      </x:c>
      <x:c r="C921" s="88" t="str">
        <x:v>12M Omega + 24M MCT 50% bundle</x:v>
      </x:c>
      <x:c r="D921" s="88" t="n">
        <x:v>12</x:v>
      </x:c>
      <x:c r="E921" s="88" t="n">
        <x:v>3</x:v>
      </x:c>
      <x:c r="F921" s="88" t="str">
        <x:v>Included in Omega+MCT bundle</x:v>
      </x:c>
      <x:c r="G921" s="88" t="str">
        <x:v>NES single extractor</x:v>
      </x:c>
      <x:c r="H921" s="87" t="n">
        <x:f>0</x:f>
        <x:v>0</x:v>
      </x:c>
      <x:c r="I921" s="87" t="n">
        <x:f>0</x:f>
        <x:v>0</x:v>
      </x:c>
      <x:c r="J921" s="87" t="n">
        <x:f>0</x:f>
        <x:v>0</x:v>
      </x:c>
      <x:c r="K921" s="87" t="n">
        <x:f>D921*(E921-1)*I921</x:f>
        <x:v>0</x:v>
      </x:c>
      <x:c r="L921" s="87" t="n">
        <x:f>D921*(E921-1)*J921</x:f>
        <x:v>0</x:v>
      </x:c>
      <x:c r="M921" s="87" t="n">
        <x:f>('01 Base Costs'!$B$24+24*'01 Base Costs'!$B$16)*0.5</x:f>
        <x:v>7620</x:v>
      </x:c>
      <x:c r="N921" s="87" t="n">
        <x:f>H921+K921+M921</x:f>
        <x:v>7620</x:v>
      </x:c>
      <x:c r="O921" s="87" t="n">
        <x:f>N921*'01 Base Costs'!$B$7+L921</x:f>
        <x:v>36652200000</x:v>
      </x:c>
      <x:c r="P921" s="87" t="n">
        <x:f>D921*E921</x:f>
        <x:v>36</x:v>
      </x:c>
      <x:c r="Q921" s="87" t="n">
        <x:f>P921*'01 Base Costs'!$B$12</x:f>
        <x:v>69984000</x:v>
      </x:c>
      <x:c r="R921" s="87" t="n">
        <x:f>0</x:f>
        <x:v>0</x:v>
      </x:c>
      <x:c r="S921" s="87" t="n">
        <x:f>Q921+R921</x:f>
        <x:v>69984000</x:v>
      </x:c>
      <x:c r="T921" s="141" t="n">
        <x:f>S921/'01 Base Costs'!$B$14</x:f>
        <x:v>139.968</x:v>
      </x:c>
      <x:c r="U921" s="87" t="n">
        <x:f>INT(T921)</x:f>
        <x:v>139</x:v>
      </x:c>
      <x:c r="V921" s="87" t="n">
        <x:f>S921-U921*'01 Base Costs'!$B$14</x:f>
        <x:v>484000</x:v>
      </x:c>
      <x:c r="W921" s="120" t="n">
        <x:f>'01 Base Costs'!$B$17</x:f>
        <x:v>140</x:v>
      </x:c>
      <x:c r="X921" s="120" t="n">
        <x:f>0</x:f>
        <x:v>0</x:v>
      </x:c>
      <x:c r="Y921" s="87" t="n">
        <x:f>T921*(W921*'01 Base Costs'!$B$7+X921)</x:f>
        <x:v>94254451200</x:v>
      </x:c>
      <x:c r="Z921" s="87" t="n">
        <x:f>T921*'01 Base Costs'!$B$8</x:f>
        <x:v>105381907199.99998</x:v>
      </x:c>
      <x:c r="AA921" s="87" t="n">
        <x:f>Z921*'01 Base Costs'!$B$11</x:f>
        <x:v>5269095360</x:v>
      </x:c>
      <x:c r="AB921" s="87" t="n">
        <x:f>Z921-AA921</x:f>
        <x:v>100112811839.99998</x:v>
      </x:c>
      <x:c r="AC921" s="87" t="n">
        <x:f>O921+Y921</x:f>
        <x:v>130906651200</x:v>
      </x:c>
      <x:c r="AD921" s="87" t="n">
        <x:f>AB921-AC921</x:f>
        <x:v>-30793839360.000015</x:v>
      </x:c>
      <x:c r="AE921" s="87" t="n">
        <x:f>AD921/D921</x:f>
        <x:v>-2566153280.0000014</x:v>
      </x:c>
      <x:c r="AF921" s="87" t="n">
        <x:f>AD921/P921</x:f>
        <x:v>-855384426.6666671</x:v>
      </x:c>
      <x:c r="AG921" s="87" t="n">
        <x:f>IF(T921=0,0,AC921/T921/(1-'01 Base Costs'!$B$11))</x:f>
        <x:v>984485560.6093423</x:v>
      </x:c>
      <x:c r="AH921" s="88" t="str">
        <x:f>IF(AD921&gt;0,"PROFIT","LOSS")</x:f>
        <x:v>LOSS</x:v>
      </x:c>
      <x:c r="AI921" s="89" t="str">
        <x:v>Bundle includes Omega + twenty-four MCT-months. Base single extractor.</x:v>
      </x:c>
    </x:row>
    <x:row r="922">
      <x:c r="A922" s="86" t="n">
        <x:v>920</x:v>
      </x:c>
      <x:c r="B922" s="88" t="str">
        <x:v>Omega+MCT 50% Bundle</x:v>
      </x:c>
      <x:c r="C922" s="88" t="str">
        <x:v>12M Omega + 24M MCT 50% bundle</x:v>
      </x:c>
      <x:c r="D922" s="88" t="n">
        <x:v>12</x:v>
      </x:c>
      <x:c r="E922" s="88" t="n">
        <x:v>3</x:v>
      </x:c>
      <x:c r="F922" s="88" t="str">
        <x:v>Included in Omega+MCT bundle</x:v>
      </x:c>
      <x:c r="G922" s="88" t="str">
        <x:v>NES 5-pack extractor</x:v>
      </x:c>
      <x:c r="H922" s="87" t="n">
        <x:f>0</x:f>
        <x:v>0</x:v>
      </x:c>
      <x:c r="I922" s="87" t="n">
        <x:f>0</x:f>
        <x:v>0</x:v>
      </x:c>
      <x:c r="J922" s="87" t="n">
        <x:f>0</x:f>
        <x:v>0</x:v>
      </x:c>
      <x:c r="K922" s="87" t="n">
        <x:f>D922*(E922-1)*I922</x:f>
        <x:v>0</x:v>
      </x:c>
      <x:c r="L922" s="87" t="n">
        <x:f>D922*(E922-1)*J922</x:f>
        <x:v>0</x:v>
      </x:c>
      <x:c r="M922" s="87" t="n">
        <x:f>('01 Base Costs'!$B$24+24*'01 Base Costs'!$B$16)*0.5</x:f>
        <x:v>7620</x:v>
      </x:c>
      <x:c r="N922" s="87" t="n">
        <x:f>H922+K922+M922</x:f>
        <x:v>7620</x:v>
      </x:c>
      <x:c r="O922" s="87" t="n">
        <x:f>N922*'01 Base Costs'!$B$7+L922</x:f>
        <x:v>36652200000</x:v>
      </x:c>
      <x:c r="P922" s="87" t="n">
        <x:f>D922*E922</x:f>
        <x:v>36</x:v>
      </x:c>
      <x:c r="Q922" s="87" t="n">
        <x:f>P922*'01 Base Costs'!$B$12</x:f>
        <x:v>69984000</x:v>
      </x:c>
      <x:c r="R922" s="87" t="n">
        <x:f>0</x:f>
        <x:v>0</x:v>
      </x:c>
      <x:c r="S922" s="87" t="n">
        <x:f>Q922+R922</x:f>
        <x:v>69984000</x:v>
      </x:c>
      <x:c r="T922" s="141" t="n">
        <x:f>S922/'01 Base Costs'!$B$14</x:f>
        <x:v>139.968</x:v>
      </x:c>
      <x:c r="U922" s="87" t="n">
        <x:f>INT(T922)</x:f>
        <x:v>139</x:v>
      </x:c>
      <x:c r="V922" s="87" t="n">
        <x:f>S922-U922*'01 Base Costs'!$B$14</x:f>
        <x:v>484000</x:v>
      </x:c>
      <x:c r="W922" s="120" t="n">
        <x:f>'01 Base Costs'!$B$18/5</x:f>
        <x:v>126</x:v>
      </x:c>
      <x:c r="X922" s="120" t="n">
        <x:f>0</x:f>
        <x:v>0</x:v>
      </x:c>
      <x:c r="Y922" s="87" t="n">
        <x:f>T922*(W922*'01 Base Costs'!$B$7+X922)</x:f>
        <x:v>84829006080</x:v>
      </x:c>
      <x:c r="Z922" s="87" t="n">
        <x:f>T922*'01 Base Costs'!$B$8</x:f>
        <x:v>105381907199.99998</x:v>
      </x:c>
      <x:c r="AA922" s="87" t="n">
        <x:f>Z922*'01 Base Costs'!$B$11</x:f>
        <x:v>5269095360</x:v>
      </x:c>
      <x:c r="AB922" s="87" t="n">
        <x:f>Z922-AA922</x:f>
        <x:v>100112811839.99998</x:v>
      </x:c>
      <x:c r="AC922" s="87" t="n">
        <x:f>O922+Y922</x:f>
        <x:v>121481206080</x:v>
      </x:c>
      <x:c r="AD922" s="87" t="n">
        <x:f>AB922-AC922</x:f>
        <x:v>-21368394240.000015</x:v>
      </x:c>
      <x:c r="AE922" s="87" t="n">
        <x:f>AD922/D922</x:f>
        <x:v>-1780699520.0000012</x:v>
      </x:c>
      <x:c r="AF922" s="87" t="n">
        <x:f>AD922/P922</x:f>
        <x:v>-593566506.6666671</x:v>
      </x:c>
      <x:c r="AG922" s="87" t="n">
        <x:f>IF(T922=0,0,AC922/T922/(1-'01 Base Costs'!$B$11))</x:f>
        <x:v>913601350.0830265</x:v>
      </x:c>
      <x:c r="AH922" s="88" t="str">
        <x:f>IF(AD922&gt;0,"PROFIT","LOSS")</x:f>
        <x:v>LOSS</x:v>
      </x:c>
      <x:c r="AI922" s="89" t="str">
        <x:v>Bundle includes Omega + twenty-four MCT-months. Base 5-pack average.</x:v>
      </x:c>
    </x:row>
    <x:row r="923">
      <x:c r="A923" s="86" t="n">
        <x:v>921</x:v>
      </x:c>
      <x:c r="B923" s="88" t="str">
        <x:v>Omega+MCT 50% Bundle</x:v>
      </x:c>
      <x:c r="C923" s="88" t="str">
        <x:v>12M Omega + 24M MCT 50% bundle</x:v>
      </x:c>
      <x:c r="D923" s="88" t="n">
        <x:v>12</x:v>
      </x:c>
      <x:c r="E923" s="88" t="n">
        <x:v>3</x:v>
      </x:c>
      <x:c r="F923" s="88" t="str">
        <x:v>Included in Omega+MCT bundle</x:v>
      </x:c>
      <x:c r="G923" s="88" t="str">
        <x:v>NES 10-pack extractor</x:v>
      </x:c>
      <x:c r="H923" s="87" t="n">
        <x:f>0</x:f>
        <x:v>0</x:v>
      </x:c>
      <x:c r="I923" s="87" t="n">
        <x:f>0</x:f>
        <x:v>0</x:v>
      </x:c>
      <x:c r="J923" s="87" t="n">
        <x:f>0</x:f>
        <x:v>0</x:v>
      </x:c>
      <x:c r="K923" s="87" t="n">
        <x:f>D923*(E923-1)*I923</x:f>
        <x:v>0</x:v>
      </x:c>
      <x:c r="L923" s="87" t="n">
        <x:f>D923*(E923-1)*J923</x:f>
        <x:v>0</x:v>
      </x:c>
      <x:c r="M923" s="87" t="n">
        <x:f>('01 Base Costs'!$B$24+24*'01 Base Costs'!$B$16)*0.5</x:f>
        <x:v>7620</x:v>
      </x:c>
      <x:c r="N923" s="87" t="n">
        <x:f>H923+K923+M923</x:f>
        <x:v>7620</x:v>
      </x:c>
      <x:c r="O923" s="87" t="n">
        <x:f>N923*'01 Base Costs'!$B$7+L923</x:f>
        <x:v>36652200000</x:v>
      </x:c>
      <x:c r="P923" s="87" t="n">
        <x:f>D923*E923</x:f>
        <x:v>36</x:v>
      </x:c>
      <x:c r="Q923" s="87" t="n">
        <x:f>P923*'01 Base Costs'!$B$12</x:f>
        <x:v>69984000</x:v>
      </x:c>
      <x:c r="R923" s="87" t="n">
        <x:f>0</x:f>
        <x:v>0</x:v>
      </x:c>
      <x:c r="S923" s="87" t="n">
        <x:f>Q923+R923</x:f>
        <x:v>69984000</x:v>
      </x:c>
      <x:c r="T923" s="141" t="n">
        <x:f>S923/'01 Base Costs'!$B$14</x:f>
        <x:v>139.968</x:v>
      </x:c>
      <x:c r="U923" s="87" t="n">
        <x:f>INT(T923)</x:f>
        <x:v>139</x:v>
      </x:c>
      <x:c r="V923" s="87" t="n">
        <x:f>S923-U923*'01 Base Costs'!$B$14</x:f>
        <x:v>484000</x:v>
      </x:c>
      <x:c r="W923" s="120" t="n">
        <x:f>'01 Base Costs'!$B$19/10</x:f>
        <x:v>119</x:v>
      </x:c>
      <x:c r="X923" s="120" t="n">
        <x:f>0</x:f>
        <x:v>0</x:v>
      </x:c>
      <x:c r="Y923" s="87" t="n">
        <x:f>T923*(W923*'01 Base Costs'!$B$7+X923)</x:f>
        <x:v>80116283520</x:v>
      </x:c>
      <x:c r="Z923" s="87" t="n">
        <x:f>T923*'01 Base Costs'!$B$8</x:f>
        <x:v>105381907199.99998</x:v>
      </x:c>
      <x:c r="AA923" s="87" t="n">
        <x:f>Z923*'01 Base Costs'!$B$11</x:f>
        <x:v>5269095360</x:v>
      </x:c>
      <x:c r="AB923" s="87" t="n">
        <x:f>Z923-AA923</x:f>
        <x:v>100112811839.99998</x:v>
      </x:c>
      <x:c r="AC923" s="87" t="n">
        <x:f>O923+Y923</x:f>
        <x:v>116768483520</x:v>
      </x:c>
      <x:c r="AD923" s="87" t="n">
        <x:f>AB923-AC923</x:f>
        <x:v>-16655671680.000015</x:v>
      </x:c>
      <x:c r="AE923" s="87" t="n">
        <x:f>AD923/D923</x:f>
        <x:v>-1387972640.0000012</x:v>
      </x:c>
      <x:c r="AF923" s="87" t="n">
        <x:f>AD923/P923</x:f>
        <x:v>-462657546.6666671</x:v>
      </x:c>
      <x:c r="AG923" s="87" t="n">
        <x:f>IF(T923=0,0,AC923/T923/(1-'01 Base Costs'!$B$11))</x:f>
        <x:v>878159244.8198687</x:v>
      </x:c>
      <x:c r="AH923" s="88" t="str">
        <x:f>IF(AD923&gt;0,"PROFIT","LOSS")</x:f>
        <x:v>LOSS</x:v>
      </x:c>
      <x:c r="AI923" s="89" t="str">
        <x:v>Bundle includes Omega + twenty-four MCT-months. Base 10-pack average.</x:v>
      </x:c>
    </x:row>
    <x:row r="924">
      <x:c r="A924" s="86" t="n">
        <x:v>922</x:v>
      </x:c>
      <x:c r="B924" s="88" t="str">
        <x:v>Omega+MCT 50% Bundle</x:v>
      </x:c>
      <x:c r="C924" s="88" t="str">
        <x:v>12M Omega + 24M MCT 50% bundle</x:v>
      </x:c>
      <x:c r="D924" s="88" t="n">
        <x:v>12</x:v>
      </x:c>
      <x:c r="E924" s="88" t="n">
        <x:v>3</x:v>
      </x:c>
      <x:c r="F924" s="88" t="str">
        <x:v>Included in Omega+MCT bundle</x:v>
      </x:c>
      <x:c r="G924" s="88" t="str">
        <x:v>NES 50-pack extractor</x:v>
      </x:c>
      <x:c r="H924" s="87" t="n">
        <x:f>0</x:f>
        <x:v>0</x:v>
      </x:c>
      <x:c r="I924" s="87" t="n">
        <x:f>0</x:f>
        <x:v>0</x:v>
      </x:c>
      <x:c r="J924" s="87" t="n">
        <x:f>0</x:f>
        <x:v>0</x:v>
      </x:c>
      <x:c r="K924" s="87" t="n">
        <x:f>D924*(E924-1)*I924</x:f>
        <x:v>0</x:v>
      </x:c>
      <x:c r="L924" s="87" t="n">
        <x:f>D924*(E924-1)*J924</x:f>
        <x:v>0</x:v>
      </x:c>
      <x:c r="M924" s="87" t="n">
        <x:f>('01 Base Costs'!$B$24+24*'01 Base Costs'!$B$16)*0.5</x:f>
        <x:v>7620</x:v>
      </x:c>
      <x:c r="N924" s="87" t="n">
        <x:f>H924+K924+M924</x:f>
        <x:v>7620</x:v>
      </x:c>
      <x:c r="O924" s="87" t="n">
        <x:f>N924*'01 Base Costs'!$B$7+L924</x:f>
        <x:v>36652200000</x:v>
      </x:c>
      <x:c r="P924" s="87" t="n">
        <x:f>D924*E924</x:f>
        <x:v>36</x:v>
      </x:c>
      <x:c r="Q924" s="87" t="n">
        <x:f>P924*'01 Base Costs'!$B$12</x:f>
        <x:v>69984000</x:v>
      </x:c>
      <x:c r="R924" s="87" t="n">
        <x:f>0</x:f>
        <x:v>0</x:v>
      </x:c>
      <x:c r="S924" s="87" t="n">
        <x:f>Q924+R924</x:f>
        <x:v>69984000</x:v>
      </x:c>
      <x:c r="T924" s="141" t="n">
        <x:f>S924/'01 Base Costs'!$B$14</x:f>
        <x:v>139.968</x:v>
      </x:c>
      <x:c r="U924" s="87" t="n">
        <x:f>INT(T924)</x:f>
        <x:v>139</x:v>
      </x:c>
      <x:c r="V924" s="87" t="n">
        <x:f>S924-U924*'01 Base Costs'!$B$14</x:f>
        <x:v>484000</x:v>
      </x:c>
      <x:c r="W924" s="120" t="n">
        <x:f>'01 Base Costs'!$B$20/50</x:f>
        <x:v>112</x:v>
      </x:c>
      <x:c r="X924" s="120" t="n">
        <x:f>0</x:f>
        <x:v>0</x:v>
      </x:c>
      <x:c r="Y924" s="87" t="n">
        <x:f>T924*(W924*'01 Base Costs'!$B$7+X924)</x:f>
        <x:v>75403560960</x:v>
      </x:c>
      <x:c r="Z924" s="87" t="n">
        <x:f>T924*'01 Base Costs'!$B$8</x:f>
        <x:v>105381907199.99998</x:v>
      </x:c>
      <x:c r="AA924" s="87" t="n">
        <x:f>Z924*'01 Base Costs'!$B$11</x:f>
        <x:v>5269095360</x:v>
      </x:c>
      <x:c r="AB924" s="87" t="n">
        <x:f>Z924-AA924</x:f>
        <x:v>100112811839.99998</x:v>
      </x:c>
      <x:c r="AC924" s="87" t="n">
        <x:f>O924+Y924</x:f>
        <x:v>112055760960</x:v>
      </x:c>
      <x:c r="AD924" s="87" t="n">
        <x:f>AB924-AC924</x:f>
        <x:v>-11942949120.000015</x:v>
      </x:c>
      <x:c r="AE924" s="87" t="n">
        <x:f>AD924/D924</x:f>
        <x:v>-995245760.0000013</x:v>
      </x:c>
      <x:c r="AF924" s="87" t="n">
        <x:f>AD924/P924</x:f>
        <x:v>-331748586.6666671</x:v>
      </x:c>
      <x:c r="AG924" s="87" t="n">
        <x:f>IF(T924=0,0,AC924/T924/(1-'01 Base Costs'!$B$11))</x:f>
        <x:v>842717139.5567107</x:v>
      </x:c>
      <x:c r="AH924" s="88" t="str">
        <x:f>IF(AD924&gt;0,"PROFIT","LOSS")</x:f>
        <x:v>LOSS</x:v>
      </x:c>
      <x:c r="AI924" s="89" t="str">
        <x:v>Bundle includes Omega + twenty-four MCT-months. Base 50-pack average.</x:v>
      </x:c>
    </x:row>
    <x:row r="925">
      <x:c r="A925" s="86" t="n">
        <x:v>923</x:v>
      </x:c>
      <x:c r="B925" s="88" t="str">
        <x:v>Omega+MCT 50% Bundle</x:v>
      </x:c>
      <x:c r="C925" s="88" t="str">
        <x:v>12M Omega + 24M MCT 50% bundle</x:v>
      </x:c>
      <x:c r="D925" s="88" t="n">
        <x:v>12</x:v>
      </x:c>
      <x:c r="E925" s="88" t="n">
        <x:v>3</x:v>
      </x:c>
      <x:c r="F925" s="88" t="str">
        <x:v>Included in Omega+MCT bundle</x:v>
      </x:c>
      <x:c r="G925" s="88" t="str">
        <x:v>NES 3-for-2 extractor sale</x:v>
      </x:c>
      <x:c r="H925" s="87" t="n">
        <x:f>0</x:f>
        <x:v>0</x:v>
      </x:c>
      <x:c r="I925" s="87" t="n">
        <x:f>0</x:f>
        <x:v>0</x:v>
      </x:c>
      <x:c r="J925" s="87" t="n">
        <x:f>0</x:f>
        <x:v>0</x:v>
      </x:c>
      <x:c r="K925" s="87" t="n">
        <x:f>D925*(E925-1)*I925</x:f>
        <x:v>0</x:v>
      </x:c>
      <x:c r="L925" s="87" t="n">
        <x:f>D925*(E925-1)*J925</x:f>
        <x:v>0</x:v>
      </x:c>
      <x:c r="M925" s="87" t="n">
        <x:f>('01 Base Costs'!$B$24+24*'01 Base Costs'!$B$16)*0.5</x:f>
        <x:v>7620</x:v>
      </x:c>
      <x:c r="N925" s="87" t="n">
        <x:f>H925+K925+M925</x:f>
        <x:v>7620</x:v>
      </x:c>
      <x:c r="O925" s="87" t="n">
        <x:f>N925*'01 Base Costs'!$B$7+L925</x:f>
        <x:v>36652200000</x:v>
      </x:c>
      <x:c r="P925" s="87" t="n">
        <x:f>D925*E925</x:f>
        <x:v>36</x:v>
      </x:c>
      <x:c r="Q925" s="87" t="n">
        <x:f>P925*'01 Base Costs'!$B$12</x:f>
        <x:v>69984000</x:v>
      </x:c>
      <x:c r="R925" s="87" t="n">
        <x:f>0</x:f>
        <x:v>0</x:v>
      </x:c>
      <x:c r="S925" s="87" t="n">
        <x:f>Q925+R925</x:f>
        <x:v>69984000</x:v>
      </x:c>
      <x:c r="T925" s="141" t="n">
        <x:f>S925/'01 Base Costs'!$B$14</x:f>
        <x:v>139.968</x:v>
      </x:c>
      <x:c r="U925" s="87" t="n">
        <x:f>INT(T925)</x:f>
        <x:v>139</x:v>
      </x:c>
      <x:c r="V925" s="87" t="n">
        <x:f>S925-U925*'01 Base Costs'!$B$14</x:f>
        <x:v>484000</x:v>
      </x:c>
      <x:c r="W925" s="120" t="n">
        <x:f>'01 Base Costs'!$B$17*2/3</x:f>
        <x:v>93.33333333333333</x:v>
      </x:c>
      <x:c r="X925" s="120" t="n">
        <x:f>0</x:f>
        <x:v>0</x:v>
      </x:c>
      <x:c r="Y925" s="87" t="n">
        <x:f>T925*(W925*'01 Base Costs'!$B$7+X925)</x:f>
        <x:v>62836300799.99999</x:v>
      </x:c>
      <x:c r="Z925" s="87" t="n">
        <x:f>T925*'01 Base Costs'!$B$8</x:f>
        <x:v>105381907199.99998</x:v>
      </x:c>
      <x:c r="AA925" s="87" t="n">
        <x:f>Z925*'01 Base Costs'!$B$11</x:f>
        <x:v>5269095360</x:v>
      </x:c>
      <x:c r="AB925" s="87" t="n">
        <x:f>Z925-AA925</x:f>
        <x:v>100112811839.99998</x:v>
      </x:c>
      <x:c r="AC925" s="87" t="n">
        <x:f>O925+Y925</x:f>
        <x:v>99488500800</x:v>
      </x:c>
      <x:c r="AD925" s="87" t="n">
        <x:f>AB925-AC925</x:f>
        <x:v>624311039.9999847</x:v>
      </x:c>
      <x:c r="AE925" s="87" t="n">
        <x:f>AD925/D925</x:f>
        <x:v>52025919.999998726</x:v>
      </x:c>
      <x:c r="AF925" s="87" t="n">
        <x:f>AD925/P925</x:f>
        <x:v>17341973.33333291</x:v>
      </x:c>
      <x:c r="AG925" s="87" t="n">
        <x:f>IF(T925=0,0,AC925/T925/(1-'01 Base Costs'!$B$11))</x:f>
        <x:v>748204858.8549564</x:v>
      </x:c>
      <x:c r="AH925" s="88" t="str">
        <x:f>IF(AD925&gt;0,"PROFIT","LOSS")</x:f>
        <x:v>PROFIT</x:v>
      </x:c>
      <x:c r="AI925" s="89" t="str">
        <x:v>Bundle includes Omega + twenty-four MCT-months. Extractor 3-for-2 sale.</x:v>
      </x:c>
    </x:row>
    <x:row r="926">
      <x:c r="A926" s="86" t="n">
        <x:v>924</x:v>
      </x:c>
      <x:c r="B926" s="88" t="str">
        <x:v>Omega+MCT 50% Bundle</x:v>
      </x:c>
      <x:c r="C926" s="88" t="str">
        <x:v>12M Omega + 24M MCT 50% bundle</x:v>
      </x:c>
      <x:c r="D926" s="88" t="n">
        <x:v>12</x:v>
      </x:c>
      <x:c r="E926" s="88" t="n">
        <x:v>3</x:v>
      </x:c>
      <x:c r="F926" s="88" t="str">
        <x:v>Included in Omega+MCT bundle</x:v>
      </x:c>
      <x:c r="G926" s="88" t="str">
        <x:v>NES 2-for-1 extractor sale</x:v>
      </x:c>
      <x:c r="H926" s="87" t="n">
        <x:f>0</x:f>
        <x:v>0</x:v>
      </x:c>
      <x:c r="I926" s="87" t="n">
        <x:f>0</x:f>
        <x:v>0</x:v>
      </x:c>
      <x:c r="J926" s="87" t="n">
        <x:f>0</x:f>
        <x:v>0</x:v>
      </x:c>
      <x:c r="K926" s="87" t="n">
        <x:f>D926*(E926-1)*I926</x:f>
        <x:v>0</x:v>
      </x:c>
      <x:c r="L926" s="87" t="n">
        <x:f>D926*(E926-1)*J926</x:f>
        <x:v>0</x:v>
      </x:c>
      <x:c r="M926" s="87" t="n">
        <x:f>('01 Base Costs'!$B$24+24*'01 Base Costs'!$B$16)*0.5</x:f>
        <x:v>7620</x:v>
      </x:c>
      <x:c r="N926" s="87" t="n">
        <x:f>H926+K926+M926</x:f>
        <x:v>7620</x:v>
      </x:c>
      <x:c r="O926" s="87" t="n">
        <x:f>N926*'01 Base Costs'!$B$7+L926</x:f>
        <x:v>36652200000</x:v>
      </x:c>
      <x:c r="P926" s="87" t="n">
        <x:f>D926*E926</x:f>
        <x:v>36</x:v>
      </x:c>
      <x:c r="Q926" s="87" t="n">
        <x:f>P926*'01 Base Costs'!$B$12</x:f>
        <x:v>69984000</x:v>
      </x:c>
      <x:c r="R926" s="87" t="n">
        <x:f>0</x:f>
        <x:v>0</x:v>
      </x:c>
      <x:c r="S926" s="87" t="n">
        <x:f>Q926+R926</x:f>
        <x:v>69984000</x:v>
      </x:c>
      <x:c r="T926" s="141" t="n">
        <x:f>S926/'01 Base Costs'!$B$14</x:f>
        <x:v>139.968</x:v>
      </x:c>
      <x:c r="U926" s="87" t="n">
        <x:f>INT(T926)</x:f>
        <x:v>139</x:v>
      </x:c>
      <x:c r="V926" s="87" t="n">
        <x:f>S926-U926*'01 Base Costs'!$B$14</x:f>
        <x:v>484000</x:v>
      </x:c>
      <x:c r="W926" s="120" t="n">
        <x:f>'01 Base Costs'!$B$17/2</x:f>
        <x:v>70</x:v>
      </x:c>
      <x:c r="X926" s="120" t="n">
        <x:f>0</x:f>
        <x:v>0</x:v>
      </x:c>
      <x:c r="Y926" s="87" t="n">
        <x:f>T926*(W926*'01 Base Costs'!$B$7+X926)</x:f>
        <x:v>47127225600</x:v>
      </x:c>
      <x:c r="Z926" s="87" t="n">
        <x:f>T926*'01 Base Costs'!$B$8</x:f>
        <x:v>105381907199.99998</x:v>
      </x:c>
      <x:c r="AA926" s="87" t="n">
        <x:f>Z926*'01 Base Costs'!$B$11</x:f>
        <x:v>5269095360</x:v>
      </x:c>
      <x:c r="AB926" s="87" t="n">
        <x:f>Z926-AA926</x:f>
        <x:v>100112811839.99998</x:v>
      </x:c>
      <x:c r="AC926" s="87" t="n">
        <x:f>O926+Y926</x:f>
        <x:v>83779425600</x:v>
      </x:c>
      <x:c r="AD926" s="87" t="n">
        <x:f>AB926-AC926</x:f>
        <x:v>16333386239.999985</x:v>
      </x:c>
      <x:c r="AE926" s="87" t="n">
        <x:f>AD926/D926</x:f>
        <x:v>1361115519.9999988</x:v>
      </x:c>
      <x:c r="AF926" s="87" t="n">
        <x:f>AD926/P926</x:f>
        <x:v>453705173.3333329</x:v>
      </x:c>
      <x:c r="AG926" s="87" t="n">
        <x:f>IF(T926=0,0,AC926/T926/(1-'01 Base Costs'!$B$11))</x:f>
        <x:v>630064507.9777634</x:v>
      </x:c>
      <x:c r="AH926" s="88" t="str">
        <x:f>IF(AD926&gt;0,"PROFIT","LOSS")</x:f>
        <x:v>PROFIT</x:v>
      </x:c>
      <x:c r="AI926" s="89" t="str">
        <x:v>Bundle includes Omega + twenty-four MCT-months. Extractor 2-for-1 sale.</x:v>
      </x:c>
    </x:row>
    <x:row r="927">
      <x:c r="A927" s="86" t="n">
        <x:v>925</x:v>
      </x:c>
      <x:c r="B927" s="88" t="str">
        <x:v>Omega+MCT 50% Bundle</x:v>
      </x:c>
      <x:c r="C927" s="88" t="str">
        <x:v>12M Omega + 24M MCT 50% bundle</x:v>
      </x:c>
      <x:c r="D927" s="88" t="n">
        <x:v>12</x:v>
      </x:c>
      <x:c r="E927" s="88" t="n">
        <x:v>3</x:v>
      </x:c>
      <x:c r="F927" s="88" t="str">
        <x:v>Included in Omega+MCT bundle</x:v>
      </x:c>
      <x:c r="G927" s="88" t="str">
        <x:v>NES 10-pack extractor 20% sale</x:v>
      </x:c>
      <x:c r="H927" s="87" t="n">
        <x:f>0</x:f>
        <x:v>0</x:v>
      </x:c>
      <x:c r="I927" s="87" t="n">
        <x:f>0</x:f>
        <x:v>0</x:v>
      </x:c>
      <x:c r="J927" s="87" t="n">
        <x:f>0</x:f>
        <x:v>0</x:v>
      </x:c>
      <x:c r="K927" s="87" t="n">
        <x:f>D927*(E927-1)*I927</x:f>
        <x:v>0</x:v>
      </x:c>
      <x:c r="L927" s="87" t="n">
        <x:f>D927*(E927-1)*J927</x:f>
        <x:v>0</x:v>
      </x:c>
      <x:c r="M927" s="87" t="n">
        <x:f>('01 Base Costs'!$B$24+24*'01 Base Costs'!$B$16)*0.5</x:f>
        <x:v>7620</x:v>
      </x:c>
      <x:c r="N927" s="87" t="n">
        <x:f>H927+K927+M927</x:f>
        <x:v>7620</x:v>
      </x:c>
      <x:c r="O927" s="87" t="n">
        <x:f>N927*'01 Base Costs'!$B$7+L927</x:f>
        <x:v>36652200000</x:v>
      </x:c>
      <x:c r="P927" s="87" t="n">
        <x:f>D927*E927</x:f>
        <x:v>36</x:v>
      </x:c>
      <x:c r="Q927" s="87" t="n">
        <x:f>P927*'01 Base Costs'!$B$12</x:f>
        <x:v>69984000</x:v>
      </x:c>
      <x:c r="R927" s="87" t="n">
        <x:f>0</x:f>
        <x:v>0</x:v>
      </x:c>
      <x:c r="S927" s="87" t="n">
        <x:f>Q927+R927</x:f>
        <x:v>69984000</x:v>
      </x:c>
      <x:c r="T927" s="141" t="n">
        <x:f>S927/'01 Base Costs'!$B$14</x:f>
        <x:v>139.968</x:v>
      </x:c>
      <x:c r="U927" s="87" t="n">
        <x:f>INT(T927)</x:f>
        <x:v>139</x:v>
      </x:c>
      <x:c r="V927" s="87" t="n">
        <x:f>S927-U927*'01 Base Costs'!$B$14</x:f>
        <x:v>484000</x:v>
      </x:c>
      <x:c r="W927" s="120" t="n">
        <x:f>'01 Base Costs'!$B$19*0.8/10</x:f>
        <x:v>95.2</x:v>
      </x:c>
      <x:c r="X927" s="120" t="n">
        <x:f>0</x:f>
        <x:v>0</x:v>
      </x:c>
      <x:c r="Y927" s="87" t="n">
        <x:f>T927*(W927*'01 Base Costs'!$B$7+X927)</x:f>
        <x:v>64093026815.99999</x:v>
      </x:c>
      <x:c r="Z927" s="87" t="n">
        <x:f>T927*'01 Base Costs'!$B$8</x:f>
        <x:v>105381907199.99998</x:v>
      </x:c>
      <x:c r="AA927" s="87" t="n">
        <x:f>Z927*'01 Base Costs'!$B$11</x:f>
        <x:v>5269095360</x:v>
      </x:c>
      <x:c r="AB927" s="87" t="n">
        <x:f>Z927-AA927</x:f>
        <x:v>100112811839.99998</x:v>
      </x:c>
      <x:c r="AC927" s="87" t="n">
        <x:f>O927+Y927</x:f>
        <x:v>100745226816</x:v>
      </x:c>
      <x:c r="AD927" s="87" t="n">
        <x:f>AB927-AC927</x:f>
        <x:v>-632414976.0000153</x:v>
      </x:c>
      <x:c r="AE927" s="87" t="n">
        <x:f>AD927/D927</x:f>
        <x:v>-52701248.000001274</x:v>
      </x:c>
      <x:c r="AF927" s="87" t="n">
        <x:f>AD927/P927</x:f>
        <x:v>-17567082.66666709</x:v>
      </x:c>
      <x:c r="AG927" s="87" t="n">
        <x:f>IF(T927=0,0,AC927/T927/(1-'01 Base Costs'!$B$11))</x:f>
        <x:v>757656086.9251318</x:v>
      </x:c>
      <x:c r="AH927" s="88" t="str">
        <x:f>IF(AD927&gt;0,"PROFIT","LOSS")</x:f>
        <x:v>LOSS</x:v>
      </x:c>
      <x:c r="AI927" s="89" t="str">
        <x:v>Bundle includes Omega + twenty-four MCT-months. 10-pack at 20% off.</x:v>
      </x:c>
    </x:row>
    <x:row r="928">
      <x:c r="A928" s="86" t="n">
        <x:v>926</x:v>
      </x:c>
      <x:c r="B928" s="88" t="str">
        <x:v>Omega+MCT 50% Bundle</x:v>
      </x:c>
      <x:c r="C928" s="88" t="str">
        <x:v>12M Omega + 24M MCT 50% bundle</x:v>
      </x:c>
      <x:c r="D928" s="88" t="n">
        <x:v>12</x:v>
      </x:c>
      <x:c r="E928" s="88" t="n">
        <x:v>3</x:v>
      </x:c>
      <x:c r="F928" s="88" t="str">
        <x:v>Included in Omega+MCT bundle</x:v>
      </x:c>
      <x:c r="G928" s="88" t="str">
        <x:v>NES 50-pack extractor 20% sale</x:v>
      </x:c>
      <x:c r="H928" s="87" t="n">
        <x:f>0</x:f>
        <x:v>0</x:v>
      </x:c>
      <x:c r="I928" s="87" t="n">
        <x:f>0</x:f>
        <x:v>0</x:v>
      </x:c>
      <x:c r="J928" s="87" t="n">
        <x:f>0</x:f>
        <x:v>0</x:v>
      </x:c>
      <x:c r="K928" s="87" t="n">
        <x:f>D928*(E928-1)*I928</x:f>
        <x:v>0</x:v>
      </x:c>
      <x:c r="L928" s="87" t="n">
        <x:f>D928*(E928-1)*J928</x:f>
        <x:v>0</x:v>
      </x:c>
      <x:c r="M928" s="87" t="n">
        <x:f>('01 Base Costs'!$B$24+24*'01 Base Costs'!$B$16)*0.5</x:f>
        <x:v>7620</x:v>
      </x:c>
      <x:c r="N928" s="87" t="n">
        <x:f>H928+K928+M928</x:f>
        <x:v>7620</x:v>
      </x:c>
      <x:c r="O928" s="87" t="n">
        <x:f>N928*'01 Base Costs'!$B$7+L928</x:f>
        <x:v>36652200000</x:v>
      </x:c>
      <x:c r="P928" s="87" t="n">
        <x:f>D928*E928</x:f>
        <x:v>36</x:v>
      </x:c>
      <x:c r="Q928" s="87" t="n">
        <x:f>P928*'01 Base Costs'!$B$12</x:f>
        <x:v>69984000</x:v>
      </x:c>
      <x:c r="R928" s="87" t="n">
        <x:f>0</x:f>
        <x:v>0</x:v>
      </x:c>
      <x:c r="S928" s="87" t="n">
        <x:f>Q928+R928</x:f>
        <x:v>69984000</x:v>
      </x:c>
      <x:c r="T928" s="141" t="n">
        <x:f>S928/'01 Base Costs'!$B$14</x:f>
        <x:v>139.968</x:v>
      </x:c>
      <x:c r="U928" s="87" t="n">
        <x:f>INT(T928)</x:f>
        <x:v>139</x:v>
      </x:c>
      <x:c r="V928" s="87" t="n">
        <x:f>S928-U928*'01 Base Costs'!$B$14</x:f>
        <x:v>484000</x:v>
      </x:c>
      <x:c r="W928" s="120" t="n">
        <x:f>'01 Base Costs'!$B$20*0.8/50</x:f>
        <x:v>89.6</x:v>
      </x:c>
      <x:c r="X928" s="120" t="n">
        <x:f>0</x:f>
        <x:v>0</x:v>
      </x:c>
      <x:c r="Y928" s="87" t="n">
        <x:f>T928*(W928*'01 Base Costs'!$B$7+X928)</x:f>
        <x:v>60322848767.99999</x:v>
      </x:c>
      <x:c r="Z928" s="87" t="n">
        <x:f>T928*'01 Base Costs'!$B$8</x:f>
        <x:v>105381907199.99998</x:v>
      </x:c>
      <x:c r="AA928" s="87" t="n">
        <x:f>Z928*'01 Base Costs'!$B$11</x:f>
        <x:v>5269095360</x:v>
      </x:c>
      <x:c r="AB928" s="87" t="n">
        <x:f>Z928-AA928</x:f>
        <x:v>100112811839.99998</x:v>
      </x:c>
      <x:c r="AC928" s="87" t="n">
        <x:f>O928+Y928</x:f>
        <x:v>96975048768</x:v>
      </x:c>
      <x:c r="AD928" s="87" t="n">
        <x:f>AB928-AC928</x:f>
        <x:v>3137763071.9999847</x:v>
      </x:c>
      <x:c r="AE928" s="87" t="n">
        <x:f>AD928/D928</x:f>
        <x:v>261480255.99999872</x:v>
      </x:c>
      <x:c r="AF928" s="87" t="n">
        <x:f>AD928/P928</x:f>
        <x:v>87160085.33333291</x:v>
      </x:c>
      <x:c r="AG928" s="87" t="n">
        <x:f>IF(T928=0,0,AC928/T928/(1-'01 Base Costs'!$B$11))</x:f>
        <x:v>729302402.7146055</x:v>
      </x:c>
      <x:c r="AH928" s="88" t="str">
        <x:f>IF(AD928&gt;0,"PROFIT","LOSS")</x:f>
        <x:v>PROFIT</x:v>
      </x:c>
      <x:c r="AI928" s="89" t="str">
        <x:v>Bundle includes Omega + twenty-four MCT-months. 50-pack at 20% off.</x:v>
      </x:c>
    </x:row>
    <x:row r="929">
      <x:c r="A929" s="90" t="n">
        <x:v>927</x:v>
      </x:c>
      <x:c r="B929" s="91" t="str">
        <x:v>Omega+MCT 50% Bundle</x:v>
      </x:c>
      <x:c r="C929" s="91" t="str">
        <x:v>12M Omega + 24M MCT 50% bundle</x:v>
      </x:c>
      <x:c r="D929" s="91" t="n">
        <x:v>12</x:v>
      </x:c>
      <x:c r="E929" s="91" t="n">
        <x:v>3</x:v>
      </x:c>
      <x:c r="F929" s="91" t="str">
        <x:v>Included in Omega+MCT bundle</x:v>
      </x:c>
      <x:c r="G929" s="91" t="str">
        <x:v>Market Skill Extractor</x:v>
      </x:c>
      <x:c r="H929" s="111" t="n">
        <x:f>0</x:f>
        <x:v>0</x:v>
      </x:c>
      <x:c r="I929" s="111" t="n">
        <x:f>0</x:f>
        <x:v>0</x:v>
      </x:c>
      <x:c r="J929" s="111" t="n">
        <x:f>0</x:f>
        <x:v>0</x:v>
      </x:c>
      <x:c r="K929" s="111" t="n">
        <x:f>D929*(E929-1)*I929</x:f>
        <x:v>0</x:v>
      </x:c>
      <x:c r="L929" s="111" t="n">
        <x:f>D929*(E929-1)*J929</x:f>
        <x:v>0</x:v>
      </x:c>
      <x:c r="M929" s="111" t="n">
        <x:f>('01 Base Costs'!$B$24+24*'01 Base Costs'!$B$16)*0.5</x:f>
        <x:v>7620</x:v>
      </x:c>
      <x:c r="N929" s="111" t="n">
        <x:f>H929+K929+M929</x:f>
        <x:v>7620</x:v>
      </x:c>
      <x:c r="O929" s="111" t="n">
        <x:f>N929*'01 Base Costs'!$B$7+L929</x:f>
        <x:v>36652200000</x:v>
      </x:c>
      <x:c r="P929" s="111" t="n">
        <x:f>D929*E929</x:f>
        <x:v>36</x:v>
      </x:c>
      <x:c r="Q929" s="111" t="n">
        <x:f>P929*'01 Base Costs'!$B$12</x:f>
        <x:v>69984000</x:v>
      </x:c>
      <x:c r="R929" s="111" t="n">
        <x:f>0</x:f>
        <x:v>0</x:v>
      </x:c>
      <x:c r="S929" s="111" t="n">
        <x:f>Q929+R929</x:f>
        <x:v>69984000</x:v>
      </x:c>
      <x:c r="T929" s="142" t="n">
        <x:f>S929/'01 Base Costs'!$B$14</x:f>
        <x:v>139.968</x:v>
      </x:c>
      <x:c r="U929" s="111" t="n">
        <x:f>INT(T929)</x:f>
        <x:v>139</x:v>
      </x:c>
      <x:c r="V929" s="111" t="n">
        <x:f>S929-U929*'01 Base Costs'!$B$14</x:f>
        <x:v>484000</x:v>
      </x:c>
      <x:c r="W929" s="121" t="n">
        <x:f>0</x:f>
        <x:v>0</x:v>
      </x:c>
      <x:c r="X929" s="121" t="n">
        <x:f>'01 Base Costs'!$B$9</x:f>
        <x:v>463500000</x:v>
      </x:c>
      <x:c r="Y929" s="111" t="n">
        <x:f>T929*(W929*'01 Base Costs'!$B$7+X929)</x:f>
        <x:v>64875167999.99999</x:v>
      </x:c>
      <x:c r="Z929" s="111" t="n">
        <x:f>T929*'01 Base Costs'!$B$8</x:f>
        <x:v>105381907199.99998</x:v>
      </x:c>
      <x:c r="AA929" s="111" t="n">
        <x:f>Z929*'01 Base Costs'!$B$11</x:f>
        <x:v>5269095360</x:v>
      </x:c>
      <x:c r="AB929" s="111" t="n">
        <x:f>Z929-AA929</x:f>
        <x:v>100112811839.99998</x:v>
      </x:c>
      <x:c r="AC929" s="111" t="n">
        <x:f>O929+Y929</x:f>
        <x:v>101527368000</x:v>
      </x:c>
      <x:c r="AD929" s="111" t="n">
        <x:f>AB929-AC929</x:f>
        <x:v>-1414556160.0000153</x:v>
      </x:c>
      <x:c r="AE929" s="111" t="n">
        <x:f>AD929/D929</x:f>
        <x:v>-117879680.00000127</x:v>
      </x:c>
      <x:c r="AF929" s="111" t="n">
        <x:f>AD929/P929</x:f>
        <x:v>-39293226.66666709</x:v>
      </x:c>
      <x:c r="AG929" s="111" t="n">
        <x:f>IF(T929=0,0,AC929/T929/(1-'01 Base Costs'!$B$11))</x:f>
        <x:v>763538192.1882898</x:v>
      </x:c>
      <x:c r="AH929" s="91" t="str">
        <x:f>IF(AD929&gt;0,"PROFIT","LOSS")</x:f>
        <x:v>LOSS</x:v>
      </x:c>
      <x:c r="AI929" s="92" t="str">
        <x:v>Bundle includes Omega + twenty-four MCT-months. Extractor bought on market with ISK.</x:v>
      </x:c>
    </x:row>
  </x:sheetData>
  <x:mergeCells>
    <x:mergeCell ref="A1:AI1"/>
  </x:mergeCells>
  <x:conditionalFormatting sqref="AD3:AD929">
    <x:cfRule type="expression" dxfId="0" priority="1">
      <x:formula>AD3&gt;0</x:formula>
    </x:cfRule>
    <x:cfRule type="expression" dxfId="1" priority="2">
      <x:formula>AD3&lt;=0</x:formula>
    </x:cfRule>
  </x:conditionalFormatting>
  <x:conditionalFormatting sqref="AH3:AH929">
    <x:cfRule type="expression" dxfId="2" priority="3">
      <x:formula>AH3="PROFIT"</x:formula>
    </x:cfRule>
    <x:cfRule type="expression" dxfId="3" priority="4">
      <x:formula>AH3="LOSS"</x:formula>
    </x:cfRule>
  </x:conditionalFormatting>
  <x:conditionalFormatting sqref="AF3:AF929">
    <x:cfRule type="colorScale" priority="5">
      <x:colorScale>
        <x:cfvo type="min"/>
        <x:cfvo type="percentile" val="50"/>
        <x:cfvo type="max"/>
        <x:color rgb="FEE2E2"/>
        <x:color rgb="FEF3C7"/>
        <x:color rgb="DCFCE7"/>
      </x:colorScale>
    </x:cfRule>
  </x:conditionalFormatting>
  <x:pageMargins left="0.7" right="0.7" top="0.75" bottom="0.75" header="0.3" footer="0.3"/>
  <x:tableParts count="1">
    <x:tablePart xmlns:r="http://schemas.openxmlformats.org/officeDocument/2006/relationships" r:id="Rd50ac75ec6004211"/>
  </x:tableParts>
</x:worksheet>
</file>

<file path=xl/worksheets/sheet3.xml><?xml version="1.0" encoding="utf-8"?>
<x:worksheet xmlns:x="http://schemas.openxmlformats.org/spreadsheetml/2006/main">
  <x:sheetFormatPr defaultRowHeight="15"/>
  <x:cols>
    <x:col min="1" max="1" width="26" hidden="0" customWidth="1"/>
    <x:col min="2" max="2" width="18" hidden="0" customWidth="1"/>
    <x:col min="3" max="3" width="12" hidden="0" customWidth="1"/>
    <x:col min="4" max="4" width="20" hidden="0" customWidth="1"/>
    <x:col min="5" max="5" width="36" hidden="0" customWidth="1"/>
    <x:col min="6" max="6" width="10" hidden="0" customWidth="1"/>
    <x:col min="7" max="7" width="28" hidden="0" customWidth="1"/>
    <x:col min="8" max="8" width="34" hidden="0" customWidth="1"/>
    <x:col min="9" max="9" width="10" hidden="0" customWidth="1"/>
    <x:col min="10" max="10" width="18" hidden="0" customWidth="1"/>
    <x:col min="11" max="11" width="18" hidden="0" customWidth="1"/>
    <x:col min="12" max="12" width="18" hidden="0" customWidth="1"/>
    <x:col min="13" max="13" width="12" hidden="0" customWidth="1"/>
    <x:col min="14" max="14" width="4" hidden="0" customWidth="1"/>
    <x:col min="15" max="15" width="20" hidden="0" customWidth="1"/>
    <x:col min="16" max="16" width="18" hidden="0" customWidth="1"/>
    <x:col min="17" max="17" width="18" hidden="0" customWidth="1"/>
    <x:col min="18" max="18" width="18" hidden="0" customWidth="1"/>
    <x:col min="19" max="19" width="18" hidden="0" customWidth="1"/>
  </x:cols>
  <x:sheetData>
    <x:row r="1" ht="28" customHeight="1">
      <x:c r="A1" s="131" t="str">
        <x:v>Best SP Farm Results — Profit/Loss in ISK</x:v>
      </x:c>
    </x:row>
    <x:row r="2">
      <x:c r="A2" s="149" t="str">
        <x:v>Model uses editable inputs from the Base Costs tab. Scenario Matrix rows: 927. Profit uses long-run fractional injector output so leftover SP carries forward.</x:v>
      </x:c>
    </x:row>
    <x:row r="4">
      <x:c r="A4" s="167" t="str">
        <x:v>Best Profit Scenario</x:v>
      </x:c>
      <x:c r="B4" s="179" t="str">
        <x:f>INDEX('02 Scenario Matrix'!$C$3:$C$929,MATCH(MAX('02 Scenario Matrix'!$AD$3:$AD$929),'02 Scenario Matrix'!$AD$3:$AD$929,0))</x:f>
        <x:v>12M Omega + 24M MCT 50% bundle</x:v>
      </x:c>
      <x:c r="O4" s="64" t="str">
        <x:v>How to read this tab</x:v>
      </x:c>
    </x:row>
    <x:row r="5">
      <x:c r="A5" s="168" t="str">
        <x:v>Best Profit ISK</x:v>
      </x:c>
      <x:c r="B5" s="188" t="n">
        <x:f>MAX('02 Scenario Matrix'!$AD$3:$AD$929)</x:f>
        <x:v>16333386239.999985</x:v>
      </x:c>
      <x:c r="O5" s="126" t="str">
        <x:v>Green = profitable at current inputs; red = loss.
Best result depends heavily on PLEX ISK value, extractor source cost, and LSI sale price.
Base Omega + base extractors normally loses money at current prices.
Profit generally requires stacking discounted Omega/MCT with discounted extractors, or favorable market prices.
Top table updates when you edit the first tab, but duplicated profit values may repeat due to INDEX/MATCH.
For exact filtering/sorting, use the Scenario Matrix table.
Final numbers are ISK-based and exclude setup costs.</x:v>
      </x:c>
    </x:row>
    <x:row r="6">
      <x:c r="A6" s="168" t="str">
        <x:v>Best Profit / Month ISK</x:v>
      </x:c>
      <x:c r="B6" s="188" t="n">
        <x:f>INDEX('02 Scenario Matrix'!$AE$3:$AE$929,MATCH(MAX('02 Scenario Matrix'!$AD$3:$AD$929),'02 Scenario Matrix'!$AD$3:$AD$929,0))</x:f>
        <x:v>1361115519.9999988</x:v>
      </x:c>
    </x:row>
    <x:row r="7">
      <x:c r="A7" s="168" t="str">
        <x:v>Best Extractor Source</x:v>
      </x:c>
      <x:c r="B7" s="180" t="str">
        <x:f>INDEX('02 Scenario Matrix'!$G$3:$G$929,MATCH(MAX('02 Scenario Matrix'!$AD$3:$AD$929),'02 Scenario Matrix'!$AD$3:$AD$929,0))</x:f>
        <x:v>NES 2-for-1 extractor sale</x:v>
      </x:c>
    </x:row>
    <x:row r="8">
      <x:c r="A8" s="168" t="str">
        <x:v>Best Queue Count</x:v>
      </x:c>
      <x:c r="B8" s="180" t="n">
        <x:f>INDEX('02 Scenario Matrix'!$E$3:$E$929,MATCH(MAX('02 Scenario Matrix'!$AD$3:$AD$929),'02 Scenario Matrix'!$AD$3:$AD$929,0))</x:f>
        <x:v>3</x:v>
      </x:c>
    </x:row>
    <x:row r="9">
      <x:c r="A9" s="169" t="str">
        <x:v>Best Status</x:v>
      </x:c>
      <x:c r="B9" s="181" t="str">
        <x:f>IF(MAX('02 Scenario Matrix'!$AD$3:$AD$929)&gt;0,"PROFIT","LOSS")</x:f>
        <x:v>PROFIT</x:v>
      </x:c>
    </x:row>
    <x:row r="12">
      <x:c r="A12" s="138" t="str">
        <x:v>Rank</x:v>
      </x:c>
      <x:c r="B12" s="139" t="str">
        <x:v>Profit ISK</x:v>
      </x:c>
      <x:c r="C12" s="139" t="str">
        <x:v>Scenario ID</x:v>
      </x:c>
      <x:c r="D12" s="139" t="str">
        <x:v>Type</x:v>
      </x:c>
      <x:c r="E12" s="139" t="str">
        <x:v>Training Offer</x:v>
      </x:c>
      <x:c r="F12" s="139" t="str">
        <x:v>Queues</x:v>
      </x:c>
      <x:c r="G12" s="139" t="str">
        <x:v>MCT Source</x:v>
      </x:c>
      <x:c r="H12" s="139" t="str">
        <x:v>Extractor Source</x:v>
      </x:c>
      <x:c r="I12" s="139" t="str">
        <x:v>Months</x:v>
      </x:c>
      <x:c r="J12" s="139" t="str">
        <x:v>Net Revenue ISK</x:v>
      </x:c>
      <x:c r="K12" s="139" t="str">
        <x:v>Total Cost ISK</x:v>
      </x:c>
      <x:c r="L12" s="139" t="str">
        <x:v>Profit/Month</x:v>
      </x:c>
      <x:c r="M12" s="140" t="str">
        <x:v>Status</x:v>
      </x:c>
    </x:row>
    <x:row r="13">
      <x:c r="A13" s="86" t="n">
        <x:v>1</x:v>
      </x:c>
      <x:c r="B13" s="87" t="n">
        <x:f>LARGE('02 Scenario Matrix'!$AD$3:$AD$929,A13)</x:f>
        <x:v>16333386239.999985</x:v>
      </x:c>
      <x:c r="C13" s="88" t="n">
        <x:f>INDEX('02 Scenario Matrix'!$A$3:$A$929,MATCH(B13,'02 Scenario Matrix'!$AD$3:$AD$929,0))</x:f>
        <x:v>924</x:v>
      </x:c>
      <x:c r="D13" s="88" t="str">
        <x:f>INDEX('02 Scenario Matrix'!$B$3:$B$929,MATCH(B13,'02 Scenario Matrix'!$AD$3:$AD$929,0))</x:f>
        <x:v>Omega+MCT 50% Bundle</x:v>
      </x:c>
      <x:c r="E13" s="88" t="str">
        <x:f>INDEX('02 Scenario Matrix'!$C$3:$C$929,MATCH(B13,'02 Scenario Matrix'!$AD$3:$AD$929,0))</x:f>
        <x:v>12M Omega + 24M MCT 50% bundle</x:v>
      </x:c>
      <x:c r="F13" s="88" t="n">
        <x:f>INDEX('02 Scenario Matrix'!$E$3:$E$929,MATCH(B13,'02 Scenario Matrix'!$AD$3:$AD$929,0))</x:f>
        <x:v>3</x:v>
      </x:c>
      <x:c r="G13" s="88" t="str">
        <x:f>INDEX('02 Scenario Matrix'!$F$3:$F$929,MATCH(B13,'02 Scenario Matrix'!$AD$3:$AD$929,0))</x:f>
        <x:v>Included in Omega+MCT bundle</x:v>
      </x:c>
      <x:c r="H13" s="88" t="str">
        <x:f>INDEX('02 Scenario Matrix'!$G$3:$G$929,MATCH(B13,'02 Scenario Matrix'!$AD$3:$AD$929,0))</x:f>
        <x:v>NES 2-for-1 extractor sale</x:v>
      </x:c>
      <x:c r="I13" s="88" t="n">
        <x:f>INDEX('02 Scenario Matrix'!$D$3:$D$929,MATCH(B13,'02 Scenario Matrix'!$AD$3:$AD$929,0))</x:f>
        <x:v>12</x:v>
      </x:c>
      <x:c r="J13" s="87" t="n">
        <x:f>INDEX('02 Scenario Matrix'!$AB$3:$AB$929,MATCH(B13,'02 Scenario Matrix'!$AD$3:$AD$929,0))</x:f>
        <x:v>100112811839.99998</x:v>
      </x:c>
      <x:c r="K13" s="87" t="n">
        <x:f>INDEX('02 Scenario Matrix'!$AC$3:$AC$929,MATCH(B13,'02 Scenario Matrix'!$AD$3:$AD$929,0))</x:f>
        <x:v>83779425600</x:v>
      </x:c>
      <x:c r="L13" s="87" t="n">
        <x:f>INDEX('02 Scenario Matrix'!$AE$3:$AE$929,MATCH(B13,'02 Scenario Matrix'!$AD$3:$AD$929,0))</x:f>
        <x:v>1361115519.9999988</x:v>
      </x:c>
      <x:c r="M13" s="89" t="str">
        <x:f>INDEX('02 Scenario Matrix'!$AH$3:$AH$929,MATCH(B13,'02 Scenario Matrix'!$AD$3:$AD$929,0))</x:f>
        <x:v>PROFIT</x:v>
      </x:c>
    </x:row>
    <x:row r="14">
      <x:c r="A14" s="86" t="n">
        <x:v>2</x:v>
      </x:c>
      <x:c r="B14" s="87" t="n">
        <x:f>LARGE('02 Scenario Matrix'!$AD$3:$AD$929,A14)</x:f>
        <x:v>13388292479.99997</x:v>
      </x:c>
      <x:c r="C14" s="88" t="n">
        <x:f>INDEX('02 Scenario Matrix'!$A$3:$A$929,MATCH(B14,'02 Scenario Matrix'!$AD$3:$AD$929,0))</x:f>
        <x:v>879</x:v>
      </x:c>
      <x:c r="D14" s="88" t="str">
        <x:f>INDEX('02 Scenario Matrix'!$B$3:$B$929,MATCH(B14,'02 Scenario Matrix'!$AD$3:$AD$929,0))</x:f>
        <x:v>Sale/Event</x:v>
      </x:c>
      <x:c r="E14" s="88" t="str">
        <x:f>INDEX('02 Scenario Matrix'!$C$3:$C$929,MATCH(B14,'02 Scenario Matrix'!$AD$3:$AD$929,0))</x:f>
        <x:v>Winter 24M Omega sale</x:v>
      </x:c>
      <x:c r="F14" s="88" t="n">
        <x:f>INDEX('02 Scenario Matrix'!$E$3:$E$929,MATCH(B14,'02 Scenario Matrix'!$AD$3:$AD$929,0))</x:f>
        <x:v>3</x:v>
      </x:c>
      <x:c r="G14" s="88" t="str">
        <x:f>INDEX('02 Scenario Matrix'!$F$3:$F$929,MATCH(B14,'02 Scenario Matrix'!$AD$3:$AD$929,0))</x:f>
        <x:v>NES MCT 40% sale</x:v>
      </x:c>
      <x:c r="H14" s="88" t="str">
        <x:f>INDEX('02 Scenario Matrix'!$G$3:$G$929,MATCH(B14,'02 Scenario Matrix'!$AD$3:$AD$929,0))</x:f>
        <x:v>NES 2-for-1 extractor sale</x:v>
      </x:c>
      <x:c r="I14" s="88" t="n">
        <x:f>INDEX('02 Scenario Matrix'!$D$3:$D$929,MATCH(B14,'02 Scenario Matrix'!$AD$3:$AD$929,0))</x:f>
        <x:v>24</x:v>
      </x:c>
      <x:c r="J14" s="87" t="n">
        <x:f>INDEX('02 Scenario Matrix'!$AB$3:$AB$929,MATCH(B14,'02 Scenario Matrix'!$AD$3:$AD$929,0))</x:f>
        <x:v>200225623679.99997</x:v>
      </x:c>
      <x:c r="K14" s="87" t="n">
        <x:f>INDEX('02 Scenario Matrix'!$AC$3:$AC$929,MATCH(B14,'02 Scenario Matrix'!$AD$3:$AD$929,0))</x:f>
        <x:v>186837331200</x:v>
      </x:c>
      <x:c r="L14" s="87" t="n">
        <x:f>INDEX('02 Scenario Matrix'!$AE$3:$AE$929,MATCH(B14,'02 Scenario Matrix'!$AD$3:$AD$929,0))</x:f>
        <x:v>557845519.9999987</x:v>
      </x:c>
      <x:c r="M14" s="89" t="str">
        <x:f>INDEX('02 Scenario Matrix'!$AH$3:$AH$929,MATCH(B14,'02 Scenario Matrix'!$AD$3:$AD$929,0))</x:f>
        <x:v>PROFIT</x:v>
      </x:c>
    </x:row>
    <x:row r="15">
      <x:c r="A15" s="86" t="n">
        <x:v>3</x:v>
      </x:c>
      <x:c r="B15" s="87" t="n">
        <x:f>LARGE('02 Scenario Matrix'!$AD$3:$AD$929,A15)</x:f>
        <x:v>11657608320</x:v>
      </x:c>
      <x:c r="C15" s="88" t="n">
        <x:f>INDEX('02 Scenario Matrix'!$A$3:$A$929,MATCH(B15,'02 Scenario Matrix'!$AD$3:$AD$929,0))</x:f>
        <x:v>834</x:v>
      </x:c>
      <x:c r="D15" s="88" t="str">
        <x:f>INDEX('02 Scenario Matrix'!$B$3:$B$929,MATCH(B15,'02 Scenario Matrix'!$AD$3:$AD$929,0))</x:f>
        <x:v>Sale/Event</x:v>
      </x:c>
      <x:c r="E15" s="88" t="str">
        <x:f>INDEX('02 Scenario Matrix'!$C$3:$C$929,MATCH(B15,'02 Scenario Matrix'!$AD$3:$AD$929,0))</x:f>
        <x:v>Winter 24M Omega sale</x:v>
      </x:c>
      <x:c r="F15" s="88" t="n">
        <x:f>INDEX('02 Scenario Matrix'!$E$3:$E$929,MATCH(B15,'02 Scenario Matrix'!$AD$3:$AD$929,0))</x:f>
        <x:v>2</x:v>
      </x:c>
      <x:c r="G15" s="88" t="str">
        <x:f>INDEX('02 Scenario Matrix'!$F$3:$F$929,MATCH(B15,'02 Scenario Matrix'!$AD$3:$AD$929,0))</x:f>
        <x:v>NES MCT 40% sale</x:v>
      </x:c>
      <x:c r="H15" s="88" t="str">
        <x:f>INDEX('02 Scenario Matrix'!$G$3:$G$929,MATCH(B15,'02 Scenario Matrix'!$AD$3:$AD$929,0))</x:f>
        <x:v>NES 2-for-1 extractor sale</x:v>
      </x:c>
      <x:c r="I15" s="88" t="n">
        <x:f>INDEX('02 Scenario Matrix'!$D$3:$D$929,MATCH(B15,'02 Scenario Matrix'!$AD$3:$AD$929,0))</x:f>
        <x:v>24</x:v>
      </x:c>
      <x:c r="J15" s="87" t="n">
        <x:f>INDEX('02 Scenario Matrix'!$AB$3:$AB$929,MATCH(B15,'02 Scenario Matrix'!$AD$3:$AD$929,0))</x:f>
        <x:v>133483749120</x:v>
      </x:c>
      <x:c r="K15" s="87" t="n">
        <x:f>INDEX('02 Scenario Matrix'!$AC$3:$AC$929,MATCH(B15,'02 Scenario Matrix'!$AD$3:$AD$929,0))</x:f>
        <x:v>121826140800</x:v>
      </x:c>
      <x:c r="L15" s="87" t="n">
        <x:f>INDEX('02 Scenario Matrix'!$AE$3:$AE$929,MATCH(B15,'02 Scenario Matrix'!$AD$3:$AD$929,0))</x:f>
        <x:v>485733680</x:v>
      </x:c>
      <x:c r="M15" s="89" t="str">
        <x:f>INDEX('02 Scenario Matrix'!$AH$3:$AH$929,MATCH(B15,'02 Scenario Matrix'!$AD$3:$AD$929,0))</x:f>
        <x:v>PROFIT</x:v>
      </x:c>
    </x:row>
    <x:row r="16">
      <x:c r="A16" s="86" t="n">
        <x:v>4</x:v>
      </x:c>
      <x:c r="B16" s="87" t="n">
        <x:f>LARGE('02 Scenario Matrix'!$AD$3:$AD$929,A16)</x:f>
        <x:v>9926924160</x:v>
      </x:c>
      <x:c r="C16" s="88" t="n">
        <x:f>INDEX('02 Scenario Matrix'!$A$3:$A$929,MATCH(B16,'02 Scenario Matrix'!$AD$3:$AD$929,0))</x:f>
        <x:v>798</x:v>
      </x:c>
      <x:c r="D16" s="88" t="str">
        <x:f>INDEX('02 Scenario Matrix'!$B$3:$B$929,MATCH(B16,'02 Scenario Matrix'!$AD$3:$AD$929,0))</x:f>
        <x:v>Sale/Event</x:v>
      </x:c>
      <x:c r="E16" s="88" t="str">
        <x:f>INDEX('02 Scenario Matrix'!$C$3:$C$929,MATCH(B16,'02 Scenario Matrix'!$AD$3:$AD$929,0))</x:f>
        <x:v>Winter 24M Omega sale</x:v>
      </x:c>
      <x:c r="F16" s="88" t="n">
        <x:f>INDEX('02 Scenario Matrix'!$E$3:$E$929,MATCH(B16,'02 Scenario Matrix'!$AD$3:$AD$929,0))</x:f>
        <x:v>1</x:v>
      </x:c>
      <x:c r="G16" s="88" t="str">
        <x:f>INDEX('02 Scenario Matrix'!$F$3:$F$929,MATCH(B16,'02 Scenario Matrix'!$AD$3:$AD$929,0))</x:f>
        <x:v>No MCT</x:v>
      </x:c>
      <x:c r="H16" s="88" t="str">
        <x:f>INDEX('02 Scenario Matrix'!$G$3:$G$929,MATCH(B16,'02 Scenario Matrix'!$AD$3:$AD$929,0))</x:f>
        <x:v>NES 2-for-1 extractor sale</x:v>
      </x:c>
      <x:c r="I16" s="88" t="n">
        <x:f>INDEX('02 Scenario Matrix'!$D$3:$D$929,MATCH(B16,'02 Scenario Matrix'!$AD$3:$AD$929,0))</x:f>
        <x:v>24</x:v>
      </x:c>
      <x:c r="J16" s="87" t="n">
        <x:f>INDEX('02 Scenario Matrix'!$AB$3:$AB$929,MATCH(B16,'02 Scenario Matrix'!$AD$3:$AD$929,0))</x:f>
        <x:v>66741874560</x:v>
      </x:c>
      <x:c r="K16" s="87" t="n">
        <x:f>INDEX('02 Scenario Matrix'!$AC$3:$AC$929,MATCH(B16,'02 Scenario Matrix'!$AD$3:$AD$929,0))</x:f>
        <x:v>56814950400</x:v>
      </x:c>
      <x:c r="L16" s="87" t="n">
        <x:f>INDEX('02 Scenario Matrix'!$AE$3:$AE$929,MATCH(B16,'02 Scenario Matrix'!$AD$3:$AD$929,0))</x:f>
        <x:v>413621840</x:v>
      </x:c>
      <x:c r="M16" s="89" t="str">
        <x:f>INDEX('02 Scenario Matrix'!$AH$3:$AH$929,MATCH(B16,'02 Scenario Matrix'!$AD$3:$AD$929,0))</x:f>
        <x:v>PROFIT</x:v>
      </x:c>
    </x:row>
    <x:row r="17">
      <x:c r="A17" s="86" t="n">
        <x:v>5</x:v>
      </x:c>
      <x:c r="B17" s="87" t="n">
        <x:f>LARGE('02 Scenario Matrix'!$AD$3:$AD$929,A17)</x:f>
        <x:v>7445193119.999992</x:v>
      </x:c>
      <x:c r="C17" s="88" t="n">
        <x:f>INDEX('02 Scenario Matrix'!$A$3:$A$929,MATCH(B17,'02 Scenario Matrix'!$AD$3:$AD$929,0))</x:f>
        <x:v>915</x:v>
      </x:c>
      <x:c r="D17" s="88" t="str">
        <x:f>INDEX('02 Scenario Matrix'!$B$3:$B$929,MATCH(B17,'02 Scenario Matrix'!$AD$3:$AD$929,0))</x:f>
        <x:v>Omega+MCT 50% Bundle</x:v>
      </x:c>
      <x:c r="E17" s="88" t="str">
        <x:f>INDEX('02 Scenario Matrix'!$C$3:$C$929,MATCH(B17,'02 Scenario Matrix'!$AD$3:$AD$929,0))</x:f>
        <x:v>6M Omega + 12M MCT 50% bundle</x:v>
      </x:c>
      <x:c r="F17" s="88" t="n">
        <x:f>INDEX('02 Scenario Matrix'!$E$3:$E$929,MATCH(B17,'02 Scenario Matrix'!$AD$3:$AD$929,0))</x:f>
        <x:v>3</x:v>
      </x:c>
      <x:c r="G17" s="88" t="str">
        <x:f>INDEX('02 Scenario Matrix'!$F$3:$F$929,MATCH(B17,'02 Scenario Matrix'!$AD$3:$AD$929,0))</x:f>
        <x:v>Included in Omega+MCT bundle</x:v>
      </x:c>
      <x:c r="H17" s="88" t="str">
        <x:f>INDEX('02 Scenario Matrix'!$G$3:$G$929,MATCH(B17,'02 Scenario Matrix'!$AD$3:$AD$929,0))</x:f>
        <x:v>NES 2-for-1 extractor sale</x:v>
      </x:c>
      <x:c r="I17" s="88" t="n">
        <x:f>INDEX('02 Scenario Matrix'!$D$3:$D$929,MATCH(B17,'02 Scenario Matrix'!$AD$3:$AD$929,0))</x:f>
        <x:v>6</x:v>
      </x:c>
      <x:c r="J17" s="87" t="n">
        <x:f>INDEX('02 Scenario Matrix'!$AB$3:$AB$929,MATCH(B17,'02 Scenario Matrix'!$AD$3:$AD$929,0))</x:f>
        <x:v>50056405919.99999</x:v>
      </x:c>
      <x:c r="K17" s="87" t="n">
        <x:f>INDEX('02 Scenario Matrix'!$AC$3:$AC$929,MATCH(B17,'02 Scenario Matrix'!$AD$3:$AD$929,0))</x:f>
        <x:v>42611212800</x:v>
      </x:c>
      <x:c r="L17" s="87" t="n">
        <x:f>INDEX('02 Scenario Matrix'!$AE$3:$AE$929,MATCH(B17,'02 Scenario Matrix'!$AD$3:$AD$929,0))</x:f>
        <x:v>1240865519.9999988</x:v>
      </x:c>
      <x:c r="M17" s="89" t="str">
        <x:f>INDEX('02 Scenario Matrix'!$AH$3:$AH$929,MATCH(B17,'02 Scenario Matrix'!$AD$3:$AD$929,0))</x:f>
        <x:v>PROFIT</x:v>
      </x:c>
    </x:row>
    <x:row r="18">
      <x:c r="A18" s="86" t="n">
        <x:v>6</x:v>
      </x:c>
      <x:c r="B18" s="87" t="n">
        <x:f>LARGE('02 Scenario Matrix'!$AD$3:$AD$929,A18)</x:f>
        <x:v>7039092479.9999695</x:v>
      </x:c>
      <x:c r="C18" s="88" t="n">
        <x:f>INDEX('02 Scenario Matrix'!$A$3:$A$929,MATCH(B18,'02 Scenario Matrix'!$AD$3:$AD$929,0))</x:f>
        <x:v>483</x:v>
      </x:c>
      <x:c r="D18" s="88" t="str">
        <x:f>INDEX('02 Scenario Matrix'!$B$3:$B$929,MATCH(B18,'02 Scenario Matrix'!$AD$3:$AD$929,0))</x:f>
        <x:v>Base</x:v>
      </x:c>
      <x:c r="E18" s="88" t="str">
        <x:f>INDEX('02 Scenario Matrix'!$C$3:$C$929,MATCH(B18,'02 Scenario Matrix'!$AD$3:$AD$929,0))</x:f>
        <x:v>24M Omega</x:v>
      </x:c>
      <x:c r="F18" s="88" t="n">
        <x:f>INDEX('02 Scenario Matrix'!$E$3:$E$929,MATCH(B18,'02 Scenario Matrix'!$AD$3:$AD$929,0))</x:f>
        <x:v>3</x:v>
      </x:c>
      <x:c r="G18" s="88" t="str">
        <x:f>INDEX('02 Scenario Matrix'!$F$3:$F$929,MATCH(B18,'02 Scenario Matrix'!$AD$3:$AD$929,0))</x:f>
        <x:v>NES MCT 40% sale</x:v>
      </x:c>
      <x:c r="H18" s="88" t="str">
        <x:f>INDEX('02 Scenario Matrix'!$G$3:$G$929,MATCH(B18,'02 Scenario Matrix'!$AD$3:$AD$929,0))</x:f>
        <x:v>NES 2-for-1 extractor sale</x:v>
      </x:c>
      <x:c r="I18" s="88" t="n">
        <x:f>INDEX('02 Scenario Matrix'!$D$3:$D$929,MATCH(B18,'02 Scenario Matrix'!$AD$3:$AD$929,0))</x:f>
        <x:v>24</x:v>
      </x:c>
      <x:c r="J18" s="87" t="n">
        <x:f>INDEX('02 Scenario Matrix'!$AB$3:$AB$929,MATCH(B18,'02 Scenario Matrix'!$AD$3:$AD$929,0))</x:f>
        <x:v>200225623679.99997</x:v>
      </x:c>
      <x:c r="K18" s="87" t="n">
        <x:f>INDEX('02 Scenario Matrix'!$AC$3:$AC$929,MATCH(B18,'02 Scenario Matrix'!$AD$3:$AD$929,0))</x:f>
        <x:v>193186531200</x:v>
      </x:c>
      <x:c r="L18" s="87" t="n">
        <x:f>INDEX('02 Scenario Matrix'!$AE$3:$AE$929,MATCH(B18,'02 Scenario Matrix'!$AD$3:$AD$929,0))</x:f>
        <x:v>293295519.99999875</x:v>
      </x:c>
      <x:c r="M18" s="89" t="str">
        <x:f>INDEX('02 Scenario Matrix'!$AH$3:$AH$929,MATCH(B18,'02 Scenario Matrix'!$AD$3:$AD$929,0))</x:f>
        <x:v>PROFIT</x:v>
      </x:c>
    </x:row>
    <x:row r="19">
      <x:c r="A19" s="86" t="n">
        <x:v>7</x:v>
      </x:c>
      <x:c r="B19" s="87" t="n">
        <x:f>LARGE('02 Scenario Matrix'!$AD$3:$AD$929,A19)</x:f>
        <x:v>6405546239.999985</x:v>
      </x:c>
      <x:c r="C19" s="88" t="n">
        <x:f>INDEX('02 Scenario Matrix'!$A$3:$A$929,MATCH(B19,'02 Scenario Matrix'!$AD$3:$AD$929,0))</x:f>
        <x:v>780</x:v>
      </x:c>
      <x:c r="D19" s="88" t="str">
        <x:f>INDEX('02 Scenario Matrix'!$B$3:$B$929,MATCH(B19,'02 Scenario Matrix'!$AD$3:$AD$929,0))</x:f>
        <x:v>Sale/Event</x:v>
      </x:c>
      <x:c r="E19" s="88" t="str">
        <x:f>INDEX('02 Scenario Matrix'!$C$3:$C$929,MATCH(B19,'02 Scenario Matrix'!$AD$3:$AD$929,0))</x:f>
        <x:v>Winter 12M Omega sale</x:v>
      </x:c>
      <x:c r="F19" s="88" t="n">
        <x:f>INDEX('02 Scenario Matrix'!$E$3:$E$929,MATCH(B19,'02 Scenario Matrix'!$AD$3:$AD$929,0))</x:f>
        <x:v>3</x:v>
      </x:c>
      <x:c r="G19" s="88" t="str">
        <x:f>INDEX('02 Scenario Matrix'!$F$3:$F$929,MATCH(B19,'02 Scenario Matrix'!$AD$3:$AD$929,0))</x:f>
        <x:v>NES MCT 40% sale</x:v>
      </x:c>
      <x:c r="H19" s="88" t="str">
        <x:f>INDEX('02 Scenario Matrix'!$G$3:$G$929,MATCH(B19,'02 Scenario Matrix'!$AD$3:$AD$929,0))</x:f>
        <x:v>NES 2-for-1 extractor sale</x:v>
      </x:c>
      <x:c r="I19" s="88" t="n">
        <x:f>INDEX('02 Scenario Matrix'!$D$3:$D$929,MATCH(B19,'02 Scenario Matrix'!$AD$3:$AD$929,0))</x:f>
        <x:v>12</x:v>
      </x:c>
      <x:c r="J19" s="87" t="n">
        <x:f>INDEX('02 Scenario Matrix'!$AB$3:$AB$929,MATCH(B19,'02 Scenario Matrix'!$AD$3:$AD$929,0))</x:f>
        <x:v>100112811839.99998</x:v>
      </x:c>
      <x:c r="K19" s="87" t="n">
        <x:f>INDEX('02 Scenario Matrix'!$AC$3:$AC$929,MATCH(B19,'02 Scenario Matrix'!$AD$3:$AD$929,0))</x:f>
        <x:v>93707265600</x:v>
      </x:c>
      <x:c r="L19" s="87" t="n">
        <x:f>INDEX('02 Scenario Matrix'!$AE$3:$AE$929,MATCH(B19,'02 Scenario Matrix'!$AD$3:$AD$929,0))</x:f>
        <x:v>533795519.99999875</x:v>
      </x:c>
      <x:c r="M19" s="89" t="str">
        <x:f>INDEX('02 Scenario Matrix'!$AH$3:$AH$929,MATCH(B19,'02 Scenario Matrix'!$AD$3:$AD$929,0))</x:f>
        <x:v>PROFIT</x:v>
      </x:c>
    </x:row>
    <x:row r="20">
      <x:c r="A20" s="86" t="n">
        <x:v>8</x:v>
      </x:c>
      <x:c r="B20" s="87" t="n">
        <x:f>LARGE('02 Scenario Matrix'!$AD$3:$AD$929,A20)</x:f>
        <x:v>6058768320</x:v>
      </x:c>
      <x:c r="C20" s="88" t="n">
        <x:f>INDEX('02 Scenario Matrix'!$A$3:$A$929,MATCH(B20,'02 Scenario Matrix'!$AD$3:$AD$929,0))</x:f>
        <x:v>825</x:v>
      </x:c>
      <x:c r="D20" s="88" t="str">
        <x:f>INDEX('02 Scenario Matrix'!$B$3:$B$929,MATCH(B20,'02 Scenario Matrix'!$AD$3:$AD$929,0))</x:f>
        <x:v>Sale/Event</x:v>
      </x:c>
      <x:c r="E20" s="88" t="str">
        <x:f>INDEX('02 Scenario Matrix'!$C$3:$C$929,MATCH(B20,'02 Scenario Matrix'!$AD$3:$AD$929,0))</x:f>
        <x:v>Winter 24M Omega sale</x:v>
      </x:c>
      <x:c r="F20" s="88" t="n">
        <x:f>INDEX('02 Scenario Matrix'!$E$3:$E$929,MATCH(B20,'02 Scenario Matrix'!$AD$3:$AD$929,0))</x:f>
        <x:v>2</x:v>
      </x:c>
      <x:c r="G20" s="88" t="str">
        <x:f>INDEX('02 Scenario Matrix'!$F$3:$F$929,MATCH(B20,'02 Scenario Matrix'!$AD$3:$AD$929,0))</x:f>
        <x:v>NES MCT 30% sale</x:v>
      </x:c>
      <x:c r="H20" s="88" t="str">
        <x:f>INDEX('02 Scenario Matrix'!$G$3:$G$929,MATCH(B20,'02 Scenario Matrix'!$AD$3:$AD$929,0))</x:f>
        <x:v>NES 2-for-1 extractor sale</x:v>
      </x:c>
      <x:c r="I20" s="88" t="n">
        <x:f>INDEX('02 Scenario Matrix'!$D$3:$D$929,MATCH(B20,'02 Scenario Matrix'!$AD$3:$AD$929,0))</x:f>
        <x:v>24</x:v>
      </x:c>
      <x:c r="J20" s="87" t="n">
        <x:f>INDEX('02 Scenario Matrix'!$AB$3:$AB$929,MATCH(B20,'02 Scenario Matrix'!$AD$3:$AD$929,0))</x:f>
        <x:v>133483749120</x:v>
      </x:c>
      <x:c r="K20" s="87" t="n">
        <x:f>INDEX('02 Scenario Matrix'!$AC$3:$AC$929,MATCH(B20,'02 Scenario Matrix'!$AD$3:$AD$929,0))</x:f>
        <x:v>127424980800</x:v>
      </x:c>
      <x:c r="L20" s="87" t="n">
        <x:f>INDEX('02 Scenario Matrix'!$AE$3:$AE$929,MATCH(B20,'02 Scenario Matrix'!$AD$3:$AD$929,0))</x:f>
        <x:v>252448680</x:v>
      </x:c>
      <x:c r="M20" s="89" t="str">
        <x:f>INDEX('02 Scenario Matrix'!$AH$3:$AH$929,MATCH(B20,'02 Scenario Matrix'!$AD$3:$AD$929,0))</x:f>
        <x:v>PROFIT</x:v>
      </x:c>
    </x:row>
    <x:row r="21">
      <x:c r="A21" s="86" t="n">
        <x:v>9</x:v>
      </x:c>
      <x:c r="B21" s="87" t="n">
        <x:f>LARGE('02 Scenario Matrix'!$AD$3:$AD$929,A21)</x:f>
        <x:v>5540204160</x:v>
      </x:c>
      <x:c r="C21" s="88" t="n">
        <x:f>INDEX('02 Scenario Matrix'!$A$3:$A$929,MATCH(B21,'02 Scenario Matrix'!$AD$3:$AD$929,0))</x:f>
        <x:v>735</x:v>
      </x:c>
      <x:c r="D21" s="88" t="str">
        <x:f>INDEX('02 Scenario Matrix'!$B$3:$B$929,MATCH(B21,'02 Scenario Matrix'!$AD$3:$AD$929,0))</x:f>
        <x:v>Sale/Event</x:v>
      </x:c>
      <x:c r="E21" s="88" t="str">
        <x:f>INDEX('02 Scenario Matrix'!$C$3:$C$929,MATCH(B21,'02 Scenario Matrix'!$AD$3:$AD$929,0))</x:f>
        <x:v>Winter 12M Omega sale</x:v>
      </x:c>
      <x:c r="F21" s="88" t="n">
        <x:f>INDEX('02 Scenario Matrix'!$E$3:$E$929,MATCH(B21,'02 Scenario Matrix'!$AD$3:$AD$929,0))</x:f>
        <x:v>2</x:v>
      </x:c>
      <x:c r="G21" s="88" t="str">
        <x:f>INDEX('02 Scenario Matrix'!$F$3:$F$929,MATCH(B21,'02 Scenario Matrix'!$AD$3:$AD$929,0))</x:f>
        <x:v>NES MCT 40% sale</x:v>
      </x:c>
      <x:c r="H21" s="88" t="str">
        <x:f>INDEX('02 Scenario Matrix'!$G$3:$G$929,MATCH(B21,'02 Scenario Matrix'!$AD$3:$AD$929,0))</x:f>
        <x:v>NES 2-for-1 extractor sale</x:v>
      </x:c>
      <x:c r="I21" s="88" t="n">
        <x:f>INDEX('02 Scenario Matrix'!$D$3:$D$929,MATCH(B21,'02 Scenario Matrix'!$AD$3:$AD$929,0))</x:f>
        <x:v>12</x:v>
      </x:c>
      <x:c r="J21" s="87" t="n">
        <x:f>INDEX('02 Scenario Matrix'!$AB$3:$AB$929,MATCH(B21,'02 Scenario Matrix'!$AD$3:$AD$929,0))</x:f>
        <x:v>66741874560</x:v>
      </x:c>
      <x:c r="K21" s="87" t="n">
        <x:f>INDEX('02 Scenario Matrix'!$AC$3:$AC$929,MATCH(B21,'02 Scenario Matrix'!$AD$3:$AD$929,0))</x:f>
        <x:v>61201670400</x:v>
      </x:c>
      <x:c r="L21" s="87" t="n">
        <x:f>INDEX('02 Scenario Matrix'!$AE$3:$AE$929,MATCH(B21,'02 Scenario Matrix'!$AD$3:$AD$929,0))</x:f>
        <x:v>461683680</x:v>
      </x:c>
      <x:c r="M21" s="89" t="str">
        <x:f>INDEX('02 Scenario Matrix'!$AH$3:$AH$929,MATCH(B21,'02 Scenario Matrix'!$AD$3:$AD$929,0))</x:f>
        <x:v>PROFIT</x:v>
      </x:c>
    </x:row>
    <x:row r="22">
      <x:c r="A22" s="86" t="n">
        <x:v>10</x:v>
      </x:c>
      <x:c r="B22" s="87" t="n">
        <x:f>LARGE('02 Scenario Matrix'!$AD$3:$AD$929,A22)</x:f>
        <x:v>5308408320</x:v>
      </x:c>
      <x:c r="C22" s="88" t="n">
        <x:f>INDEX('02 Scenario Matrix'!$A$3:$A$929,MATCH(B22,'02 Scenario Matrix'!$AD$3:$AD$929,0))</x:f>
        <x:v>438</x:v>
      </x:c>
      <x:c r="D22" s="88" t="str">
        <x:f>INDEX('02 Scenario Matrix'!$B$3:$B$929,MATCH(B22,'02 Scenario Matrix'!$AD$3:$AD$929,0))</x:f>
        <x:v>Base</x:v>
      </x:c>
      <x:c r="E22" s="88" t="str">
        <x:f>INDEX('02 Scenario Matrix'!$C$3:$C$929,MATCH(B22,'02 Scenario Matrix'!$AD$3:$AD$929,0))</x:f>
        <x:v>24M Omega</x:v>
      </x:c>
      <x:c r="F22" s="88" t="n">
        <x:f>INDEX('02 Scenario Matrix'!$E$3:$E$929,MATCH(B22,'02 Scenario Matrix'!$AD$3:$AD$929,0))</x:f>
        <x:v>2</x:v>
      </x:c>
      <x:c r="G22" s="88" t="str">
        <x:f>INDEX('02 Scenario Matrix'!$F$3:$F$929,MATCH(B22,'02 Scenario Matrix'!$AD$3:$AD$929,0))</x:f>
        <x:v>NES MCT 40% sale</x:v>
      </x:c>
      <x:c r="H22" s="88" t="str">
        <x:f>INDEX('02 Scenario Matrix'!$G$3:$G$929,MATCH(B22,'02 Scenario Matrix'!$AD$3:$AD$929,0))</x:f>
        <x:v>NES 2-for-1 extractor sale</x:v>
      </x:c>
      <x:c r="I22" s="88" t="n">
        <x:f>INDEX('02 Scenario Matrix'!$D$3:$D$929,MATCH(B22,'02 Scenario Matrix'!$AD$3:$AD$929,0))</x:f>
        <x:v>24</x:v>
      </x:c>
      <x:c r="J22" s="87" t="n">
        <x:f>INDEX('02 Scenario Matrix'!$AB$3:$AB$929,MATCH(B22,'02 Scenario Matrix'!$AD$3:$AD$929,0))</x:f>
        <x:v>133483749120</x:v>
      </x:c>
      <x:c r="K22" s="87" t="n">
        <x:f>INDEX('02 Scenario Matrix'!$AC$3:$AC$929,MATCH(B22,'02 Scenario Matrix'!$AD$3:$AD$929,0))</x:f>
        <x:v>128175340800</x:v>
      </x:c>
      <x:c r="L22" s="87" t="n">
        <x:f>INDEX('02 Scenario Matrix'!$AE$3:$AE$929,MATCH(B22,'02 Scenario Matrix'!$AD$3:$AD$929,0))</x:f>
        <x:v>221183680</x:v>
      </x:c>
      <x:c r="M22" s="89" t="str">
        <x:f>INDEX('02 Scenario Matrix'!$AH$3:$AH$929,MATCH(B22,'02 Scenario Matrix'!$AD$3:$AD$929,0))</x:f>
        <x:v>PROFIT</x:v>
      </x:c>
    </x:row>
    <x:row r="23">
      <x:c r="A23" s="86" t="n">
        <x:v>11</x:v>
      </x:c>
      <x:c r="B23" s="87" t="n">
        <x:f>LARGE('02 Scenario Matrix'!$AD$3:$AD$929,A23)</x:f>
        <x:v>4674862080</x:v>
      </x:c>
      <x:c r="C23" s="88" t="n">
        <x:f>INDEX('02 Scenario Matrix'!$A$3:$A$929,MATCH(B23,'02 Scenario Matrix'!$AD$3:$AD$929,0))</x:f>
        <x:v>699</x:v>
      </x:c>
      <x:c r="D23" s="88" t="str">
        <x:f>INDEX('02 Scenario Matrix'!$B$3:$B$929,MATCH(B23,'02 Scenario Matrix'!$AD$3:$AD$929,0))</x:f>
        <x:v>Sale/Event</x:v>
      </x:c>
      <x:c r="E23" s="88" t="str">
        <x:f>INDEX('02 Scenario Matrix'!$C$3:$C$929,MATCH(B23,'02 Scenario Matrix'!$AD$3:$AD$929,0))</x:f>
        <x:v>Winter 12M Omega sale</x:v>
      </x:c>
      <x:c r="F23" s="88" t="n">
        <x:f>INDEX('02 Scenario Matrix'!$E$3:$E$929,MATCH(B23,'02 Scenario Matrix'!$AD$3:$AD$929,0))</x:f>
        <x:v>1</x:v>
      </x:c>
      <x:c r="G23" s="88" t="str">
        <x:f>INDEX('02 Scenario Matrix'!$F$3:$F$929,MATCH(B23,'02 Scenario Matrix'!$AD$3:$AD$929,0))</x:f>
        <x:v>No MCT</x:v>
      </x:c>
      <x:c r="H23" s="88" t="str">
        <x:f>INDEX('02 Scenario Matrix'!$G$3:$G$929,MATCH(B23,'02 Scenario Matrix'!$AD$3:$AD$929,0))</x:f>
        <x:v>NES 2-for-1 extractor sale</x:v>
      </x:c>
      <x:c r="I23" s="88" t="n">
        <x:f>INDEX('02 Scenario Matrix'!$D$3:$D$929,MATCH(B23,'02 Scenario Matrix'!$AD$3:$AD$929,0))</x:f>
        <x:v>12</x:v>
      </x:c>
      <x:c r="J23" s="87" t="n">
        <x:f>INDEX('02 Scenario Matrix'!$AB$3:$AB$929,MATCH(B23,'02 Scenario Matrix'!$AD$3:$AD$929,0))</x:f>
        <x:v>33370937280</x:v>
      </x:c>
      <x:c r="K23" s="87" t="n">
        <x:f>INDEX('02 Scenario Matrix'!$AC$3:$AC$929,MATCH(B23,'02 Scenario Matrix'!$AD$3:$AD$929,0))</x:f>
        <x:v>28696075200</x:v>
      </x:c>
      <x:c r="L23" s="87" t="n">
        <x:f>INDEX('02 Scenario Matrix'!$AE$3:$AE$929,MATCH(B23,'02 Scenario Matrix'!$AD$3:$AD$929,0))</x:f>
        <x:v>389571840</x:v>
      </x:c>
      <x:c r="M23" s="89" t="str">
        <x:f>INDEX('02 Scenario Matrix'!$AH$3:$AH$929,MATCH(B23,'02 Scenario Matrix'!$AD$3:$AD$929,0))</x:f>
        <x:v>PROFIT</x:v>
      </x:c>
    </x:row>
    <x:row r="24">
      <x:c r="A24" s="86" t="n">
        <x:v>12</x:v>
      </x:c>
      <x:c r="B24" s="87" t="n">
        <x:f>LARGE('02 Scenario Matrix'!$AD$3:$AD$929,A24)</x:f>
        <x:v>3577724160</x:v>
      </x:c>
      <x:c r="C24" s="88" t="n">
        <x:f>INDEX('02 Scenario Matrix'!$A$3:$A$929,MATCH(B24,'02 Scenario Matrix'!$AD$3:$AD$929,0))</x:f>
        <x:v>402</x:v>
      </x:c>
      <x:c r="D24" s="88" t="str">
        <x:f>INDEX('02 Scenario Matrix'!$B$3:$B$929,MATCH(B24,'02 Scenario Matrix'!$AD$3:$AD$929,0))</x:f>
        <x:v>Base</x:v>
      </x:c>
      <x:c r="E24" s="88" t="str">
        <x:f>INDEX('02 Scenario Matrix'!$C$3:$C$929,MATCH(B24,'02 Scenario Matrix'!$AD$3:$AD$929,0))</x:f>
        <x:v>24M Omega</x:v>
      </x:c>
      <x:c r="F24" s="88" t="n">
        <x:f>INDEX('02 Scenario Matrix'!$E$3:$E$929,MATCH(B24,'02 Scenario Matrix'!$AD$3:$AD$929,0))</x:f>
        <x:v>1</x:v>
      </x:c>
      <x:c r="G24" s="88" t="str">
        <x:f>INDEX('02 Scenario Matrix'!$F$3:$F$929,MATCH(B24,'02 Scenario Matrix'!$AD$3:$AD$929,0))</x:f>
        <x:v>No MCT</x:v>
      </x:c>
      <x:c r="H24" s="88" t="str">
        <x:f>INDEX('02 Scenario Matrix'!$G$3:$G$929,MATCH(B24,'02 Scenario Matrix'!$AD$3:$AD$929,0))</x:f>
        <x:v>NES 2-for-1 extractor sale</x:v>
      </x:c>
      <x:c r="I24" s="88" t="n">
        <x:f>INDEX('02 Scenario Matrix'!$D$3:$D$929,MATCH(B24,'02 Scenario Matrix'!$AD$3:$AD$929,0))</x:f>
        <x:v>24</x:v>
      </x:c>
      <x:c r="J24" s="87" t="n">
        <x:f>INDEX('02 Scenario Matrix'!$AB$3:$AB$929,MATCH(B24,'02 Scenario Matrix'!$AD$3:$AD$929,0))</x:f>
        <x:v>66741874560</x:v>
      </x:c>
      <x:c r="K24" s="87" t="n">
        <x:f>INDEX('02 Scenario Matrix'!$AC$3:$AC$929,MATCH(B24,'02 Scenario Matrix'!$AD$3:$AD$929,0))</x:f>
        <x:v>63164150400</x:v>
      </x:c>
      <x:c r="L24" s="87" t="n">
        <x:f>INDEX('02 Scenario Matrix'!$AE$3:$AE$929,MATCH(B24,'02 Scenario Matrix'!$AD$3:$AD$929,0))</x:f>
        <x:v>149071840</x:v>
      </x:c>
      <x:c r="M24" s="89" t="str">
        <x:f>INDEX('02 Scenario Matrix'!$AH$3:$AH$929,MATCH(B24,'02 Scenario Matrix'!$AD$3:$AD$929,0))</x:f>
        <x:v>PROFIT</x:v>
      </x:c>
    </x:row>
    <x:row r="25">
      <x:c r="A25" s="86" t="n">
        <x:v>13</x:v>
      </x:c>
      <x:c r="B25" s="87" t="n">
        <x:f>LARGE('02 Scenario Matrix'!$AD$3:$AD$929,A25)</x:f>
        <x:v>3361846559.999996</x:v>
      </x:c>
      <x:c r="C25" s="88" t="n">
        <x:f>INDEX('02 Scenario Matrix'!$A$3:$A$929,MATCH(B25,'02 Scenario Matrix'!$AD$3:$AD$929,0))</x:f>
        <x:v>906</x:v>
      </x:c>
      <x:c r="D25" s="88" t="str">
        <x:f>INDEX('02 Scenario Matrix'!$B$3:$B$929,MATCH(B25,'02 Scenario Matrix'!$AD$3:$AD$929,0))</x:f>
        <x:v>Omega+MCT 50% Bundle</x:v>
      </x:c>
      <x:c r="E25" s="88" t="str">
        <x:f>INDEX('02 Scenario Matrix'!$C$3:$C$929,MATCH(B25,'02 Scenario Matrix'!$AD$3:$AD$929,0))</x:f>
        <x:v>3M Omega + 6M MCT 50% bundle</x:v>
      </x:c>
      <x:c r="F25" s="88" t="n">
        <x:f>INDEX('02 Scenario Matrix'!$E$3:$E$929,MATCH(B25,'02 Scenario Matrix'!$AD$3:$AD$929,0))</x:f>
        <x:v>3</x:v>
      </x:c>
      <x:c r="G25" s="88" t="str">
        <x:f>INDEX('02 Scenario Matrix'!$F$3:$F$929,MATCH(B25,'02 Scenario Matrix'!$AD$3:$AD$929,0))</x:f>
        <x:v>Included in Omega+MCT bundle</x:v>
      </x:c>
      <x:c r="H25" s="88" t="str">
        <x:f>INDEX('02 Scenario Matrix'!$G$3:$G$929,MATCH(B25,'02 Scenario Matrix'!$AD$3:$AD$929,0))</x:f>
        <x:v>NES 2-for-1 extractor sale</x:v>
      </x:c>
      <x:c r="I25" s="88" t="n">
        <x:f>INDEX('02 Scenario Matrix'!$D$3:$D$929,MATCH(B25,'02 Scenario Matrix'!$AD$3:$AD$929,0))</x:f>
        <x:v>3</x:v>
      </x:c>
      <x:c r="J25" s="87" t="n">
        <x:f>INDEX('02 Scenario Matrix'!$AB$3:$AB$929,MATCH(B25,'02 Scenario Matrix'!$AD$3:$AD$929,0))</x:f>
        <x:v>25028202959.999996</x:v>
      </x:c>
      <x:c r="K25" s="87" t="n">
        <x:f>INDEX('02 Scenario Matrix'!$AC$3:$AC$929,MATCH(B25,'02 Scenario Matrix'!$AD$3:$AD$929,0))</x:f>
        <x:v>21666356400</x:v>
      </x:c>
      <x:c r="L25" s="87" t="n">
        <x:f>INDEX('02 Scenario Matrix'!$AE$3:$AE$929,MATCH(B25,'02 Scenario Matrix'!$AD$3:$AD$929,0))</x:f>
        <x:v>1120615519.9999988</x:v>
      </x:c>
      <x:c r="M25" s="89" t="str">
        <x:f>INDEX('02 Scenario Matrix'!$AH$3:$AH$929,MATCH(B25,'02 Scenario Matrix'!$AD$3:$AD$929,0))</x:f>
        <x:v>PROFIT</x:v>
      </x:c>
    </x:row>
    <x:row r="26">
      <x:c r="A26" s="86" t="n">
        <x:v>14</x:v>
      </x:c>
      <x:c r="B26" s="87" t="n">
        <x:f>LARGE('02 Scenario Matrix'!$AD$3:$AD$929,A26)</x:f>
        <x:v>3137763071.9999847</x:v>
      </x:c>
      <x:c r="C26" s="88" t="n">
        <x:f>INDEX('02 Scenario Matrix'!$A$3:$A$929,MATCH(B26,'02 Scenario Matrix'!$AD$3:$AD$929,0))</x:f>
        <x:v>926</x:v>
      </x:c>
      <x:c r="D26" s="88" t="str">
        <x:f>INDEX('02 Scenario Matrix'!$B$3:$B$929,MATCH(B26,'02 Scenario Matrix'!$AD$3:$AD$929,0))</x:f>
        <x:v>Omega+MCT 50% Bundle</x:v>
      </x:c>
      <x:c r="E26" s="88" t="str">
        <x:f>INDEX('02 Scenario Matrix'!$C$3:$C$929,MATCH(B26,'02 Scenario Matrix'!$AD$3:$AD$929,0))</x:f>
        <x:v>12M Omega + 24M MCT 50% bundle</x:v>
      </x:c>
      <x:c r="F26" s="88" t="n">
        <x:f>INDEX('02 Scenario Matrix'!$E$3:$E$929,MATCH(B26,'02 Scenario Matrix'!$AD$3:$AD$929,0))</x:f>
        <x:v>3</x:v>
      </x:c>
      <x:c r="G26" s="88" t="str">
        <x:f>INDEX('02 Scenario Matrix'!$F$3:$F$929,MATCH(B26,'02 Scenario Matrix'!$AD$3:$AD$929,0))</x:f>
        <x:v>Included in Omega+MCT bundle</x:v>
      </x:c>
      <x:c r="H26" s="88" t="str">
        <x:f>INDEX('02 Scenario Matrix'!$G$3:$G$929,MATCH(B26,'02 Scenario Matrix'!$AD$3:$AD$929,0))</x:f>
        <x:v>NES 50-pack extractor 20% sale</x:v>
      </x:c>
      <x:c r="I26" s="88" t="n">
        <x:f>INDEX('02 Scenario Matrix'!$D$3:$D$929,MATCH(B26,'02 Scenario Matrix'!$AD$3:$AD$929,0))</x:f>
        <x:v>12</x:v>
      </x:c>
      <x:c r="J26" s="87" t="n">
        <x:f>INDEX('02 Scenario Matrix'!$AB$3:$AB$929,MATCH(B26,'02 Scenario Matrix'!$AD$3:$AD$929,0))</x:f>
        <x:v>100112811839.99998</x:v>
      </x:c>
      <x:c r="K26" s="87" t="n">
        <x:f>INDEX('02 Scenario Matrix'!$AC$3:$AC$929,MATCH(B26,'02 Scenario Matrix'!$AD$3:$AD$929,0))</x:f>
        <x:v>96975048768</x:v>
      </x:c>
      <x:c r="L26" s="87" t="n">
        <x:f>INDEX('02 Scenario Matrix'!$AE$3:$AE$929,MATCH(B26,'02 Scenario Matrix'!$AD$3:$AD$929,0))</x:f>
        <x:v>261480255.99999872</x:v>
      </x:c>
      <x:c r="M26" s="89" t="str">
        <x:f>INDEX('02 Scenario Matrix'!$AH$3:$AH$929,MATCH(B26,'02 Scenario Matrix'!$AD$3:$AD$929,0))</x:f>
        <x:v>PROFIT</x:v>
      </x:c>
    </x:row>
    <x:row r="27">
      <x:c r="A27" s="86" t="n">
        <x:v>15</x:v>
      </x:c>
      <x:c r="B27" s="87" t="n">
        <x:f>LARGE('02 Scenario Matrix'!$AD$3:$AD$929,A27)</x:f>
        <x:v>2740784160</x:v>
      </x:c>
      <x:c r="C27" s="88" t="n">
        <x:f>INDEX('02 Scenario Matrix'!$A$3:$A$929,MATCH(B27,'02 Scenario Matrix'!$AD$3:$AD$929,0))</x:f>
        <x:v>726</x:v>
      </x:c>
      <x:c r="D27" s="88" t="str">
        <x:f>INDEX('02 Scenario Matrix'!$B$3:$B$929,MATCH(B27,'02 Scenario Matrix'!$AD$3:$AD$929,0))</x:f>
        <x:v>Sale/Event</x:v>
      </x:c>
      <x:c r="E27" s="88" t="str">
        <x:f>INDEX('02 Scenario Matrix'!$C$3:$C$929,MATCH(B27,'02 Scenario Matrix'!$AD$3:$AD$929,0))</x:f>
        <x:v>Winter 12M Omega sale</x:v>
      </x:c>
      <x:c r="F27" s="88" t="n">
        <x:f>INDEX('02 Scenario Matrix'!$E$3:$E$929,MATCH(B27,'02 Scenario Matrix'!$AD$3:$AD$929,0))</x:f>
        <x:v>2</x:v>
      </x:c>
      <x:c r="G27" s="88" t="str">
        <x:f>INDEX('02 Scenario Matrix'!$F$3:$F$929,MATCH(B27,'02 Scenario Matrix'!$AD$3:$AD$929,0))</x:f>
        <x:v>NES MCT 30% sale</x:v>
      </x:c>
      <x:c r="H27" s="88" t="str">
        <x:f>INDEX('02 Scenario Matrix'!$G$3:$G$929,MATCH(B27,'02 Scenario Matrix'!$AD$3:$AD$929,0))</x:f>
        <x:v>NES 2-for-1 extractor sale</x:v>
      </x:c>
      <x:c r="I27" s="88" t="n">
        <x:f>INDEX('02 Scenario Matrix'!$D$3:$D$929,MATCH(B27,'02 Scenario Matrix'!$AD$3:$AD$929,0))</x:f>
        <x:v>12</x:v>
      </x:c>
      <x:c r="J27" s="87" t="n">
        <x:f>INDEX('02 Scenario Matrix'!$AB$3:$AB$929,MATCH(B27,'02 Scenario Matrix'!$AD$3:$AD$929,0))</x:f>
        <x:v>66741874560</x:v>
      </x:c>
      <x:c r="K27" s="87" t="n">
        <x:f>INDEX('02 Scenario Matrix'!$AC$3:$AC$929,MATCH(B27,'02 Scenario Matrix'!$AD$3:$AD$929,0))</x:f>
        <x:v>64001090400</x:v>
      </x:c>
      <x:c r="L27" s="87" t="n">
        <x:f>INDEX('02 Scenario Matrix'!$AE$3:$AE$929,MATCH(B27,'02 Scenario Matrix'!$AD$3:$AD$929,0))</x:f>
        <x:v>228398680</x:v>
      </x:c>
      <x:c r="M27" s="89" t="str">
        <x:f>INDEX('02 Scenario Matrix'!$AH$3:$AH$929,MATCH(B27,'02 Scenario Matrix'!$AD$3:$AD$929,0))</x:f>
        <x:v>PROFIT</x:v>
      </x:c>
    </x:row>
    <x:row r="28">
      <x:c r="A28" s="86" t="n">
        <x:v>16</x:v>
      </x:c>
      <x:c r="B28" s="87" t="n">
        <x:f>LARGE('02 Scenario Matrix'!$AD$3:$AD$929,A28)</x:f>
        <x:v>2190612479.9999695</x:v>
      </x:c>
      <x:c r="C28" s="88" t="n">
        <x:f>INDEX('02 Scenario Matrix'!$A$3:$A$929,MATCH(B28,'02 Scenario Matrix'!$AD$3:$AD$929,0))</x:f>
        <x:v>870</x:v>
      </x:c>
      <x:c r="D28" s="88" t="str">
        <x:f>INDEX('02 Scenario Matrix'!$B$3:$B$929,MATCH(B28,'02 Scenario Matrix'!$AD$3:$AD$929,0))</x:f>
        <x:v>Sale/Event</x:v>
      </x:c>
      <x:c r="E28" s="88" t="str">
        <x:f>INDEX('02 Scenario Matrix'!$C$3:$C$929,MATCH(B28,'02 Scenario Matrix'!$AD$3:$AD$929,0))</x:f>
        <x:v>Winter 24M Omega sale</x:v>
      </x:c>
      <x:c r="F28" s="88" t="n">
        <x:f>INDEX('02 Scenario Matrix'!$E$3:$E$929,MATCH(B28,'02 Scenario Matrix'!$AD$3:$AD$929,0))</x:f>
        <x:v>3</x:v>
      </x:c>
      <x:c r="G28" s="88" t="str">
        <x:f>INDEX('02 Scenario Matrix'!$F$3:$F$929,MATCH(B28,'02 Scenario Matrix'!$AD$3:$AD$929,0))</x:f>
        <x:v>NES MCT 30% sale</x:v>
      </x:c>
      <x:c r="H28" s="88" t="str">
        <x:f>INDEX('02 Scenario Matrix'!$G$3:$G$929,MATCH(B28,'02 Scenario Matrix'!$AD$3:$AD$929,0))</x:f>
        <x:v>NES 2-for-1 extractor sale</x:v>
      </x:c>
      <x:c r="I28" s="88" t="n">
        <x:f>INDEX('02 Scenario Matrix'!$D$3:$D$929,MATCH(B28,'02 Scenario Matrix'!$AD$3:$AD$929,0))</x:f>
        <x:v>24</x:v>
      </x:c>
      <x:c r="J28" s="87" t="n">
        <x:f>INDEX('02 Scenario Matrix'!$AB$3:$AB$929,MATCH(B28,'02 Scenario Matrix'!$AD$3:$AD$929,0))</x:f>
        <x:v>200225623679.99997</x:v>
      </x:c>
      <x:c r="K28" s="87" t="n">
        <x:f>INDEX('02 Scenario Matrix'!$AC$3:$AC$929,MATCH(B28,'02 Scenario Matrix'!$AD$3:$AD$929,0))</x:f>
        <x:v>198035011200</x:v>
      </x:c>
      <x:c r="L28" s="87" t="n">
        <x:f>INDEX('02 Scenario Matrix'!$AE$3:$AE$929,MATCH(B28,'02 Scenario Matrix'!$AD$3:$AD$929,0))</x:f>
        <x:v>91275519.99999873</x:v>
      </x:c>
      <x:c r="M28" s="89" t="str">
        <x:f>INDEX('02 Scenario Matrix'!$AH$3:$AH$929,MATCH(B28,'02 Scenario Matrix'!$AD$3:$AD$929,0))</x:f>
        <x:v>PROFIT</x:v>
      </x:c>
    </x:row>
    <x:row r="29">
      <x:c r="A29" s="86" t="n">
        <x:v>17</x:v>
      </x:c>
      <x:c r="B29" s="87" t="n">
        <x:f>LARGE('02 Scenario Matrix'!$AD$3:$AD$929,A29)</x:f>
        <x:v>2076546239.9999847</x:v>
      </x:c>
      <x:c r="C29" s="88" t="n">
        <x:f>INDEX('02 Scenario Matrix'!$A$3:$A$929,MATCH(B29,'02 Scenario Matrix'!$AD$3:$AD$929,0))</x:f>
        <x:v>384</x:v>
      </x:c>
      <x:c r="D29" s="88" t="str">
        <x:f>INDEX('02 Scenario Matrix'!$B$3:$B$929,MATCH(B29,'02 Scenario Matrix'!$AD$3:$AD$929,0))</x:f>
        <x:v>Base</x:v>
      </x:c>
      <x:c r="E29" s="88" t="str">
        <x:f>INDEX('02 Scenario Matrix'!$C$3:$C$929,MATCH(B29,'02 Scenario Matrix'!$AD$3:$AD$929,0))</x:f>
        <x:v>12M Omega</x:v>
      </x:c>
      <x:c r="F29" s="88" t="n">
        <x:f>INDEX('02 Scenario Matrix'!$E$3:$E$929,MATCH(B29,'02 Scenario Matrix'!$AD$3:$AD$929,0))</x:f>
        <x:v>3</x:v>
      </x:c>
      <x:c r="G29" s="88" t="str">
        <x:f>INDEX('02 Scenario Matrix'!$F$3:$F$929,MATCH(B29,'02 Scenario Matrix'!$AD$3:$AD$929,0))</x:f>
        <x:v>NES MCT 40% sale</x:v>
      </x:c>
      <x:c r="H29" s="88" t="str">
        <x:f>INDEX('02 Scenario Matrix'!$G$3:$G$929,MATCH(B29,'02 Scenario Matrix'!$AD$3:$AD$929,0))</x:f>
        <x:v>NES 2-for-1 extractor sale</x:v>
      </x:c>
      <x:c r="I29" s="88" t="n">
        <x:f>INDEX('02 Scenario Matrix'!$D$3:$D$929,MATCH(B29,'02 Scenario Matrix'!$AD$3:$AD$929,0))</x:f>
        <x:v>12</x:v>
      </x:c>
      <x:c r="J29" s="87" t="n">
        <x:f>INDEX('02 Scenario Matrix'!$AB$3:$AB$929,MATCH(B29,'02 Scenario Matrix'!$AD$3:$AD$929,0))</x:f>
        <x:v>100112811839.99998</x:v>
      </x:c>
      <x:c r="K29" s="87" t="n">
        <x:f>INDEX('02 Scenario Matrix'!$AC$3:$AC$929,MATCH(B29,'02 Scenario Matrix'!$AD$3:$AD$929,0))</x:f>
        <x:v>98036265600</x:v>
      </x:c>
      <x:c r="L29" s="87" t="n">
        <x:f>INDEX('02 Scenario Matrix'!$AE$3:$AE$929,MATCH(B29,'02 Scenario Matrix'!$AD$3:$AD$929,0))</x:f>
        <x:v>173045519.99999872</x:v>
      </x:c>
      <x:c r="M29" s="89" t="str">
        <x:f>INDEX('02 Scenario Matrix'!$AH$3:$AH$929,MATCH(B29,'02 Scenario Matrix'!$AD$3:$AD$929,0))</x:f>
        <x:v>PROFIT</x:v>
      </x:c>
    </x:row>
    <x:row r="30">
      <x:c r="A30" s="86" t="n">
        <x:v>18</x:v>
      </x:c>
      <x:c r="B30" s="87" t="n">
        <x:f>LARGE('02 Scenario Matrix'!$AD$3:$AD$929,A30)</x:f>
        <x:v>1211204160</x:v>
      </x:c>
      <x:c r="C30" s="88" t="n">
        <x:f>INDEX('02 Scenario Matrix'!$A$3:$A$929,MATCH(B30,'02 Scenario Matrix'!$AD$3:$AD$929,0))</x:f>
        <x:v>339</x:v>
      </x:c>
      <x:c r="D30" s="88" t="str">
        <x:f>INDEX('02 Scenario Matrix'!$B$3:$B$929,MATCH(B30,'02 Scenario Matrix'!$AD$3:$AD$929,0))</x:f>
        <x:v>Base</x:v>
      </x:c>
      <x:c r="E30" s="88" t="str">
        <x:f>INDEX('02 Scenario Matrix'!$C$3:$C$929,MATCH(B30,'02 Scenario Matrix'!$AD$3:$AD$929,0))</x:f>
        <x:v>12M Omega</x:v>
      </x:c>
      <x:c r="F30" s="88" t="n">
        <x:f>INDEX('02 Scenario Matrix'!$E$3:$E$929,MATCH(B30,'02 Scenario Matrix'!$AD$3:$AD$929,0))</x:f>
        <x:v>2</x:v>
      </x:c>
      <x:c r="G30" s="88" t="str">
        <x:f>INDEX('02 Scenario Matrix'!$F$3:$F$929,MATCH(B30,'02 Scenario Matrix'!$AD$3:$AD$929,0))</x:f>
        <x:v>NES MCT 40% sale</x:v>
      </x:c>
      <x:c r="H30" s="88" t="str">
        <x:f>INDEX('02 Scenario Matrix'!$G$3:$G$929,MATCH(B30,'02 Scenario Matrix'!$AD$3:$AD$929,0))</x:f>
        <x:v>NES 2-for-1 extractor sale</x:v>
      </x:c>
      <x:c r="I30" s="88" t="n">
        <x:f>INDEX('02 Scenario Matrix'!$D$3:$D$929,MATCH(B30,'02 Scenario Matrix'!$AD$3:$AD$929,0))</x:f>
        <x:v>12</x:v>
      </x:c>
      <x:c r="J30" s="87" t="n">
        <x:f>INDEX('02 Scenario Matrix'!$AB$3:$AB$929,MATCH(B30,'02 Scenario Matrix'!$AD$3:$AD$929,0))</x:f>
        <x:v>66741874560</x:v>
      </x:c>
      <x:c r="K30" s="87" t="n">
        <x:f>INDEX('02 Scenario Matrix'!$AC$3:$AC$929,MATCH(B30,'02 Scenario Matrix'!$AD$3:$AD$929,0))</x:f>
        <x:v>65530670400</x:v>
      </x:c>
      <x:c r="L30" s="87" t="n">
        <x:f>INDEX('02 Scenario Matrix'!$AE$3:$AE$929,MATCH(B30,'02 Scenario Matrix'!$AD$3:$AD$929,0))</x:f>
        <x:v>100933680</x:v>
      </x:c>
      <x:c r="M30" s="89" t="str">
        <x:f>INDEX('02 Scenario Matrix'!$AH$3:$AH$929,MATCH(B30,'02 Scenario Matrix'!$AD$3:$AD$929,0))</x:f>
        <x:v>PROFIT</x:v>
      </x:c>
    </x:row>
    <x:row r="31">
      <x:c r="A31" s="86" t="n">
        <x:v>19</x:v>
      </x:c>
      <x:c r="B31" s="87" t="n">
        <x:f>LARGE('02 Scenario Matrix'!$AD$3:$AD$929,A31)</x:f>
        <x:v>1129842048</x:v>
      </x:c>
      <x:c r="C31" s="88" t="n">
        <x:f>INDEX('02 Scenario Matrix'!$A$3:$A$929,MATCH(B31,'02 Scenario Matrix'!$AD$3:$AD$929,0))</x:f>
        <x:v>800</x:v>
      </x:c>
      <x:c r="D31" s="88" t="str">
        <x:f>INDEX('02 Scenario Matrix'!$B$3:$B$929,MATCH(B31,'02 Scenario Matrix'!$AD$3:$AD$929,0))</x:f>
        <x:v>Sale/Event</x:v>
      </x:c>
      <x:c r="E31" s="88" t="str">
        <x:f>INDEX('02 Scenario Matrix'!$C$3:$C$929,MATCH(B31,'02 Scenario Matrix'!$AD$3:$AD$929,0))</x:f>
        <x:v>Winter 24M Omega sale</x:v>
      </x:c>
      <x:c r="F31" s="88" t="n">
        <x:f>INDEX('02 Scenario Matrix'!$E$3:$E$929,MATCH(B31,'02 Scenario Matrix'!$AD$3:$AD$929,0))</x:f>
        <x:v>1</x:v>
      </x:c>
      <x:c r="G31" s="88" t="str">
        <x:f>INDEX('02 Scenario Matrix'!$F$3:$F$929,MATCH(B31,'02 Scenario Matrix'!$AD$3:$AD$929,0))</x:f>
        <x:v>No MCT</x:v>
      </x:c>
      <x:c r="H31" s="88" t="str">
        <x:f>INDEX('02 Scenario Matrix'!$G$3:$G$929,MATCH(B31,'02 Scenario Matrix'!$AD$3:$AD$929,0))</x:f>
        <x:v>NES 50-pack extractor 20% sale</x:v>
      </x:c>
      <x:c r="I31" s="88" t="n">
        <x:f>INDEX('02 Scenario Matrix'!$D$3:$D$929,MATCH(B31,'02 Scenario Matrix'!$AD$3:$AD$929,0))</x:f>
        <x:v>24</x:v>
      </x:c>
      <x:c r="J31" s="87" t="n">
        <x:f>INDEX('02 Scenario Matrix'!$AB$3:$AB$929,MATCH(B31,'02 Scenario Matrix'!$AD$3:$AD$929,0))</x:f>
        <x:v>66741874560</x:v>
      </x:c>
      <x:c r="K31" s="87" t="n">
        <x:f>INDEX('02 Scenario Matrix'!$AC$3:$AC$929,MATCH(B31,'02 Scenario Matrix'!$AD$3:$AD$929,0))</x:f>
        <x:v>65612032512</x:v>
      </x:c>
      <x:c r="L31" s="87" t="n">
        <x:f>INDEX('02 Scenario Matrix'!$AE$3:$AE$929,MATCH(B31,'02 Scenario Matrix'!$AD$3:$AD$929,0))</x:f>
        <x:v>47076752</x:v>
      </x:c>
      <x:c r="M31" s="89" t="str">
        <x:f>INDEX('02 Scenario Matrix'!$AH$3:$AH$929,MATCH(B31,'02 Scenario Matrix'!$AD$3:$AD$929,0))</x:f>
        <x:v>PROFIT</x:v>
      </x:c>
    </x:row>
    <x:row r="32">
      <x:c r="A32" s="86" t="n">
        <x:v>20</x:v>
      </x:c>
      <x:c r="B32" s="87" t="n">
        <x:f>LARGE('02 Scenario Matrix'!$AD$3:$AD$929,A32)</x:f>
        <x:v>880115520</x:v>
      </x:c>
      <x:c r="C32" s="88" t="n">
        <x:f>INDEX('02 Scenario Matrix'!$A$3:$A$929,MATCH(B32,'02 Scenario Matrix'!$AD$3:$AD$929,0))</x:f>
        <x:v>897</x:v>
      </x:c>
      <x:c r="D32" s="88" t="str">
        <x:f>INDEX('02 Scenario Matrix'!$B$3:$B$929,MATCH(B32,'02 Scenario Matrix'!$AD$3:$AD$929,0))</x:f>
        <x:v>Omega+MCT 50% Bundle</x:v>
      </x:c>
      <x:c r="E32" s="88" t="str">
        <x:f>INDEX('02 Scenario Matrix'!$C$3:$C$929,MATCH(B32,'02 Scenario Matrix'!$AD$3:$AD$929,0))</x:f>
        <x:v>1M Omega + 2M MCT 50% bundle</x:v>
      </x:c>
      <x:c r="F32" s="88" t="n">
        <x:f>INDEX('02 Scenario Matrix'!$E$3:$E$929,MATCH(B32,'02 Scenario Matrix'!$AD$3:$AD$929,0))</x:f>
        <x:v>3</x:v>
      </x:c>
      <x:c r="G32" s="88" t="str">
        <x:f>INDEX('02 Scenario Matrix'!$F$3:$F$929,MATCH(B32,'02 Scenario Matrix'!$AD$3:$AD$929,0))</x:f>
        <x:v>Included in Omega+MCT bundle</x:v>
      </x:c>
      <x:c r="H32" s="88" t="str">
        <x:f>INDEX('02 Scenario Matrix'!$G$3:$G$929,MATCH(B32,'02 Scenario Matrix'!$AD$3:$AD$929,0))</x:f>
        <x:v>NES 2-for-1 extractor sale</x:v>
      </x:c>
      <x:c r="I32" s="88" t="n">
        <x:f>INDEX('02 Scenario Matrix'!$D$3:$D$929,MATCH(B32,'02 Scenario Matrix'!$AD$3:$AD$929,0))</x:f>
        <x:v>1</x:v>
      </x:c>
      <x:c r="J32" s="87" t="n">
        <x:f>INDEX('02 Scenario Matrix'!$AB$3:$AB$929,MATCH(B32,'02 Scenario Matrix'!$AD$3:$AD$929,0))</x:f>
        <x:v>8342734320</x:v>
      </x:c>
      <x:c r="K32" s="87" t="n">
        <x:f>INDEX('02 Scenario Matrix'!$AC$3:$AC$929,MATCH(B32,'02 Scenario Matrix'!$AD$3:$AD$929,0))</x:f>
        <x:v>7462618800</x:v>
      </x:c>
      <x:c r="L32" s="87" t="n">
        <x:f>INDEX('02 Scenario Matrix'!$AE$3:$AE$929,MATCH(B32,'02 Scenario Matrix'!$AD$3:$AD$929,0))</x:f>
        <x:v>880115520</x:v>
      </x:c>
      <x:c r="M32" s="89" t="str">
        <x:f>INDEX('02 Scenario Matrix'!$AH$3:$AH$929,MATCH(B32,'02 Scenario Matrix'!$AD$3:$AD$929,0))</x:f>
        <x:v>PROFIT</x:v>
      </x:c>
    </x:row>
    <x:row r="33">
      <x:c r="A33" s="86" t="n">
        <x:v>21</x:v>
      </x:c>
      <x:c r="B33" s="87" t="n">
        <x:f>LARGE('02 Scenario Matrix'!$AD$3:$AD$929,A33)</x:f>
        <x:v>847381535.9999924</x:v>
      </x:c>
      <x:c r="C33" s="88" t="n">
        <x:f>INDEX('02 Scenario Matrix'!$A$3:$A$929,MATCH(B33,'02 Scenario Matrix'!$AD$3:$AD$929,0))</x:f>
        <x:v>917</x:v>
      </x:c>
      <x:c r="D33" s="88" t="str">
        <x:f>INDEX('02 Scenario Matrix'!$B$3:$B$929,MATCH(B33,'02 Scenario Matrix'!$AD$3:$AD$929,0))</x:f>
        <x:v>Omega+MCT 50% Bundle</x:v>
      </x:c>
      <x:c r="E33" s="88" t="str">
        <x:f>INDEX('02 Scenario Matrix'!$C$3:$C$929,MATCH(B33,'02 Scenario Matrix'!$AD$3:$AD$929,0))</x:f>
        <x:v>6M Omega + 12M MCT 50% bundle</x:v>
      </x:c>
      <x:c r="F33" s="88" t="n">
        <x:f>INDEX('02 Scenario Matrix'!$E$3:$E$929,MATCH(B33,'02 Scenario Matrix'!$AD$3:$AD$929,0))</x:f>
        <x:v>3</x:v>
      </x:c>
      <x:c r="G33" s="88" t="str">
        <x:f>INDEX('02 Scenario Matrix'!$F$3:$F$929,MATCH(B33,'02 Scenario Matrix'!$AD$3:$AD$929,0))</x:f>
        <x:v>Included in Omega+MCT bundle</x:v>
      </x:c>
      <x:c r="H33" s="88" t="str">
        <x:f>INDEX('02 Scenario Matrix'!$G$3:$G$929,MATCH(B33,'02 Scenario Matrix'!$AD$3:$AD$929,0))</x:f>
        <x:v>NES 50-pack extractor 20% sale</x:v>
      </x:c>
      <x:c r="I33" s="88" t="n">
        <x:f>INDEX('02 Scenario Matrix'!$D$3:$D$929,MATCH(B33,'02 Scenario Matrix'!$AD$3:$AD$929,0))</x:f>
        <x:v>6</x:v>
      </x:c>
      <x:c r="J33" s="87" t="n">
        <x:f>INDEX('02 Scenario Matrix'!$AB$3:$AB$929,MATCH(B33,'02 Scenario Matrix'!$AD$3:$AD$929,0))</x:f>
        <x:v>50056405919.99999</x:v>
      </x:c>
      <x:c r="K33" s="87" t="n">
        <x:f>INDEX('02 Scenario Matrix'!$AC$3:$AC$929,MATCH(B33,'02 Scenario Matrix'!$AD$3:$AD$929,0))</x:f>
        <x:v>49209024384</x:v>
      </x:c>
      <x:c r="L33" s="87" t="n">
        <x:f>INDEX('02 Scenario Matrix'!$AE$3:$AE$929,MATCH(B33,'02 Scenario Matrix'!$AD$3:$AD$929,0))</x:f>
        <x:v>141230255.99999872</x:v>
      </x:c>
      <x:c r="M33" s="89" t="str">
        <x:f>INDEX('02 Scenario Matrix'!$AH$3:$AH$929,MATCH(B33,'02 Scenario Matrix'!$AD$3:$AD$929,0))</x:f>
        <x:v>PROFIT</x:v>
      </x:c>
    </x:row>
    <x:row r="34">
      <x:c r="A34" s="86" t="n">
        <x:v>22</x:v>
      </x:c>
      <x:c r="B34" s="87" t="n">
        <x:f>LARGE('02 Scenario Matrix'!$AD$3:$AD$929,A34)</x:f>
        <x:v>806706239.9999847</x:v>
      </x:c>
      <x:c r="C34" s="88" t="n">
        <x:f>INDEX('02 Scenario Matrix'!$A$3:$A$929,MATCH(B34,'02 Scenario Matrix'!$AD$3:$AD$929,0))</x:f>
        <x:v>771</x:v>
      </x:c>
      <x:c r="D34" s="88" t="str">
        <x:f>INDEX('02 Scenario Matrix'!$B$3:$B$929,MATCH(B34,'02 Scenario Matrix'!$AD$3:$AD$929,0))</x:f>
        <x:v>Sale/Event</x:v>
      </x:c>
      <x:c r="E34" s="88" t="str">
        <x:f>INDEX('02 Scenario Matrix'!$C$3:$C$929,MATCH(B34,'02 Scenario Matrix'!$AD$3:$AD$929,0))</x:f>
        <x:v>Winter 12M Omega sale</x:v>
      </x:c>
      <x:c r="F34" s="88" t="n">
        <x:f>INDEX('02 Scenario Matrix'!$E$3:$E$929,MATCH(B34,'02 Scenario Matrix'!$AD$3:$AD$929,0))</x:f>
        <x:v>3</x:v>
      </x:c>
      <x:c r="G34" s="88" t="str">
        <x:f>INDEX('02 Scenario Matrix'!$F$3:$F$929,MATCH(B34,'02 Scenario Matrix'!$AD$3:$AD$929,0))</x:f>
        <x:v>NES MCT 30% sale</x:v>
      </x:c>
      <x:c r="H34" s="88" t="str">
        <x:f>INDEX('02 Scenario Matrix'!$G$3:$G$929,MATCH(B34,'02 Scenario Matrix'!$AD$3:$AD$929,0))</x:f>
        <x:v>NES 2-for-1 extractor sale</x:v>
      </x:c>
      <x:c r="I34" s="88" t="n">
        <x:f>INDEX('02 Scenario Matrix'!$D$3:$D$929,MATCH(B34,'02 Scenario Matrix'!$AD$3:$AD$929,0))</x:f>
        <x:v>12</x:v>
      </x:c>
      <x:c r="J34" s="87" t="n">
        <x:f>INDEX('02 Scenario Matrix'!$AB$3:$AB$929,MATCH(B34,'02 Scenario Matrix'!$AD$3:$AD$929,0))</x:f>
        <x:v>100112811839.99998</x:v>
      </x:c>
      <x:c r="K34" s="87" t="n">
        <x:f>INDEX('02 Scenario Matrix'!$AC$3:$AC$929,MATCH(B34,'02 Scenario Matrix'!$AD$3:$AD$929,0))</x:f>
        <x:v>99306105600</x:v>
      </x:c>
      <x:c r="L34" s="87" t="n">
        <x:f>INDEX('02 Scenario Matrix'!$AE$3:$AE$929,MATCH(B34,'02 Scenario Matrix'!$AD$3:$AD$929,0))</x:f>
        <x:v>67225519.99999873</x:v>
      </x:c>
      <x:c r="M34" s="89" t="str">
        <x:f>INDEX('02 Scenario Matrix'!$AH$3:$AH$929,MATCH(B34,'02 Scenario Matrix'!$AD$3:$AD$929,0))</x:f>
        <x:v>PROFIT</x:v>
      </x:c>
    </x:row>
    <x:row r="35">
      <x:c r="A35" s="86" t="n">
        <x:v>23</x:v>
      </x:c>
      <x:c r="B35" s="87" t="n">
        <x:f>LARGE('02 Scenario Matrix'!$AD$3:$AD$929,A35)</x:f>
        <x:v>624311039.9999847</x:v>
      </x:c>
      <x:c r="C35" s="88" t="n">
        <x:f>INDEX('02 Scenario Matrix'!$A$3:$A$929,MATCH(B35,'02 Scenario Matrix'!$AD$3:$AD$929,0))</x:f>
        <x:v>923</x:v>
      </x:c>
      <x:c r="D35" s="88" t="str">
        <x:f>INDEX('02 Scenario Matrix'!$B$3:$B$929,MATCH(B35,'02 Scenario Matrix'!$AD$3:$AD$929,0))</x:f>
        <x:v>Omega+MCT 50% Bundle</x:v>
      </x:c>
      <x:c r="E35" s="88" t="str">
        <x:f>INDEX('02 Scenario Matrix'!$C$3:$C$929,MATCH(B35,'02 Scenario Matrix'!$AD$3:$AD$929,0))</x:f>
        <x:v>12M Omega + 24M MCT 50% bundle</x:v>
      </x:c>
      <x:c r="F35" s="88" t="n">
        <x:f>INDEX('02 Scenario Matrix'!$E$3:$E$929,MATCH(B35,'02 Scenario Matrix'!$AD$3:$AD$929,0))</x:f>
        <x:v>3</x:v>
      </x:c>
      <x:c r="G35" s="88" t="str">
        <x:f>INDEX('02 Scenario Matrix'!$F$3:$F$929,MATCH(B35,'02 Scenario Matrix'!$AD$3:$AD$929,0))</x:f>
        <x:v>Included in Omega+MCT bundle</x:v>
      </x:c>
      <x:c r="H35" s="88" t="str">
        <x:f>INDEX('02 Scenario Matrix'!$G$3:$G$929,MATCH(B35,'02 Scenario Matrix'!$AD$3:$AD$929,0))</x:f>
        <x:v>NES 3-for-2 extractor sale</x:v>
      </x:c>
      <x:c r="I35" s="88" t="n">
        <x:f>INDEX('02 Scenario Matrix'!$D$3:$D$929,MATCH(B35,'02 Scenario Matrix'!$AD$3:$AD$929,0))</x:f>
        <x:v>12</x:v>
      </x:c>
      <x:c r="J35" s="87" t="n">
        <x:f>INDEX('02 Scenario Matrix'!$AB$3:$AB$929,MATCH(B35,'02 Scenario Matrix'!$AD$3:$AD$929,0))</x:f>
        <x:v>100112811839.99998</x:v>
      </x:c>
      <x:c r="K35" s="87" t="n">
        <x:f>INDEX('02 Scenario Matrix'!$AC$3:$AC$929,MATCH(B35,'02 Scenario Matrix'!$AD$3:$AD$929,0))</x:f>
        <x:v>99488500800</x:v>
      </x:c>
      <x:c r="L35" s="87" t="n">
        <x:f>INDEX('02 Scenario Matrix'!$AE$3:$AE$929,MATCH(B35,'02 Scenario Matrix'!$AD$3:$AD$929,0))</x:f>
        <x:v>52025919.999998726</x:v>
      </x:c>
      <x:c r="M35" s="89" t="str">
        <x:f>INDEX('02 Scenario Matrix'!$AH$3:$AH$929,MATCH(B35,'02 Scenario Matrix'!$AD$3:$AD$929,0))</x:f>
        <x:v>PROFIT</x:v>
      </x:c>
    </x:row>
    <x:row r="36">
      <x:c r="A36" s="86" t="n">
        <x:v>24</x:v>
      </x:c>
      <x:c r="B36" s="87" t="n">
        <x:f>LARGE('02 Scenario Matrix'!$AD$3:$AD$929,A36)</x:f>
        <x:v>459928320</x:v>
      </x:c>
      <x:c r="C36" s="88" t="n">
        <x:f>INDEX('02 Scenario Matrix'!$A$3:$A$929,MATCH(B36,'02 Scenario Matrix'!$AD$3:$AD$929,0))</x:f>
        <x:v>816</x:v>
      </x:c>
      <x:c r="D36" s="88" t="str">
        <x:f>INDEX('02 Scenario Matrix'!$B$3:$B$929,MATCH(B36,'02 Scenario Matrix'!$AD$3:$AD$929,0))</x:f>
        <x:v>Sale/Event</x:v>
      </x:c>
      <x:c r="E36" s="88" t="str">
        <x:f>INDEX('02 Scenario Matrix'!$C$3:$C$929,MATCH(B36,'02 Scenario Matrix'!$AD$3:$AD$929,0))</x:f>
        <x:v>Winter 24M Omega sale</x:v>
      </x:c>
      <x:c r="F36" s="88" t="n">
        <x:f>INDEX('02 Scenario Matrix'!$E$3:$E$929,MATCH(B36,'02 Scenario Matrix'!$AD$3:$AD$929,0))</x:f>
        <x:v>2</x:v>
      </x:c>
      <x:c r="G36" s="88" t="str">
        <x:f>INDEX('02 Scenario Matrix'!$F$3:$F$929,MATCH(B36,'02 Scenario Matrix'!$AD$3:$AD$929,0))</x:f>
        <x:v>NES MCT 20% sale</x:v>
      </x:c>
      <x:c r="H36" s="88" t="str">
        <x:f>INDEX('02 Scenario Matrix'!$G$3:$G$929,MATCH(B36,'02 Scenario Matrix'!$AD$3:$AD$929,0))</x:f>
        <x:v>NES 2-for-1 extractor sale</x:v>
      </x:c>
      <x:c r="I36" s="88" t="n">
        <x:f>INDEX('02 Scenario Matrix'!$D$3:$D$929,MATCH(B36,'02 Scenario Matrix'!$AD$3:$AD$929,0))</x:f>
        <x:v>24</x:v>
      </x:c>
      <x:c r="J36" s="87" t="n">
        <x:f>INDEX('02 Scenario Matrix'!$AB$3:$AB$929,MATCH(B36,'02 Scenario Matrix'!$AD$3:$AD$929,0))</x:f>
        <x:v>133483749120</x:v>
      </x:c>
      <x:c r="K36" s="87" t="n">
        <x:f>INDEX('02 Scenario Matrix'!$AC$3:$AC$929,MATCH(B36,'02 Scenario Matrix'!$AD$3:$AD$929,0))</x:f>
        <x:v>133023820800</x:v>
      </x:c>
      <x:c r="L36" s="87" t="n">
        <x:f>INDEX('02 Scenario Matrix'!$AE$3:$AE$929,MATCH(B36,'02 Scenario Matrix'!$AD$3:$AD$929,0))</x:f>
        <x:v>19163680</x:v>
      </x:c>
      <x:c r="M36" s="89" t="str">
        <x:f>INDEX('02 Scenario Matrix'!$AH$3:$AH$929,MATCH(B36,'02 Scenario Matrix'!$AD$3:$AD$929,0))</x:f>
        <x:v>PROFIT</x:v>
      </x:c>
    </x:row>
    <x:row r="37">
      <x:c r="A37" s="86" t="n">
        <x:v>25</x:v>
      </x:c>
      <x:c r="B37" s="87" t="n">
        <x:f>LARGE('02 Scenario Matrix'!$AD$3:$AD$929,A37)</x:f>
        <x:v>345862080</x:v>
      </x:c>
      <x:c r="C37" s="88" t="n">
        <x:f>INDEX('02 Scenario Matrix'!$A$3:$A$929,MATCH(B37,'02 Scenario Matrix'!$AD$3:$AD$929,0))</x:f>
        <x:v>303</x:v>
      </x:c>
      <x:c r="D37" s="88" t="str">
        <x:f>INDEX('02 Scenario Matrix'!$B$3:$B$929,MATCH(B37,'02 Scenario Matrix'!$AD$3:$AD$929,0))</x:f>
        <x:v>Base</x:v>
      </x:c>
      <x:c r="E37" s="88" t="str">
        <x:f>INDEX('02 Scenario Matrix'!$C$3:$C$929,MATCH(B37,'02 Scenario Matrix'!$AD$3:$AD$929,0))</x:f>
        <x:v>12M Omega</x:v>
      </x:c>
      <x:c r="F37" s="88" t="n">
        <x:f>INDEX('02 Scenario Matrix'!$E$3:$E$929,MATCH(B37,'02 Scenario Matrix'!$AD$3:$AD$929,0))</x:f>
        <x:v>1</x:v>
      </x:c>
      <x:c r="G37" s="88" t="str">
        <x:f>INDEX('02 Scenario Matrix'!$F$3:$F$929,MATCH(B37,'02 Scenario Matrix'!$AD$3:$AD$929,0))</x:f>
        <x:v>No MCT</x:v>
      </x:c>
      <x:c r="H37" s="88" t="str">
        <x:f>INDEX('02 Scenario Matrix'!$G$3:$G$929,MATCH(B37,'02 Scenario Matrix'!$AD$3:$AD$929,0))</x:f>
        <x:v>NES 2-for-1 extractor sale</x:v>
      </x:c>
      <x:c r="I37" s="88" t="n">
        <x:f>INDEX('02 Scenario Matrix'!$D$3:$D$929,MATCH(B37,'02 Scenario Matrix'!$AD$3:$AD$929,0))</x:f>
        <x:v>12</x:v>
      </x:c>
      <x:c r="J37" s="87" t="n">
        <x:f>INDEX('02 Scenario Matrix'!$AB$3:$AB$929,MATCH(B37,'02 Scenario Matrix'!$AD$3:$AD$929,0))</x:f>
        <x:v>33370937280</x:v>
      </x:c>
      <x:c r="K37" s="87" t="n">
        <x:f>INDEX('02 Scenario Matrix'!$AC$3:$AC$929,MATCH(B37,'02 Scenario Matrix'!$AD$3:$AD$929,0))</x:f>
        <x:v>33025075200</x:v>
      </x:c>
      <x:c r="L37" s="87" t="n">
        <x:f>INDEX('02 Scenario Matrix'!$AE$3:$AE$929,MATCH(B37,'02 Scenario Matrix'!$AD$3:$AD$929,0))</x:f>
        <x:v>28821840</x:v>
      </x:c>
      <x:c r="M37" s="89" t="str">
        <x:f>INDEX('02 Scenario Matrix'!$AH$3:$AH$929,MATCH(B37,'02 Scenario Matrix'!$AD$3:$AD$929,0))</x:f>
        <x:v>PROFIT</x:v>
      </x:c>
    </x:row>
    <x:row r="38">
      <x:c r="A38" s="86" t="n">
        <x:v>26</x:v>
      </x:c>
      <x:c r="B38" s="87" t="n">
        <x:f>LARGE('02 Scenario Matrix'!$AD$3:$AD$929,A38)</x:f>
        <x:v>276321024</x:v>
      </x:c>
      <x:c r="C38" s="88" t="n">
        <x:f>INDEX('02 Scenario Matrix'!$A$3:$A$929,MATCH(B38,'02 Scenario Matrix'!$AD$3:$AD$929,0))</x:f>
        <x:v>701</x:v>
      </x:c>
      <x:c r="D38" s="88" t="str">
        <x:f>INDEX('02 Scenario Matrix'!$B$3:$B$929,MATCH(B38,'02 Scenario Matrix'!$AD$3:$AD$929,0))</x:f>
        <x:v>Sale/Event</x:v>
      </x:c>
      <x:c r="E38" s="88" t="str">
        <x:f>INDEX('02 Scenario Matrix'!$C$3:$C$929,MATCH(B38,'02 Scenario Matrix'!$AD$3:$AD$929,0))</x:f>
        <x:v>Winter 12M Omega sale</x:v>
      </x:c>
      <x:c r="F38" s="88" t="n">
        <x:f>INDEX('02 Scenario Matrix'!$E$3:$E$929,MATCH(B38,'02 Scenario Matrix'!$AD$3:$AD$929,0))</x:f>
        <x:v>1</x:v>
      </x:c>
      <x:c r="G38" s="88" t="str">
        <x:f>INDEX('02 Scenario Matrix'!$F$3:$F$929,MATCH(B38,'02 Scenario Matrix'!$AD$3:$AD$929,0))</x:f>
        <x:v>No MCT</x:v>
      </x:c>
      <x:c r="H38" s="88" t="str">
        <x:f>INDEX('02 Scenario Matrix'!$G$3:$G$929,MATCH(B38,'02 Scenario Matrix'!$AD$3:$AD$929,0))</x:f>
        <x:v>NES 50-pack extractor 20% sale</x:v>
      </x:c>
      <x:c r="I38" s="88" t="n">
        <x:f>INDEX('02 Scenario Matrix'!$D$3:$D$929,MATCH(B38,'02 Scenario Matrix'!$AD$3:$AD$929,0))</x:f>
        <x:v>12</x:v>
      </x:c>
      <x:c r="J38" s="87" t="n">
        <x:f>INDEX('02 Scenario Matrix'!$AB$3:$AB$929,MATCH(B38,'02 Scenario Matrix'!$AD$3:$AD$929,0))</x:f>
        <x:v>33370937280</x:v>
      </x:c>
      <x:c r="K38" s="87" t="n">
        <x:f>INDEX('02 Scenario Matrix'!$AC$3:$AC$929,MATCH(B38,'02 Scenario Matrix'!$AD$3:$AD$929,0))</x:f>
        <x:v>33094616256</x:v>
      </x:c>
      <x:c r="L38" s="87" t="n">
        <x:f>INDEX('02 Scenario Matrix'!$AE$3:$AE$929,MATCH(B38,'02 Scenario Matrix'!$AD$3:$AD$929,0))</x:f>
        <x:v>23026752</x:v>
      </x:c>
      <x:c r="M38" s="89" t="str">
        <x:f>INDEX('02 Scenario Matrix'!$AH$3:$AH$929,MATCH(B38,'02 Scenario Matrix'!$AD$3:$AD$929,0))</x:f>
        <x:v>PROFIT</x:v>
      </x:c>
    </x:row>
    <x:row r="39">
      <x:c r="A39" s="86" t="n">
        <x:v>27</x:v>
      </x:c>
      <x:c r="B39" s="87" t="n">
        <x:f>LARGE('02 Scenario Matrix'!$AD$3:$AD$929,A39)</x:f>
        <x:v>230536559.9999962</x:v>
      </x:c>
      <x:c r="C39" s="88" t="n">
        <x:f>INDEX('02 Scenario Matrix'!$A$3:$A$929,MATCH(B39,'02 Scenario Matrix'!$AD$3:$AD$929,0))</x:f>
        <x:v>681</x:v>
      </x:c>
      <x:c r="D39" s="88" t="str">
        <x:f>INDEX('02 Scenario Matrix'!$B$3:$B$929,MATCH(B39,'02 Scenario Matrix'!$AD$3:$AD$929,0))</x:f>
        <x:v>Sale/Event</x:v>
      </x:c>
      <x:c r="E39" s="88" t="str">
        <x:f>INDEX('02 Scenario Matrix'!$C$3:$C$929,MATCH(B39,'02 Scenario Matrix'!$AD$3:$AD$929,0))</x:f>
        <x:v>Capsuleer Day 3M Omega + 2 skins</x:v>
      </x:c>
      <x:c r="F39" s="88" t="n">
        <x:f>INDEX('02 Scenario Matrix'!$E$3:$E$929,MATCH(B39,'02 Scenario Matrix'!$AD$3:$AD$929,0))</x:f>
        <x:v>3</x:v>
      </x:c>
      <x:c r="G39" s="88" t="str">
        <x:f>INDEX('02 Scenario Matrix'!$F$3:$F$929,MATCH(B39,'02 Scenario Matrix'!$AD$3:$AD$929,0))</x:f>
        <x:v>NES MCT 40% sale</x:v>
      </x:c>
      <x:c r="H39" s="88" t="str">
        <x:f>INDEX('02 Scenario Matrix'!$G$3:$G$929,MATCH(B39,'02 Scenario Matrix'!$AD$3:$AD$929,0))</x:f>
        <x:v>NES 2-for-1 extractor sale</x:v>
      </x:c>
      <x:c r="I39" s="88" t="n">
        <x:f>INDEX('02 Scenario Matrix'!$D$3:$D$929,MATCH(B39,'02 Scenario Matrix'!$AD$3:$AD$929,0))</x:f>
        <x:v>3</x:v>
      </x:c>
      <x:c r="J39" s="87" t="n">
        <x:f>INDEX('02 Scenario Matrix'!$AB$3:$AB$929,MATCH(B39,'02 Scenario Matrix'!$AD$3:$AD$929,0))</x:f>
        <x:v>25028202959.999996</x:v>
      </x:c>
      <x:c r="K39" s="87" t="n">
        <x:f>INDEX('02 Scenario Matrix'!$AC$3:$AC$929,MATCH(B39,'02 Scenario Matrix'!$AD$3:$AD$929,0))</x:f>
        <x:v>24797666400</x:v>
      </x:c>
      <x:c r="L39" s="87" t="n">
        <x:f>INDEX('02 Scenario Matrix'!$AE$3:$AE$929,MATCH(B39,'02 Scenario Matrix'!$AD$3:$AD$929,0))</x:f>
        <x:v>76845519.99999873</x:v>
      </x:c>
      <x:c r="M39" s="89" t="str">
        <x:f>INDEX('02 Scenario Matrix'!$AH$3:$AH$929,MATCH(B39,'02 Scenario Matrix'!$AD$3:$AD$929,0))</x:f>
        <x:v>PROFIT</x:v>
      </x:c>
    </x:row>
    <x:row r="40">
      <x:c r="A40" s="86" t="n">
        <x:v>28</x:v>
      </x:c>
      <x:c r="B40" s="87" t="n">
        <x:f>LARGE('02 Scenario Matrix'!$AD$3:$AD$929,A40)</x:f>
        <x:v>62940767.999996185</x:v>
      </x:c>
      <x:c r="C40" s="88" t="n">
        <x:f>INDEX('02 Scenario Matrix'!$A$3:$A$929,MATCH(B40,'02 Scenario Matrix'!$AD$3:$AD$929,0))</x:f>
        <x:v>908</x:v>
      </x:c>
      <x:c r="D40" s="88" t="str">
        <x:f>INDEX('02 Scenario Matrix'!$B$3:$B$929,MATCH(B40,'02 Scenario Matrix'!$AD$3:$AD$929,0))</x:f>
        <x:v>Omega+MCT 50% Bundle</x:v>
      </x:c>
      <x:c r="E40" s="88" t="str">
        <x:f>INDEX('02 Scenario Matrix'!$C$3:$C$929,MATCH(B40,'02 Scenario Matrix'!$AD$3:$AD$929,0))</x:f>
        <x:v>3M Omega + 6M MCT 50% bundle</x:v>
      </x:c>
      <x:c r="F40" s="88" t="n">
        <x:f>INDEX('02 Scenario Matrix'!$E$3:$E$929,MATCH(B40,'02 Scenario Matrix'!$AD$3:$AD$929,0))</x:f>
        <x:v>3</x:v>
      </x:c>
      <x:c r="G40" s="88" t="str">
        <x:f>INDEX('02 Scenario Matrix'!$F$3:$F$929,MATCH(B40,'02 Scenario Matrix'!$AD$3:$AD$929,0))</x:f>
        <x:v>Included in Omega+MCT bundle</x:v>
      </x:c>
      <x:c r="H40" s="88" t="str">
        <x:f>INDEX('02 Scenario Matrix'!$G$3:$G$929,MATCH(B40,'02 Scenario Matrix'!$AD$3:$AD$929,0))</x:f>
        <x:v>NES 50-pack extractor 20% sale</x:v>
      </x:c>
      <x:c r="I40" s="88" t="n">
        <x:f>INDEX('02 Scenario Matrix'!$D$3:$D$929,MATCH(B40,'02 Scenario Matrix'!$AD$3:$AD$929,0))</x:f>
        <x:v>3</x:v>
      </x:c>
      <x:c r="J40" s="87" t="n">
        <x:f>INDEX('02 Scenario Matrix'!$AB$3:$AB$929,MATCH(B40,'02 Scenario Matrix'!$AD$3:$AD$929,0))</x:f>
        <x:v>25028202959.999996</x:v>
      </x:c>
      <x:c r="K40" s="87" t="n">
        <x:f>INDEX('02 Scenario Matrix'!$AC$3:$AC$929,MATCH(B40,'02 Scenario Matrix'!$AD$3:$AD$929,0))</x:f>
        <x:v>24965262192</x:v>
      </x:c>
      <x:c r="L40" s="87" t="n">
        <x:f>INDEX('02 Scenario Matrix'!$AE$3:$AE$929,MATCH(B40,'02 Scenario Matrix'!$AD$3:$AD$929,0))</x:f>
        <x:v>20980255.99999873</x:v>
      </x:c>
      <x:c r="M40" s="89" t="str">
        <x:f>INDEX('02 Scenario Matrix'!$AH$3:$AH$929,MATCH(B40,'02 Scenario Matrix'!$AD$3:$AD$929,0))</x:f>
        <x:v>PROFIT</x:v>
      </x:c>
    </x:row>
    <x:row r="41">
      <x:c r="A41" s="86" t="n">
        <x:v>29</x:v>
      </x:c>
      <x:c r="B41" s="87" t="n">
        <x:f>LARGE('02 Scenario Matrix'!$AD$3:$AD$929,A41)</x:f>
        <x:v>14201040</x:v>
      </x:c>
      <x:c r="C41" s="88" t="n">
        <x:f>INDEX('02 Scenario Matrix'!$A$3:$A$929,MATCH(B41,'02 Scenario Matrix'!$AD$3:$AD$929,0))</x:f>
        <x:v>636</x:v>
      </x:c>
      <x:c r="D41" s="88" t="str">
        <x:f>INDEX('02 Scenario Matrix'!$B$3:$B$929,MATCH(B41,'02 Scenario Matrix'!$AD$3:$AD$929,0))</x:f>
        <x:v>Sale/Event</x:v>
      </x:c>
      <x:c r="E41" s="88" t="str">
        <x:f>INDEX('02 Scenario Matrix'!$C$3:$C$929,MATCH(B41,'02 Scenario Matrix'!$AD$3:$AD$929,0))</x:f>
        <x:v>Capsuleer Day 3M Omega + 2 skins</x:v>
      </x:c>
      <x:c r="F41" s="88" t="n">
        <x:f>INDEX('02 Scenario Matrix'!$E$3:$E$929,MATCH(B41,'02 Scenario Matrix'!$AD$3:$AD$929,0))</x:f>
        <x:v>2</x:v>
      </x:c>
      <x:c r="G41" s="88" t="str">
        <x:f>INDEX('02 Scenario Matrix'!$F$3:$F$929,MATCH(B41,'02 Scenario Matrix'!$AD$3:$AD$929,0))</x:f>
        <x:v>NES MCT 40% sale</x:v>
      </x:c>
      <x:c r="H41" s="88" t="str">
        <x:f>INDEX('02 Scenario Matrix'!$G$3:$G$929,MATCH(B41,'02 Scenario Matrix'!$AD$3:$AD$929,0))</x:f>
        <x:v>NES 2-for-1 extractor sale</x:v>
      </x:c>
      <x:c r="I41" s="88" t="n">
        <x:f>INDEX('02 Scenario Matrix'!$D$3:$D$929,MATCH(B41,'02 Scenario Matrix'!$AD$3:$AD$929,0))</x:f>
        <x:v>3</x:v>
      </x:c>
      <x:c r="J41" s="87" t="n">
        <x:f>INDEX('02 Scenario Matrix'!$AB$3:$AB$929,MATCH(B41,'02 Scenario Matrix'!$AD$3:$AD$929,0))</x:f>
        <x:v>16685468640</x:v>
      </x:c>
      <x:c r="K41" s="87" t="n">
        <x:f>INDEX('02 Scenario Matrix'!$AC$3:$AC$929,MATCH(B41,'02 Scenario Matrix'!$AD$3:$AD$929,0))</x:f>
        <x:v>16671267600</x:v>
      </x:c>
      <x:c r="L41" s="87" t="n">
        <x:f>INDEX('02 Scenario Matrix'!$AE$3:$AE$929,MATCH(B41,'02 Scenario Matrix'!$AD$3:$AD$929,0))</x:f>
        <x:v>4733680</x:v>
      </x:c>
      <x:c r="M41" s="89" t="str">
        <x:f>INDEX('02 Scenario Matrix'!$AH$3:$AH$929,MATCH(B41,'02 Scenario Matrix'!$AD$3:$AD$929,0))</x:f>
        <x:v>PROFIT</x:v>
      </x:c>
    </x:row>
    <x:row r="42">
      <x:c r="A42" s="90" t="n">
        <x:v>30</x:v>
      </x:c>
      <x:c r="B42" s="111" t="n">
        <x:f>LARGE('02 Scenario Matrix'!$AD$3:$AD$929,A42)</x:f>
        <x:v>-58635840</x:v>
      </x:c>
      <x:c r="C42" s="91" t="n">
        <x:f>INDEX('02 Scenario Matrix'!$A$3:$A$929,MATCH(B42,'02 Scenario Matrix'!$AD$3:$AD$929,0))</x:f>
        <x:v>717</x:v>
      </x:c>
      <x:c r="D42" s="91" t="str">
        <x:f>INDEX('02 Scenario Matrix'!$B$3:$B$929,MATCH(B42,'02 Scenario Matrix'!$AD$3:$AD$929,0))</x:f>
        <x:v>Sale/Event</x:v>
      </x:c>
      <x:c r="E42" s="91" t="str">
        <x:f>INDEX('02 Scenario Matrix'!$C$3:$C$929,MATCH(B42,'02 Scenario Matrix'!$AD$3:$AD$929,0))</x:f>
        <x:v>Winter 12M Omega sale</x:v>
      </x:c>
      <x:c r="F42" s="91" t="n">
        <x:f>INDEX('02 Scenario Matrix'!$E$3:$E$929,MATCH(B42,'02 Scenario Matrix'!$AD$3:$AD$929,0))</x:f>
        <x:v>2</x:v>
      </x:c>
      <x:c r="G42" s="91" t="str">
        <x:f>INDEX('02 Scenario Matrix'!$F$3:$F$929,MATCH(B42,'02 Scenario Matrix'!$AD$3:$AD$929,0))</x:f>
        <x:v>NES MCT 20% sale</x:v>
      </x:c>
      <x:c r="H42" s="91" t="str">
        <x:f>INDEX('02 Scenario Matrix'!$G$3:$G$929,MATCH(B42,'02 Scenario Matrix'!$AD$3:$AD$929,0))</x:f>
        <x:v>NES 2-for-1 extractor sale</x:v>
      </x:c>
      <x:c r="I42" s="91" t="n">
        <x:f>INDEX('02 Scenario Matrix'!$D$3:$D$929,MATCH(B42,'02 Scenario Matrix'!$AD$3:$AD$929,0))</x:f>
        <x:v>12</x:v>
      </x:c>
      <x:c r="J42" s="111" t="n">
        <x:f>INDEX('02 Scenario Matrix'!$AB$3:$AB$929,MATCH(B42,'02 Scenario Matrix'!$AD$3:$AD$929,0))</x:f>
        <x:v>66741874560</x:v>
      </x:c>
      <x:c r="K42" s="111" t="n">
        <x:f>INDEX('02 Scenario Matrix'!$AC$3:$AC$929,MATCH(B42,'02 Scenario Matrix'!$AD$3:$AD$929,0))</x:f>
        <x:v>66800510400</x:v>
      </x:c>
      <x:c r="L42" s="111" t="n">
        <x:f>INDEX('02 Scenario Matrix'!$AE$3:$AE$929,MATCH(B42,'02 Scenario Matrix'!$AD$3:$AD$929,0))</x:f>
        <x:v>-4886320</x:v>
      </x:c>
      <x:c r="M42" s="92" t="str">
        <x:f>INDEX('02 Scenario Matrix'!$AH$3:$AH$929,MATCH(B42,'02 Scenario Matrix'!$AD$3:$AD$929,0))</x:f>
        <x:v>LOSS</x:v>
      </x:c>
    </x:row>
  </x:sheetData>
  <x:mergeCells>
    <x:mergeCell ref="A1:M1"/>
    <x:mergeCell ref="A2:M2"/>
    <x:mergeCell ref="O4:S4"/>
    <x:mergeCell ref="O5:S15"/>
  </x:mergeCells>
  <x:conditionalFormatting sqref="B9:B9">
    <x:cfRule type="expression" dxfId="4" priority="1">
      <x:formula>B9="PROFIT"</x:formula>
    </x:cfRule>
    <x:cfRule type="expression" dxfId="5" priority="2">
      <x:formula>B9="LOSS"</x:formula>
    </x:cfRule>
  </x:conditionalFormatting>
  <x:conditionalFormatting sqref="B13:B42">
    <x:cfRule type="colorScale" priority="3">
      <x:colorScale>
        <x:cfvo type="min"/>
        <x:cfvo type="percentile" val="50"/>
        <x:cfvo type="max"/>
        <x:color rgb="FEE2E2"/>
        <x:color rgb="FEF3C7"/>
        <x:color rgb="DCFCE7"/>
      </x:colorScale>
    </x:cfRule>
  </x:conditionalFormatting>
  <x:conditionalFormatting sqref="M13:M42">
    <x:cfRule type="expression" dxfId="6" priority="4">
      <x:formula>M13="PROFIT"</x:formula>
    </x:cfRule>
    <x:cfRule type="expression" dxfId="7" priority="5">
      <x:formula>M13="LOSS"</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8" hidden="0" customWidth="1"/>
    <x:col min="3" max="3" width="12" hidden="0" customWidth="1"/>
    <x:col min="4" max="4" width="36" hidden="0" customWidth="1"/>
    <x:col min="5" max="5" width="30" hidden="0" customWidth="1"/>
    <x:col min="6" max="6" width="12" hidden="0" customWidth="1"/>
    <x:col min="7" max="7" width="4" hidden="0" customWidth="1"/>
    <x:col min="8" max="8" width="20" hidden="0" customWidth="1"/>
    <x:col min="9" max="9" width="28" hidden="0" customWidth="1"/>
    <x:col min="10" max="10" width="42" hidden="0" customWidth="1"/>
    <x:col min="11" max="11" width="18" hidden="0" customWidth="1"/>
  </x:cols>
  <x:sheetData>
    <x:row r="1" ht="28" customHeight="1">
      <x:c r="A1" s="131" t="str">
        <x:v>Combination Analysis — where profit and loss come from</x:v>
      </x:c>
    </x:row>
    <x:row r="3">
      <x:c r="A3" s="108" t="str">
        <x:v>Best by Queue Count</x:v>
      </x:c>
      <x:c r="B3" s="198" t="str"/>
      <x:c r="C3" s="198" t="str"/>
      <x:c r="D3" s="198" t="str"/>
      <x:c r="E3" s="198" t="str"/>
      <x:c r="F3" s="199"/>
      <x:c r="G3" s="22"/>
      <x:c r="H3" s="80" t="str">
        <x:v>Sales stack map</x:v>
      </x:c>
      <x:c r="I3" s="198" t="str"/>
      <x:c r="J3" s="198" t="str"/>
      <x:c r="K3" s="199" t="str"/>
    </x:row>
    <x:row r="4">
      <x:c r="A4" s="83" t="str">
        <x:v>Queues</x:v>
      </x:c>
      <x:c r="B4" s="84" t="str">
        <x:v>Best Profit ISK</x:v>
      </x:c>
      <x:c r="C4" s="84" t="str">
        <x:v>Best Scenario ID</x:v>
      </x:c>
      <x:c r="D4" s="84" t="str">
        <x:v>Best Training Offer</x:v>
      </x:c>
      <x:c r="E4" s="84" t="str">
        <x:v>Best Extractor Source</x:v>
      </x:c>
      <x:c r="F4" s="89"/>
      <x:c r="G4" s="22"/>
      <x:c r="H4" s="83" t="str">
        <x:v>Layer</x:v>
      </x:c>
      <x:c r="I4" s="84" t="str">
        <x:v>Best target</x:v>
      </x:c>
      <x:c r="J4" s="84" t="str">
        <x:v>Why it matters</x:v>
      </x:c>
      <x:c r="K4" s="85" t="str">
        <x:v>Impact</x:v>
      </x:c>
    </x:row>
    <x:row r="5">
      <x:c r="A5" s="86" t="n">
        <x:v>1</x:v>
      </x:c>
      <x:c r="B5" s="87" t="n">
        <x:f>MAXIFS('02 Scenario Matrix'!$AD$3:$AD$929,'02 Scenario Matrix'!$E$3:$E$929,A5)</x:f>
        <x:v>9926924160</x:v>
      </x:c>
      <x:c r="C5" s="88" t="n">
        <x:f>INDEX('02 Scenario Matrix'!$A$3:$A$929,MATCH(B5,'02 Scenario Matrix'!$AD$3:$AD$929,0))</x:f>
        <x:v>798</x:v>
      </x:c>
      <x:c r="D5" s="88" t="str">
        <x:f>INDEX('02 Scenario Matrix'!$C$3:$C$929,MATCH(B5,'02 Scenario Matrix'!$AD$3:$AD$929,0))</x:f>
        <x:v>Winter 24M Omega sale</x:v>
      </x:c>
      <x:c r="E5" s="88" t="str">
        <x:f>INDEX('02 Scenario Matrix'!$G$3:$G$929,MATCH(B5,'02 Scenario Matrix'!$AD$3:$AD$929,0))</x:f>
        <x:v>NES 2-for-1 extractor sale</x:v>
      </x:c>
      <x:c r="F5" s="89"/>
      <x:c r="G5" s="22"/>
      <x:c r="H5" s="86" t="str">
        <x:v>Omega</x:v>
      </x:c>
      <x:c r="I5" s="88" t="str">
        <x:v>Long-duration sale / Capsuleer Day / Omega+MCT bundle</x:v>
      </x:c>
      <x:c r="J5" s="88" t="str">
        <x:v>Reduces account time cost.</x:v>
      </x:c>
      <x:c r="K5" s="89" t="str">
        <x:v>Usually the largest fixed cost.</x:v>
      </x:c>
    </x:row>
    <x:row r="6">
      <x:c r="A6" s="86" t="n">
        <x:v>2</x:v>
      </x:c>
      <x:c r="B6" s="87" t="n">
        <x:f>MAXIFS('02 Scenario Matrix'!$AD$3:$AD$929,'02 Scenario Matrix'!$E$3:$E$929,A6)</x:f>
        <x:v>11657608320</x:v>
      </x:c>
      <x:c r="C6" s="88" t="n">
        <x:f>INDEX('02 Scenario Matrix'!$A$3:$A$929,MATCH(B6,'02 Scenario Matrix'!$AD$3:$AD$929,0))</x:f>
        <x:v>834</x:v>
      </x:c>
      <x:c r="D6" s="88" t="str">
        <x:f>INDEX('02 Scenario Matrix'!$C$3:$C$929,MATCH(B6,'02 Scenario Matrix'!$AD$3:$AD$929,0))</x:f>
        <x:v>Winter 24M Omega sale</x:v>
      </x:c>
      <x:c r="E6" s="88" t="str">
        <x:f>INDEX('02 Scenario Matrix'!$G$3:$G$929,MATCH(B6,'02 Scenario Matrix'!$AD$3:$AD$929,0))</x:f>
        <x:v>NES 2-for-1 extractor sale</x:v>
      </x:c>
      <x:c r="F6" s="89"/>
      <x:c r="G6" s="22"/>
      <x:c r="H6" s="86" t="str">
        <x:v>MCT</x:v>
      </x:c>
      <x:c r="I6" s="88" t="str">
        <x:v>40% off MCT or Omega+MCT 50% bundle</x:v>
      </x:c>
      <x:c r="J6" s="88" t="str">
        <x:v>Adds 2 extra queues without extra accounts.</x:v>
      </x:c>
      <x:c r="K6" s="89" t="str">
        <x:v>Increases revenue but adds training cost.</x:v>
      </x:c>
    </x:row>
    <x:row r="7">
      <x:c r="A7" s="86" t="n">
        <x:v>3</x:v>
      </x:c>
      <x:c r="B7" s="87" t="n">
        <x:f>MAXIFS('02 Scenario Matrix'!$AD$3:$AD$929,'02 Scenario Matrix'!$E$3:$E$929,A7)</x:f>
        <x:v>16333386239.999985</x:v>
      </x:c>
      <x:c r="C7" s="88" t="n">
        <x:f>INDEX('02 Scenario Matrix'!$A$3:$A$929,MATCH(B7,'02 Scenario Matrix'!$AD$3:$AD$929,0))</x:f>
        <x:v>924</x:v>
      </x:c>
      <x:c r="D7" s="88" t="str">
        <x:f>INDEX('02 Scenario Matrix'!$C$3:$C$929,MATCH(B7,'02 Scenario Matrix'!$AD$3:$AD$929,0))</x:f>
        <x:v>12M Omega + 24M MCT 50% bundle</x:v>
      </x:c>
      <x:c r="E7" s="88" t="str">
        <x:f>INDEX('02 Scenario Matrix'!$G$3:$G$929,MATCH(B7,'02 Scenario Matrix'!$AD$3:$AD$929,0))</x:f>
        <x:v>NES 2-for-1 extractor sale</x:v>
      </x:c>
      <x:c r="F7" s="89"/>
      <x:c r="G7" s="22"/>
      <x:c r="H7" s="86" t="str">
        <x:v>Extractors</x:v>
      </x:c>
      <x:c r="I7" s="88" t="str">
        <x:v>2-for-1, 3-for-2, or cheap market extractors</x:v>
      </x:c>
      <x:c r="J7" s="88" t="str">
        <x:v>Extractor cost is required for every 500k SP.</x:v>
      </x:c>
      <x:c r="K7" s="89" t="str">
        <x:v>Most sensitive variable after LSI price.</x:v>
      </x:c>
    </x:row>
    <x:row r="8">
      <x:c r="A8" s="86"/>
      <x:c r="B8" s="88"/>
      <x:c r="C8" s="88"/>
      <x:c r="D8" s="88"/>
      <x:c r="E8" s="88"/>
      <x:c r="F8" s="89"/>
      <x:c r="G8" s="22"/>
      <x:c r="H8" s="86" t="str">
        <x:v>Market sale</x:v>
      </x:c>
      <x:c r="I8" s="88" t="str">
        <x:v>High LSI sell price and low taxes</x:v>
      </x:c>
      <x:c r="J8" s="88" t="str">
        <x:v>Revenue comes from selling Large Skill Injectors.</x:v>
      </x:c>
      <x:c r="K8" s="89" t="str">
        <x:v>Can flip scenario from loss to profit.</x:v>
      </x:c>
    </x:row>
    <x:row r="9">
      <x:c r="A9" s="86"/>
      <x:c r="B9" s="88"/>
      <x:c r="C9" s="88"/>
      <x:c r="D9" s="88"/>
      <x:c r="E9" s="88"/>
      <x:c r="F9" s="89"/>
      <x:c r="G9" s="22"/>
      <x:c r="H9" s="86" t="str">
        <x:v>Warning</x:v>
      </x:c>
      <x:c r="I9" s="88" t="str">
        <x:v>Base everything is usually loss-making</x:v>
      </x:c>
      <x:c r="J9" s="88" t="str">
        <x:v>If Omega, MCT, and extractors are all base price, current LSI prices often do not cover total cost.</x:v>
      </x:c>
      <x:c r="K9" s="89" t="str">
        <x:v>Use Best Results to check.</x:v>
      </x:c>
    </x:row>
    <x:row r="10">
      <x:c r="A10" s="210" t="str">
        <x:v>Best by Extractor Source</x:v>
      </x:c>
      <x:c r="B10" s="88" t="str"/>
      <x:c r="C10" s="88" t="str"/>
      <x:c r="D10" s="88" t="str"/>
      <x:c r="E10" s="88" t="str"/>
      <x:c r="F10" s="89" t="str"/>
      <x:c r="G10" s="22"/>
      <x:c r="H10" s="86" t="str"/>
      <x:c r="I10" s="88" t="str"/>
      <x:c r="J10" s="88" t="str"/>
      <x:c r="K10" s="89" t="str"/>
    </x:row>
    <x:row r="11">
      <x:c r="A11" s="83" t="str">
        <x:v>Extractor Source</x:v>
      </x:c>
      <x:c r="B11" s="84" t="str">
        <x:v>Best Profit ISK</x:v>
      </x:c>
      <x:c r="C11" s="84" t="str">
        <x:v>Best Scenario ID</x:v>
      </x:c>
      <x:c r="D11" s="84" t="str">
        <x:v>Best Training Offer</x:v>
      </x:c>
      <x:c r="E11" s="84" t="str">
        <x:v>Best Queue Count</x:v>
      </x:c>
      <x:c r="F11" s="85" t="str">
        <x:v>Status</x:v>
      </x:c>
      <x:c r="G11" s="22"/>
      <x:c r="H11" s="86" t="str">
        <x:v>Profit formula</x:v>
      </x:c>
      <x:c r="I11" s="88" t="str">
        <x:v>LSI net revenue - training cost - extractor cost</x:v>
      </x:c>
      <x:c r="J11" s="88" t="str"/>
      <x:c r="K11" s="89" t="str"/>
    </x:row>
    <x:row r="12">
      <x:c r="A12" s="86" t="str">
        <x:v>NES single extractor</x:v>
      </x:c>
      <x:c r="B12" s="87" t="n">
        <x:f>MAXIFS('02 Scenario Matrix'!$AD$3:$AD$929,'02 Scenario Matrix'!$G$3:$G$929,A12)</x:f>
        <x:v>-1752896760</x:v>
      </x:c>
      <x:c r="C12" s="88" t="n">
        <x:f>INDEX('02 Scenario Matrix'!$A$3:$A$929,MATCH(B12,'02 Scenario Matrix'!$AD$3:$AD$929,0))</x:f>
        <x:v>496</x:v>
      </x:c>
      <x:c r="D12" s="88" t="str">
        <x:f>INDEX('02 Scenario Matrix'!$C$3:$C$929,MATCH(B12,'02 Scenario Matrix'!$AD$3:$AD$929,0))</x:f>
        <x:v>Capsuleer Day 1M Omega + 100k SP + skin</x:v>
      </x:c>
      <x:c r="E12" s="88" t="n">
        <x:f>INDEX('02 Scenario Matrix'!$E$3:$E$929,MATCH(B12,'02 Scenario Matrix'!$AD$3:$AD$929,0))</x:f>
        <x:v>1</x:v>
      </x:c>
      <x:c r="F12" s="89" t="str">
        <x:f>IF(B12&gt;0,"PROFIT","LOSS")</x:f>
        <x:v>LOSS</x:v>
      </x:c>
      <x:c r="G12" s="22"/>
      <x:c r="H12" s="86" t="str">
        <x:v>Training cost</x:v>
      </x:c>
      <x:c r="I12" s="88" t="str">
        <x:v>PLEX cost × model PLEX ISK basis + any market MCT ISK</x:v>
      </x:c>
      <x:c r="J12" s="88" t="str"/>
      <x:c r="K12" s="89" t="str"/>
    </x:row>
    <x:row r="13">
      <x:c r="A13" s="86" t="str">
        <x:v>NES 5-pack extractor</x:v>
      </x:c>
      <x:c r="B13" s="87" t="n">
        <x:f>MAXIFS('02 Scenario Matrix'!$AD$3:$AD$929,'02 Scenario Matrix'!$G$3:$G$929,A13)</x:f>
        <x:v>-1477610840</x:v>
      </x:c>
      <x:c r="C13" s="88" t="n">
        <x:f>INDEX('02 Scenario Matrix'!$A$3:$A$929,MATCH(B13,'02 Scenario Matrix'!$AD$3:$AD$929,0))</x:f>
        <x:v>497</x:v>
      </x:c>
      <x:c r="D13" s="88" t="str">
        <x:f>INDEX('02 Scenario Matrix'!$C$3:$C$929,MATCH(B13,'02 Scenario Matrix'!$AD$3:$AD$929,0))</x:f>
        <x:v>Capsuleer Day 1M Omega + 100k SP + skin</x:v>
      </x:c>
      <x:c r="E13" s="88" t="n">
        <x:f>INDEX('02 Scenario Matrix'!$E$3:$E$929,MATCH(B13,'02 Scenario Matrix'!$AD$3:$AD$929,0))</x:f>
        <x:v>1</x:v>
      </x:c>
      <x:c r="F13" s="89" t="str">
        <x:f>IF(B13&gt;0,"PROFIT","LOSS")</x:f>
        <x:v>LOSS</x:v>
      </x:c>
      <x:c r="G13" s="22"/>
      <x:c r="H13" s="86" t="str">
        <x:v>Extractor cost</x:v>
      </x:c>
      <x:c r="I13" s="88" t="str">
        <x:v>Extractor unit PLEX × PLEX cost basis OR market extractor ISK</x:v>
      </x:c>
      <x:c r="J13" s="88" t="str"/>
      <x:c r="K13" s="89" t="str"/>
    </x:row>
    <x:row r="14">
      <x:c r="A14" s="86" t="str">
        <x:v>NES 10-pack extractor</x:v>
      </x:c>
      <x:c r="B14" s="87" t="n">
        <x:f>MAXIFS('02 Scenario Matrix'!$AD$3:$AD$929,'02 Scenario Matrix'!$G$3:$G$929,A14)</x:f>
        <x:v>-1339967880</x:v>
      </x:c>
      <x:c r="C14" s="88" t="n">
        <x:f>INDEX('02 Scenario Matrix'!$A$3:$A$929,MATCH(B14,'02 Scenario Matrix'!$AD$3:$AD$929,0))</x:f>
        <x:v>498</x:v>
      </x:c>
      <x:c r="D14" s="88" t="str">
        <x:f>INDEX('02 Scenario Matrix'!$C$3:$C$929,MATCH(B14,'02 Scenario Matrix'!$AD$3:$AD$929,0))</x:f>
        <x:v>Capsuleer Day 1M Omega + 100k SP + skin</x:v>
      </x:c>
      <x:c r="E14" s="88" t="n">
        <x:f>INDEX('02 Scenario Matrix'!$E$3:$E$929,MATCH(B14,'02 Scenario Matrix'!$AD$3:$AD$929,0))</x:f>
        <x:v>1</x:v>
      </x:c>
      <x:c r="F14" s="89" t="str">
        <x:f>IF(B14&gt;0,"PROFIT","LOSS")</x:f>
        <x:v>LOSS</x:v>
      </x:c>
      <x:c r="G14" s="22"/>
      <x:c r="H14" s="86" t="str">
        <x:v>LSI revenue</x:v>
      </x:c>
      <x:c r="I14" s="88" t="str">
        <x:v>Injectors produced × LSI sell price × (1 - fees)</x:v>
      </x:c>
      <x:c r="J14" s="88" t="str"/>
      <x:c r="K14" s="89" t="str"/>
    </x:row>
    <x:row r="15">
      <x:c r="A15" s="86" t="str">
        <x:v>NES 50-pack extractor</x:v>
      </x:c>
      <x:c r="B15" s="87" t="n">
        <x:f>MAXIFS('02 Scenario Matrix'!$AD$3:$AD$929,'02 Scenario Matrix'!$G$3:$G$929,A15)</x:f>
        <x:v>-1202324920</x:v>
      </x:c>
      <x:c r="C15" s="88" t="n">
        <x:f>INDEX('02 Scenario Matrix'!$A$3:$A$929,MATCH(B15,'02 Scenario Matrix'!$AD$3:$AD$929,0))</x:f>
        <x:v>499</x:v>
      </x:c>
      <x:c r="D15" s="88" t="str">
        <x:f>INDEX('02 Scenario Matrix'!$C$3:$C$929,MATCH(B15,'02 Scenario Matrix'!$AD$3:$AD$929,0))</x:f>
        <x:v>Capsuleer Day 1M Omega + 100k SP + skin</x:v>
      </x:c>
      <x:c r="E15" s="88" t="n">
        <x:f>INDEX('02 Scenario Matrix'!$E$3:$E$929,MATCH(B15,'02 Scenario Matrix'!$AD$3:$AD$929,0))</x:f>
        <x:v>1</x:v>
      </x:c>
      <x:c r="F15" s="89" t="str">
        <x:f>IF(B15&gt;0,"PROFIT","LOSS")</x:f>
        <x:v>LOSS</x:v>
      </x:c>
      <x:c r="G15" s="22"/>
      <x:c r="H15" s="86" t="str"/>
      <x:c r="I15" s="88" t="str"/>
      <x:c r="J15" s="88" t="str"/>
      <x:c r="K15" s="89" t="str"/>
    </x:row>
    <x:row r="16">
      <x:c r="A16" s="86" t="str">
        <x:v>NES 3-for-2 extractor sale</x:v>
      </x:c>
      <x:c r="B16" s="87" t="n">
        <x:f>MAXIFS('02 Scenario Matrix'!$AD$3:$AD$929,'02 Scenario Matrix'!$G$3:$G$929,A16)</x:f>
        <x:v>624311039.9999847</x:v>
      </x:c>
      <x:c r="C16" s="88" t="n">
        <x:f>INDEX('02 Scenario Matrix'!$A$3:$A$929,MATCH(B16,'02 Scenario Matrix'!$AD$3:$AD$929,0))</x:f>
        <x:v>923</x:v>
      </x:c>
      <x:c r="D16" s="88" t="str">
        <x:f>INDEX('02 Scenario Matrix'!$C$3:$C$929,MATCH(B16,'02 Scenario Matrix'!$AD$3:$AD$929,0))</x:f>
        <x:v>12M Omega + 24M MCT 50% bundle</x:v>
      </x:c>
      <x:c r="E16" s="88" t="n">
        <x:f>INDEX('02 Scenario Matrix'!$E$3:$E$929,MATCH(B16,'02 Scenario Matrix'!$AD$3:$AD$929,0))</x:f>
        <x:v>3</x:v>
      </x:c>
      <x:c r="F16" s="89" t="str">
        <x:f>IF(B16&gt;0,"PROFIT","LOSS")</x:f>
        <x:v>PROFIT</x:v>
      </x:c>
      <x:c r="G16" s="22"/>
      <x:c r="H16" s="86" t="str"/>
      <x:c r="I16" s="88" t="str"/>
      <x:c r="J16" s="88" t="str"/>
      <x:c r="K16" s="89" t="str"/>
    </x:row>
    <x:row r="17">
      <x:c r="A17" s="86" t="str">
        <x:v>NES 2-for-1 extractor sale</x:v>
      </x:c>
      <x:c r="B17" s="87" t="n">
        <x:f>MAXIFS('02 Scenario Matrix'!$AD$3:$AD$929,'02 Scenario Matrix'!$G$3:$G$929,A17)</x:f>
        <x:v>16333386239.999985</x:v>
      </x:c>
      <x:c r="C17" s="88" t="n">
        <x:f>INDEX('02 Scenario Matrix'!$A$3:$A$929,MATCH(B17,'02 Scenario Matrix'!$AD$3:$AD$929,0))</x:f>
        <x:v>924</x:v>
      </x:c>
      <x:c r="D17" s="88" t="str">
        <x:f>INDEX('02 Scenario Matrix'!$C$3:$C$929,MATCH(B17,'02 Scenario Matrix'!$AD$3:$AD$929,0))</x:f>
        <x:v>12M Omega + 24M MCT 50% bundle</x:v>
      </x:c>
      <x:c r="E17" s="88" t="n">
        <x:f>INDEX('02 Scenario Matrix'!$E$3:$E$929,MATCH(B17,'02 Scenario Matrix'!$AD$3:$AD$929,0))</x:f>
        <x:v>3</x:v>
      </x:c>
      <x:c r="F17" s="89" t="str">
        <x:f>IF(B17&gt;0,"PROFIT","LOSS")</x:f>
        <x:v>PROFIT</x:v>
      </x:c>
      <x:c r="G17" s="22"/>
      <x:c r="H17" s="86" t="str"/>
      <x:c r="I17" s="88" t="str"/>
      <x:c r="J17" s="88" t="str"/>
      <x:c r="K17" s="89" t="str"/>
    </x:row>
    <x:row r="18">
      <x:c r="A18" s="86" t="str">
        <x:v>NES 10-pack extractor 20% sale</x:v>
      </x:c>
      <x:c r="B18" s="87" t="n">
        <x:f>MAXIFS('02 Scenario Matrix'!$AD$3:$AD$929,'02 Scenario Matrix'!$G$3:$G$929,A18)</x:f>
        <x:v>-533701248</x:v>
      </x:c>
      <x:c r="C18" s="88" t="n">
        <x:f>INDEX('02 Scenario Matrix'!$A$3:$A$929,MATCH(B18,'02 Scenario Matrix'!$AD$3:$AD$929,0))</x:f>
        <x:v>898</x:v>
      </x:c>
      <x:c r="D18" s="88" t="str">
        <x:f>INDEX('02 Scenario Matrix'!$C$3:$C$929,MATCH(B18,'02 Scenario Matrix'!$AD$3:$AD$929,0))</x:f>
        <x:v>1M Omega + 2M MCT 50% bundle</x:v>
      </x:c>
      <x:c r="E18" s="88" t="n">
        <x:f>INDEX('02 Scenario Matrix'!$E$3:$E$929,MATCH(B18,'02 Scenario Matrix'!$AD$3:$AD$929,0))</x:f>
        <x:v>3</x:v>
      </x:c>
      <x:c r="F18" s="89" t="str">
        <x:f>IF(B18&gt;0,"PROFIT","LOSS")</x:f>
        <x:v>LOSS</x:v>
      </x:c>
      <x:c r="G18" s="22"/>
      <x:c r="H18" s="90" t="str"/>
      <x:c r="I18" s="91" t="str"/>
      <x:c r="J18" s="91" t="str"/>
      <x:c r="K18" s="92" t="str"/>
    </x:row>
    <x:row r="19">
      <x:c r="A19" s="86" t="str">
        <x:v>NES 50-pack extractor 20% sale</x:v>
      </x:c>
      <x:c r="B19" s="87" t="n">
        <x:f>MAXIFS('02 Scenario Matrix'!$AD$3:$AD$929,'02 Scenario Matrix'!$G$3:$G$929,A19)</x:f>
        <x:v>3137763071.9999847</x:v>
      </x:c>
      <x:c r="C19" s="88" t="n">
        <x:f>INDEX('02 Scenario Matrix'!$A$3:$A$929,MATCH(B19,'02 Scenario Matrix'!$AD$3:$AD$929,0))</x:f>
        <x:v>926</x:v>
      </x:c>
      <x:c r="D19" s="88" t="str">
        <x:f>INDEX('02 Scenario Matrix'!$C$3:$C$929,MATCH(B19,'02 Scenario Matrix'!$AD$3:$AD$929,0))</x:f>
        <x:v>12M Omega + 24M MCT 50% bundle</x:v>
      </x:c>
      <x:c r="E19" s="88" t="n">
        <x:f>INDEX('02 Scenario Matrix'!$E$3:$E$929,MATCH(B19,'02 Scenario Matrix'!$AD$3:$AD$929,0))</x:f>
        <x:v>3</x:v>
      </x:c>
      <x:c r="F19" s="89" t="str">
        <x:f>IF(B19&gt;0,"PROFIT","LOSS")</x:f>
        <x:v>PROFIT</x:v>
      </x:c>
      <x:c r="G19" s="22"/>
      <x:c r="H19" s="22"/>
      <x:c r="I19" s="22"/>
      <x:c r="J19" s="22"/>
      <x:c r="K19" s="22"/>
    </x:row>
    <x:row r="20">
      <x:c r="A20" s="86" t="str">
        <x:v>Market Skill Extractor</x:v>
      </x:c>
      <x:c r="B20" s="87" t="n">
        <x:f>MAXIFS('02 Scenario Matrix'!$AD$3:$AD$929,'02 Scenario Matrix'!$G$3:$G$929,A20)</x:f>
        <x:v>-598879680</x:v>
      </x:c>
      <x:c r="C20" s="88" t="n">
        <x:f>INDEX('02 Scenario Matrix'!$A$3:$A$929,MATCH(B20,'02 Scenario Matrix'!$AD$3:$AD$929,0))</x:f>
        <x:v>900</x:v>
      </x:c>
      <x:c r="D20" s="88" t="str">
        <x:f>INDEX('02 Scenario Matrix'!$C$3:$C$929,MATCH(B20,'02 Scenario Matrix'!$AD$3:$AD$929,0))</x:f>
        <x:v>1M Omega + 2M MCT 50% bundle</x:v>
      </x:c>
      <x:c r="E20" s="88" t="n">
        <x:f>INDEX('02 Scenario Matrix'!$E$3:$E$929,MATCH(B20,'02 Scenario Matrix'!$AD$3:$AD$929,0))</x:f>
        <x:v>3</x:v>
      </x:c>
      <x:c r="F20" s="89" t="str">
        <x:f>IF(B20&gt;0,"PROFIT","LOSS")</x:f>
        <x:v>LOSS</x:v>
      </x:c>
      <x:c r="G20" s="22"/>
      <x:c r="H20" s="22"/>
      <x:c r="I20" s="22"/>
      <x:c r="J20" s="22"/>
      <x:c r="K20" s="22"/>
    </x:row>
    <x:row r="21">
      <x:c r="A21" s="86"/>
      <x:c r="B21" s="88"/>
      <x:c r="C21" s="88"/>
      <x:c r="D21" s="88"/>
      <x:c r="E21" s="88"/>
      <x:c r="F21" s="89"/>
      <x:c r="G21" s="22"/>
      <x:c r="H21" s="22"/>
      <x:c r="I21" s="22"/>
      <x:c r="J21" s="22"/>
      <x:c r="K21" s="22"/>
    </x:row>
    <x:row r="22">
      <x:c r="A22" s="86"/>
      <x:c r="B22" s="88"/>
      <x:c r="C22" s="88"/>
      <x:c r="D22" s="88"/>
      <x:c r="E22" s="88"/>
      <x:c r="F22" s="89"/>
      <x:c r="G22" s="22"/>
      <x:c r="H22" s="22"/>
      <x:c r="I22" s="22"/>
      <x:c r="J22" s="22"/>
      <x:c r="K22" s="22"/>
    </x:row>
    <x:row r="23">
      <x:c r="A23" s="86"/>
      <x:c r="B23" s="88"/>
      <x:c r="C23" s="88"/>
      <x:c r="D23" s="88"/>
      <x:c r="E23" s="88"/>
      <x:c r="F23" s="89"/>
      <x:c r="G23" s="22"/>
      <x:c r="H23" s="22"/>
      <x:c r="I23" s="22"/>
      <x:c r="J23" s="22"/>
      <x:c r="K23" s="22"/>
    </x:row>
    <x:row r="24">
      <x:c r="A24" s="86"/>
      <x:c r="B24" s="88"/>
      <x:c r="C24" s="88"/>
      <x:c r="D24" s="88"/>
      <x:c r="E24" s="88"/>
      <x:c r="F24" s="89"/>
      <x:c r="G24" s="22"/>
      <x:c r="H24" s="22"/>
      <x:c r="I24" s="22"/>
      <x:c r="J24" s="22"/>
      <x:c r="K24" s="22"/>
    </x:row>
    <x:row r="25">
      <x:c r="A25" s="210" t="str">
        <x:v>Best by MCT Source</x:v>
      </x:c>
      <x:c r="B25" s="88" t="str"/>
      <x:c r="C25" s="88" t="str"/>
      <x:c r="D25" s="88" t="str"/>
      <x:c r="E25" s="88" t="str"/>
      <x:c r="F25" s="89" t="str"/>
      <x:c r="G25" s="22"/>
      <x:c r="H25" s="22"/>
      <x:c r="I25" s="22"/>
      <x:c r="J25" s="22"/>
      <x:c r="K25" s="22"/>
    </x:row>
    <x:row r="26">
      <x:c r="A26" s="83" t="str">
        <x:v>MCT Source</x:v>
      </x:c>
      <x:c r="B26" s="84" t="str">
        <x:v>Best Profit ISK</x:v>
      </x:c>
      <x:c r="C26" s="84" t="str">
        <x:v>Best Scenario ID</x:v>
      </x:c>
      <x:c r="D26" s="84" t="str">
        <x:v>Best Training Offer</x:v>
      </x:c>
      <x:c r="E26" s="84" t="str">
        <x:v>Best Extractor Source</x:v>
      </x:c>
      <x:c r="F26" s="85" t="str">
        <x:v>Status</x:v>
      </x:c>
      <x:c r="G26" s="22"/>
      <x:c r="H26" s="22"/>
      <x:c r="I26" s="22"/>
      <x:c r="J26" s="22"/>
      <x:c r="K26" s="22"/>
    </x:row>
    <x:row r="27">
      <x:c r="A27" s="86" t="str">
        <x:v>No MCT</x:v>
      </x:c>
      <x:c r="B27" s="87" t="n">
        <x:f>MAXIFS('02 Scenario Matrix'!$AD$3:$AD$929,'02 Scenario Matrix'!$F$3:$F$929,A27)</x:f>
        <x:v>9926924160</x:v>
      </x:c>
      <x:c r="C27" s="88" t="n">
        <x:f>INDEX('02 Scenario Matrix'!$A$3:$A$929,MATCH(B27,'02 Scenario Matrix'!$AD$3:$AD$929,0))</x:f>
        <x:v>798</x:v>
      </x:c>
      <x:c r="D27" s="88" t="str">
        <x:f>INDEX('02 Scenario Matrix'!$C$3:$C$929,MATCH(B27,'02 Scenario Matrix'!$AD$3:$AD$929,0))</x:f>
        <x:v>Winter 24M Omega sale</x:v>
      </x:c>
      <x:c r="E27" s="88" t="str">
        <x:f>INDEX('02 Scenario Matrix'!$G$3:$G$929,MATCH(B27,'02 Scenario Matrix'!$AD$3:$AD$929,0))</x:f>
        <x:v>NES 2-for-1 extractor sale</x:v>
      </x:c>
      <x:c r="F27" s="89" t="str">
        <x:f>IF(B27&gt;0,"PROFIT","LOSS")</x:f>
        <x:v>PROFIT</x:v>
      </x:c>
      <x:c r="G27" s="22"/>
      <x:c r="H27" s="22"/>
      <x:c r="I27" s="22"/>
      <x:c r="J27" s="22"/>
      <x:c r="K27" s="22"/>
    </x:row>
    <x:row r="28">
      <x:c r="A28" s="86" t="str">
        <x:v>NES base MCT</x:v>
      </x:c>
      <x:c r="B28" s="87" t="n">
        <x:f>MAXIFS('02 Scenario Matrix'!$AD$3:$AD$929,'02 Scenario Matrix'!$F$3:$F$929,A28)</x:f>
        <x:v>-1237495320</x:v>
      </x:c>
      <x:c r="C28" s="88" t="n">
        <x:f>INDEX('02 Scenario Matrix'!$A$3:$A$929,MATCH(B28,'02 Scenario Matrix'!$AD$3:$AD$929,0))</x:f>
        <x:v>510</x:v>
      </x:c>
      <x:c r="D28" s="88" t="str">
        <x:f>INDEX('02 Scenario Matrix'!$C$3:$C$929,MATCH(B28,'02 Scenario Matrix'!$AD$3:$AD$929,0))</x:f>
        <x:v>Capsuleer Day 1M Omega + 100k SP + skin</x:v>
      </x:c>
      <x:c r="E28" s="88" t="str">
        <x:f>INDEX('02 Scenario Matrix'!$G$3:$G$929,MATCH(B28,'02 Scenario Matrix'!$AD$3:$AD$929,0))</x:f>
        <x:v>NES 2-for-1 extractor sale</x:v>
      </x:c>
      <x:c r="F28" s="89" t="str">
        <x:f>IF(B28&gt;0,"PROFIT","LOSS")</x:f>
        <x:v>LOSS</x:v>
      </x:c>
      <x:c r="G28" s="22"/>
      <x:c r="H28" s="22"/>
      <x:c r="I28" s="22"/>
      <x:c r="J28" s="22"/>
      <x:c r="K28" s="22"/>
    </x:row>
    <x:row r="29">
      <x:c r="A29" s="86" t="str">
        <x:v>NES MCT 20% sale</x:v>
      </x:c>
      <x:c r="B29" s="87" t="n">
        <x:f>MAXIFS('02 Scenario Matrix'!$AD$3:$AD$929,'02 Scenario Matrix'!$F$3:$F$929,A29)</x:f>
        <x:v>459928320</x:v>
      </x:c>
      <x:c r="C29" s="88" t="n">
        <x:f>INDEX('02 Scenario Matrix'!$A$3:$A$929,MATCH(B29,'02 Scenario Matrix'!$AD$3:$AD$929,0))</x:f>
        <x:v>816</x:v>
      </x:c>
      <x:c r="D29" s="88" t="str">
        <x:f>INDEX('02 Scenario Matrix'!$C$3:$C$929,MATCH(B29,'02 Scenario Matrix'!$AD$3:$AD$929,0))</x:f>
        <x:v>Winter 24M Omega sale</x:v>
      </x:c>
      <x:c r="E29" s="88" t="str">
        <x:f>INDEX('02 Scenario Matrix'!$G$3:$G$929,MATCH(B29,'02 Scenario Matrix'!$AD$3:$AD$929,0))</x:f>
        <x:v>NES 2-for-1 extractor sale</x:v>
      </x:c>
      <x:c r="F29" s="89" t="str">
        <x:f>IF(B29&gt;0,"PROFIT","LOSS")</x:f>
        <x:v>PROFIT</x:v>
      </x:c>
      <x:c r="G29" s="22"/>
      <x:c r="H29" s="22"/>
      <x:c r="I29" s="22"/>
      <x:c r="J29" s="22"/>
      <x:c r="K29" s="22"/>
    </x:row>
    <x:row r="30">
      <x:c r="A30" s="86" t="str">
        <x:v>NES MCT 30% sale</x:v>
      </x:c>
      <x:c r="B30" s="87" t="n">
        <x:f>MAXIFS('02 Scenario Matrix'!$AD$3:$AD$929,'02 Scenario Matrix'!$F$3:$F$929,A30)</x:f>
        <x:v>6058768320</x:v>
      </x:c>
      <x:c r="C30" s="88" t="n">
        <x:f>INDEX('02 Scenario Matrix'!$A$3:$A$929,MATCH(B30,'02 Scenario Matrix'!$AD$3:$AD$929,0))</x:f>
        <x:v>825</x:v>
      </x:c>
      <x:c r="D30" s="88" t="str">
        <x:f>INDEX('02 Scenario Matrix'!$C$3:$C$929,MATCH(B30,'02 Scenario Matrix'!$AD$3:$AD$929,0))</x:f>
        <x:v>Winter 24M Omega sale</x:v>
      </x:c>
      <x:c r="E30" s="88" t="str">
        <x:f>INDEX('02 Scenario Matrix'!$G$3:$G$929,MATCH(B30,'02 Scenario Matrix'!$AD$3:$AD$929,0))</x:f>
        <x:v>NES 2-for-1 extractor sale</x:v>
      </x:c>
      <x:c r="F30" s="89" t="str">
        <x:f>IF(B30&gt;0,"PROFIT","LOSS")</x:f>
        <x:v>PROFIT</x:v>
      </x:c>
      <x:c r="G30" s="22"/>
      <x:c r="H30" s="22"/>
      <x:c r="I30" s="22"/>
      <x:c r="J30" s="22"/>
      <x:c r="K30" s="22"/>
    </x:row>
    <x:row r="31">
      <x:c r="A31" s="86" t="str">
        <x:v>NES MCT 40% sale</x:v>
      </x:c>
      <x:c r="B31" s="87" t="n">
        <x:f>MAXIFS('02 Scenario Matrix'!$AD$3:$AD$929,'02 Scenario Matrix'!$F$3:$F$929,A31)</x:f>
        <x:v>13388292479.99997</x:v>
      </x:c>
      <x:c r="C31" s="88" t="n">
        <x:f>INDEX('02 Scenario Matrix'!$A$3:$A$929,MATCH(B31,'02 Scenario Matrix'!$AD$3:$AD$929,0))</x:f>
        <x:v>879</x:v>
      </x:c>
      <x:c r="D31" s="88" t="str">
        <x:f>INDEX('02 Scenario Matrix'!$C$3:$C$929,MATCH(B31,'02 Scenario Matrix'!$AD$3:$AD$929,0))</x:f>
        <x:v>Winter 24M Omega sale</x:v>
      </x:c>
      <x:c r="E31" s="88" t="str">
        <x:f>INDEX('02 Scenario Matrix'!$G$3:$G$929,MATCH(B31,'02 Scenario Matrix'!$AD$3:$AD$929,0))</x:f>
        <x:v>NES 2-for-1 extractor sale</x:v>
      </x:c>
      <x:c r="F31" s="89" t="str">
        <x:f>IF(B31&gt;0,"PROFIT","LOSS")</x:f>
        <x:v>PROFIT</x:v>
      </x:c>
      <x:c r="G31" s="22"/>
      <x:c r="H31" s="22"/>
      <x:c r="I31" s="22"/>
      <x:c r="J31" s="22"/>
      <x:c r="K31" s="22"/>
    </x:row>
    <x:row r="32">
      <x:c r="A32" s="86" t="str">
        <x:v>Market MCT certificate</x:v>
      </x:c>
      <x:c r="B32" s="87" t="n">
        <x:f>MAXIFS('02 Scenario Matrix'!$AD$3:$AD$929,'02 Scenario Matrix'!$F$3:$F$929,A32)</x:f>
        <x:v>-1237495320</x:v>
      </x:c>
      <x:c r="C32" s="88" t="n">
        <x:f>INDEX('02 Scenario Matrix'!$A$3:$A$929,MATCH(B32,'02 Scenario Matrix'!$AD$3:$AD$929,0))</x:f>
        <x:v>510</x:v>
      </x:c>
      <x:c r="D32" s="88" t="str">
        <x:f>INDEX('02 Scenario Matrix'!$C$3:$C$929,MATCH(B32,'02 Scenario Matrix'!$AD$3:$AD$929,0))</x:f>
        <x:v>Capsuleer Day 1M Omega + 100k SP + skin</x:v>
      </x:c>
      <x:c r="E32" s="88" t="str">
        <x:f>INDEX('02 Scenario Matrix'!$G$3:$G$929,MATCH(B32,'02 Scenario Matrix'!$AD$3:$AD$929,0))</x:f>
        <x:v>NES 2-for-1 extractor sale</x:v>
      </x:c>
      <x:c r="F32" s="89" t="str">
        <x:f>IF(B32&gt;0,"PROFIT","LOSS")</x:f>
        <x:v>LOSS</x:v>
      </x:c>
      <x:c r="G32" s="22"/>
      <x:c r="H32" s="22"/>
      <x:c r="I32" s="22"/>
      <x:c r="J32" s="22"/>
      <x:c r="K32" s="22"/>
    </x:row>
    <x:row r="33">
      <x:c r="A33" s="86" t="str">
        <x:v>Included in Omega+MCT bundle</x:v>
      </x:c>
      <x:c r="B33" s="87" t="n">
        <x:f>MAXIFS('02 Scenario Matrix'!$AD$3:$AD$929,'02 Scenario Matrix'!$F$3:$F$929,A33)</x:f>
        <x:v>16333386239.999985</x:v>
      </x:c>
      <x:c r="C33" s="88" t="n">
        <x:f>INDEX('02 Scenario Matrix'!$A$3:$A$929,MATCH(B33,'02 Scenario Matrix'!$AD$3:$AD$929,0))</x:f>
        <x:v>924</x:v>
      </x:c>
      <x:c r="D33" s="88" t="str">
        <x:f>INDEX('02 Scenario Matrix'!$C$3:$C$929,MATCH(B33,'02 Scenario Matrix'!$AD$3:$AD$929,0))</x:f>
        <x:v>12M Omega + 24M MCT 50% bundle</x:v>
      </x:c>
      <x:c r="E33" s="88" t="str">
        <x:f>INDEX('02 Scenario Matrix'!$G$3:$G$929,MATCH(B33,'02 Scenario Matrix'!$AD$3:$AD$929,0))</x:f>
        <x:v>NES 2-for-1 extractor sale</x:v>
      </x:c>
      <x:c r="F33" s="89" t="str">
        <x:f>IF(B33&gt;0,"PROFIT","LOSS")</x:f>
        <x:v>PROFIT</x:v>
      </x:c>
      <x:c r="G33" s="22"/>
      <x:c r="H33" s="22"/>
      <x:c r="I33" s="22"/>
      <x:c r="J33" s="22"/>
      <x:c r="K33" s="22"/>
    </x:row>
    <x:row r="34">
      <x:c r="A34" s="86"/>
      <x:c r="B34" s="88"/>
      <x:c r="C34" s="88"/>
      <x:c r="D34" s="88"/>
      <x:c r="E34" s="88"/>
      <x:c r="F34" s="89"/>
      <x:c r="G34" s="22"/>
      <x:c r="H34" s="22"/>
      <x:c r="I34" s="22"/>
      <x:c r="J34" s="22"/>
      <x:c r="K34" s="22"/>
    </x:row>
    <x:row r="35">
      <x:c r="A35" s="86"/>
      <x:c r="B35" s="88"/>
      <x:c r="C35" s="88"/>
      <x:c r="D35" s="88"/>
      <x:c r="E35" s="88"/>
      <x:c r="F35" s="89"/>
      <x:c r="G35" s="22"/>
      <x:c r="H35" s="22"/>
      <x:c r="I35" s="22"/>
      <x:c r="J35" s="22"/>
      <x:c r="K35" s="22"/>
    </x:row>
    <x:row r="36">
      <x:c r="A36" s="86"/>
      <x:c r="B36" s="88"/>
      <x:c r="C36" s="88"/>
      <x:c r="D36" s="88"/>
      <x:c r="E36" s="88"/>
      <x:c r="F36" s="89"/>
      <x:c r="G36" s="22"/>
      <x:c r="H36" s="22"/>
      <x:c r="I36" s="22"/>
      <x:c r="J36" s="22"/>
      <x:c r="K36" s="22"/>
    </x:row>
    <x:row r="37">
      <x:c r="A37" s="86"/>
      <x:c r="B37" s="88"/>
      <x:c r="C37" s="88"/>
      <x:c r="D37" s="88"/>
      <x:c r="E37" s="88"/>
      <x:c r="F37" s="89"/>
      <x:c r="G37" s="22"/>
      <x:c r="H37" s="22"/>
      <x:c r="I37" s="22"/>
      <x:c r="J37" s="22"/>
      <x:c r="K37" s="22"/>
    </x:row>
    <x:row r="38">
      <x:c r="A38" s="86"/>
      <x:c r="B38" s="88"/>
      <x:c r="C38" s="88"/>
      <x:c r="D38" s="88"/>
      <x:c r="E38" s="88"/>
      <x:c r="F38" s="89"/>
      <x:c r="G38" s="22"/>
      <x:c r="H38" s="22"/>
      <x:c r="I38" s="22"/>
      <x:c r="J38" s="22"/>
      <x:c r="K38" s="22"/>
    </x:row>
    <x:row r="39">
      <x:c r="A39" s="86"/>
      <x:c r="B39" s="88"/>
      <x:c r="C39" s="88"/>
      <x:c r="D39" s="88"/>
      <x:c r="E39" s="88"/>
      <x:c r="F39" s="89"/>
      <x:c r="G39" s="22"/>
      <x:c r="H39" s="22"/>
      <x:c r="I39" s="22"/>
      <x:c r="J39" s="22"/>
      <x:c r="K39" s="22"/>
    </x:row>
    <x:row r="40">
      <x:c r="A40" s="90"/>
      <x:c r="B40" s="91"/>
      <x:c r="C40" s="91"/>
      <x:c r="D40" s="91"/>
      <x:c r="E40" s="91"/>
      <x:c r="F40" s="92"/>
      <x:c r="G40" s="22"/>
      <x:c r="H40" s="22"/>
      <x:c r="I40" s="22"/>
      <x:c r="J40" s="22"/>
      <x:c r="K40" s="22"/>
    </x:row>
    <x:row r="41">
      <x:c r="A41" s="22"/>
      <x:c r="B41" s="22"/>
      <x:c r="C41" s="22"/>
      <x:c r="D41" s="22"/>
      <x:c r="E41" s="22"/>
      <x:c r="F41" s="22"/>
      <x:c r="G41" s="22"/>
      <x:c r="H41" s="22"/>
      <x:c r="I41" s="22"/>
      <x:c r="J41" s="22"/>
      <x:c r="K41" s="22"/>
    </x:row>
    <x:row r="42">
      <x:c r="A42" s="22"/>
      <x:c r="B42" s="22"/>
      <x:c r="C42" s="22"/>
      <x:c r="D42" s="22"/>
      <x:c r="E42" s="22"/>
      <x:c r="F42" s="22"/>
      <x:c r="G42" s="22"/>
      <x:c r="H42" s="22"/>
      <x:c r="I42" s="22"/>
      <x:c r="J42" s="22"/>
      <x:c r="K42" s="22"/>
    </x:row>
    <x:row r="43">
      <x:c r="A43" s="22"/>
      <x:c r="B43" s="22"/>
      <x:c r="C43" s="22"/>
      <x:c r="D43" s="22"/>
      <x:c r="E43" s="22"/>
      <x:c r="F43" s="22"/>
      <x:c r="G43" s="22"/>
      <x:c r="H43" s="22"/>
      <x:c r="I43" s="22"/>
      <x:c r="J43" s="22"/>
      <x:c r="K43" s="22"/>
    </x:row>
    <x:row r="44">
      <x:c r="A44" s="22"/>
      <x:c r="B44" s="22"/>
      <x:c r="C44" s="22"/>
      <x:c r="D44" s="22"/>
      <x:c r="E44" s="22"/>
      <x:c r="F44" s="22"/>
      <x:c r="G44" s="22"/>
      <x:c r="H44" s="22"/>
      <x:c r="I44" s="22"/>
      <x:c r="J44" s="22"/>
      <x:c r="K44" s="22"/>
    </x:row>
    <x:row r="45">
      <x:c r="A45" s="22"/>
      <x:c r="B45" s="22"/>
      <x:c r="C45" s="22"/>
      <x:c r="D45" s="22"/>
      <x:c r="E45" s="22"/>
      <x:c r="F45" s="22"/>
      <x:c r="G45" s="22"/>
      <x:c r="H45" s="22"/>
      <x:c r="I45" s="22"/>
      <x:c r="J45" s="22"/>
      <x:c r="K45" s="22"/>
    </x:row>
  </x:sheetData>
  <x:mergeCells>
    <x:mergeCell ref="A1:K1"/>
    <x:mergeCell ref="A3:E3"/>
    <x:mergeCell ref="A10:F10"/>
    <x:mergeCell ref="A25:F25"/>
    <x:mergeCell ref="H3:K3"/>
  </x:mergeCells>
  <x:conditionalFormatting sqref="B5:B7">
    <x:cfRule type="colorScale" priority="1">
      <x:colorScale>
        <x:cfvo type="min"/>
        <x:cfvo type="percentile" val="50"/>
        <x:cfvo type="max"/>
        <x:color rgb="FEE2E2"/>
        <x:color rgb="FEF3C7"/>
        <x:color rgb="DCFCE7"/>
      </x:colorScale>
    </x:cfRule>
  </x:conditionalFormatting>
  <x:conditionalFormatting sqref="B12:B20">
    <x:cfRule type="colorScale" priority="2">
      <x:colorScale>
        <x:cfvo type="min"/>
        <x:cfvo type="percentile" val="50"/>
        <x:cfvo type="max"/>
        <x:color rgb="FEE2E2"/>
        <x:color rgb="FEF3C7"/>
        <x:color rgb="DCFCE7"/>
      </x:colorScale>
    </x:cfRule>
  </x:conditionalFormatting>
  <x:conditionalFormatting sqref="F12:F20">
    <x:cfRule type="expression" dxfId="8" priority="3">
      <x:formula>F12="PROFIT"</x:formula>
    </x:cfRule>
    <x:cfRule type="expression" dxfId="9" priority="4">
      <x:formula>F12="LOSS"</x:formula>
    </x:cfRule>
  </x:conditionalFormatting>
  <x:conditionalFormatting sqref="B27:B33">
    <x:cfRule type="colorScale" priority="5">
      <x:colorScale>
        <x:cfvo type="min"/>
        <x:cfvo type="percentile" val="50"/>
        <x:cfvo type="max"/>
        <x:color rgb="FEE2E2"/>
        <x:color rgb="FEF3C7"/>
        <x:color rgb="DCFCE7"/>
      </x:colorScale>
    </x:cfRule>
  </x:conditionalFormatting>
  <x:conditionalFormatting sqref="F27:F33">
    <x:cfRule type="expression" dxfId="10" priority="6">
      <x:formula>F27="PROFIT"</x:formula>
    </x:cfRule>
    <x:cfRule type="expression" dxfId="11" priority="7">
      <x:formula>F27="LOSS"</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64" hidden="0" customWidth="1"/>
    <x:col min="3" max="3" width="4" hidden="0" customWidth="1"/>
    <x:col min="4" max="4" width="50" hidden="0" customWidth="1"/>
    <x:col min="5" max="5" width="12" hidden="0" customWidth="1"/>
    <x:col min="6" max="6" width="4" hidden="0" customWidth="1"/>
    <x:col min="7" max="7" width="4" hidden="0" customWidth="1"/>
    <x:col min="8" max="8" width="4" hidden="0" customWidth="1"/>
  </x:cols>
  <x:sheetData>
    <x:row r="1" ht="28" customHeight="1">
      <x:c r="A1" s="131" t="str">
        <x:v>SP Farm Guide — optimized alt path and assumptions</x:v>
      </x:c>
    </x:row>
    <x:row r="3">
      <x:c r="A3" s="216" t="str">
        <x:v>Section</x:v>
      </x:c>
      <x:c r="B3" s="217" t="str">
        <x:v>Description</x:v>
      </x:c>
      <x:c r="D3" s="230" t="str">
        <x:v>Checklist for a cleaner SP farm</x:v>
      </x:c>
      <x:c r="E3" s="231" t="str">
        <x:v>Done?</x:v>
      </x:c>
    </x:row>
    <x:row r="4">
      <x:c r="A4" s="218" t="str">
        <x:v>1. Goal</x:v>
      </x:c>
      <x:c r="B4" s="89" t="str">
        <x:v>Train characters at optimized Omega speed, extract SP above the required minimum, sell Large Skill Injectors, and compare net ISK revenue against Omega/MCT/extractor costs.</x:v>
      </x:c>
      <x:c r="D4" s="232" t="str">
        <x:v>Use +5 implants on the farming clone.</x:v>
      </x:c>
      <x:c r="E4" s="89" t="str"/>
    </x:row>
    <x:row r="5">
      <x:c r="A5" s="218" t="str">
        <x:v>2. Optimal training rate</x:v>
      </x:c>
      <x:c r="B5" s="89" t="str">
        <x:v>Use an Omega character on a correct remap with +5 implants. This model assumes 45 SP/min, 2,700 SP/hour, and 1,944,000 SP per 30-day month per active queue.</x:v>
      </x:c>
      <x:c r="D5" s="232" t="str">
        <x:v>Use a remap aligned to the skill plan being farmed.</x:v>
      </x:c>
      <x:c r="E5" s="89" t="str"/>
    </x:row>
    <x:row r="6">
      <x:c r="A6" s="218" t="str">
        <x:v>3. Alt farm setup</x:v>
      </x:c>
      <x:c r="B6" s="89" t="str">
        <x:v>Create or prepare extraction alts, train to the required extraction minimum, then keep training a long skill plan aligned to your remap. The initial seed SP and implants are not included in profit.</x:v>
      </x:c>
      <x:c r="D6" s="232" t="str">
        <x:v>Keep the queue full for the full 30-day period.</x:v>
      </x:c>
      <x:c r="E6" s="89" t="str"/>
    </x:row>
    <x:row r="7">
      <x:c r="A7" s="218" t="str">
        <x:v>4. MCT usage</x:v>
      </x:c>
      <x:c r="B7" s="89" t="str">
        <x:v>One Omega account trains one queue by default. MCT can add one or two additional active queues on the same account, up to three characters training simultaneously.</x:v>
      </x:c>
      <x:c r="D7" s="232" t="str">
        <x:v>Avoid extracting below the required SP threshold.</x:v>
      </x:c>
      <x:c r="E7" s="89" t="str"/>
    </x:row>
    <x:row r="8">
      <x:c r="A8" s="218" t="str">
        <x:v>5. Extraction cycle</x:v>
      </x:c>
      <x:c r="B8" s="89" t="str">
        <x:v>Every 500,000 trained SP becomes one Large Skill Injector after consuming a Skill Extractor. The workbook uses long-run fractional injector math because remainder SP carries forward.</x:v>
      </x:c>
      <x:c r="D8" s="232" t="str">
        <x:v>Buy extractors during NES sales or when market price is favorable.</x:v>
      </x:c>
      <x:c r="E8" s="89" t="str"/>
    </x:row>
    <x:row r="9">
      <x:c r="A9" s="218" t="str">
        <x:v>6. Revenue side</x:v>
      </x:c>
      <x:c r="B9" s="89" t="str">
        <x:v>Revenue equals Large Skill Injectors produced × LSI sell price × (1 - market fees/taxes). Edit the LSI price and fee rate in the first tab.</x:v>
      </x:c>
      <x:c r="D9" s="232" t="str">
        <x:v>Sell Large Skill Injectors when spread/fees are favorable.</x:v>
      </x:c>
      <x:c r="E9" s="89" t="str"/>
    </x:row>
    <x:row r="10">
      <x:c r="A10" s="218" t="str">
        <x:v>7. Cost side</x:v>
      </x:c>
      <x:c r="B10" s="89" t="str">
        <x:v>Costs are Omega/MCT PLEX converted into ISK, plus extractor cost. Extractors can be bought with PLEX in NES or with ISK on the market, and the Scenario Matrix compares both.</x:v>
      </x:c>
      <x:c r="D10" s="232" t="str">
        <x:v>Use MCT only when the added queue is profitable in the Scenario Matrix.</x:v>
      </x:c>
      <x:c r="E10" s="89" t="str"/>
    </x:row>
    <x:row r="11">
      <x:c r="A11" s="218" t="str">
        <x:v>8. Profit rule</x:v>
      </x:c>
      <x:c r="B11" s="89" t="str">
        <x:v>Profit = LSI net revenue - training cost - extractor cost. A green scenario is profitable at current inputs; red means loss.</x:v>
      </x:c>
      <x:c r="D11" s="232" t="str">
        <x:v>Use long-duration Omega/MCT bundles only if you can wait through the full cycle.</x:v>
      </x:c>
      <x:c r="E11" s="89" t="str"/>
    </x:row>
    <x:row r="12">
      <x:c r="A12" s="218" t="str">
        <x:v>9. Best practical timing</x:v>
      </x:c>
      <x:c r="B12" s="89" t="str">
        <x:v>Most SP farm profitability comes from stacking good sales: discounted Omega/MCT, discounted extractors, and favorable LSI sale prices. Base-price scenarios usually lose ISK.</x:v>
      </x:c>
      <x:c r="D12" s="233" t="str">
        <x:v>Track actual taxes and broker fees, then update the first tab.</x:v>
      </x:c>
      <x:c r="E12" s="92" t="str"/>
    </x:row>
    <x:row r="13">
      <x:c r="A13" s="219" t="str">
        <x:v>10. Not included</x:v>
      </x:c>
      <x:c r="B13" s="92" t="str">
        <x:v>Implants, skillbooks, seed SP cost, taxes beyond the editable rate, hauling risk, opportunity cost of using character slots for non-farm gameplay, and price movement while training.</x:v>
      </x:c>
    </x:row>
    <x:row r="16">
      <x:c r="A16" s="64" t="str">
        <x:v>Core formulas used in the workbook</x:v>
      </x:c>
    </x:row>
    <x:row r="17">
      <x:c r="A17" s="216" t="str">
        <x:v>Metric</x:v>
      </x:c>
      <x:c r="B17" s="217" t="str">
        <x:v>Formula</x:v>
      </x:c>
    </x:row>
    <x:row r="18">
      <x:c r="A18" s="86" t="str">
        <x:v>Optimized Omega SP/month</x:v>
      </x:c>
      <x:c r="B18" s="89" t="str">
        <x:v>45 SP/min × 60 × 24 × 30 = 1,944,000 SP</x:v>
      </x:c>
    </x:row>
    <x:row r="19">
      <x:c r="A19" s="86" t="str">
        <x:v>Queue-months</x:v>
      </x:c>
      <x:c r="B19" s="89" t="str">
        <x:v>Omega months × active queues</x:v>
      </x:c>
    </x:row>
    <x:row r="20">
      <x:c r="A20" s="86" t="str">
        <x:v>Total SP</x:v>
      </x:c>
      <x:c r="B20" s="89" t="str">
        <x:v>Queue-months × SP/month + bonus SP</x:v>
      </x:c>
    </x:row>
    <x:row r="21">
      <x:c r="A21" s="86" t="str">
        <x:v>Injectors produced</x:v>
      </x:c>
      <x:c r="B21" s="89" t="str">
        <x:v>Total SP ÷ 500,000</x:v>
      </x:c>
    </x:row>
    <x:row r="22">
      <x:c r="A22" s="86" t="str">
        <x:v>Training cost ISK</x:v>
      </x:c>
      <x:c r="B22" s="89" t="str">
        <x:v>Training PLEX × model PLEX cost basis + MCT market ISK</x:v>
      </x:c>
    </x:row>
    <x:row r="23">
      <x:c r="A23" s="86" t="str">
        <x:v>Extractor cost ISK</x:v>
      </x:c>
      <x:c r="B23" s="89" t="str">
        <x:v>Injectors × (extractor PLEX × PLEX cost basis + extractor market ISK)</x:v>
      </x:c>
    </x:row>
    <x:row r="24">
      <x:c r="A24" s="86" t="str">
        <x:v>LSI net revenue</x:v>
      </x:c>
      <x:c r="B24" s="89" t="str">
        <x:v>Injectors × LSI sell price × (1 - fees/taxes)</x:v>
      </x:c>
    </x:row>
    <x:row r="25">
      <x:c r="A25" s="86" t="str">
        <x:v>Profit ISK</x:v>
      </x:c>
      <x:c r="B25" s="89" t="str">
        <x:v>LSI net revenue - training cost - extractor cost</x:v>
      </x:c>
    </x:row>
    <x:row r="26">
      <x:c r="A26" s="90" t="str">
        <x:v>Break-even LSI price</x:v>
      </x:c>
      <x:c r="B26" s="92" t="str">
        <x:v>Total cost ÷ injectors ÷ (1 - fees/taxes)</x:v>
      </x:c>
    </x:row>
  </x:sheetData>
  <x:mergeCells>
    <x:mergeCell ref="A1:H1"/>
    <x:mergeCell ref="A16:H16"/>
  </x:mergeCell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28" hidden="0" customWidth="1"/>
    <x:col min="3" max="3" width="62" hidden="0" customWidth="1"/>
    <x:col min="4" max="4" width="38" hidden="0" customWidth="1"/>
    <x:col min="5" max="5" width="42" hidden="0" customWidth="1"/>
  </x:cols>
  <x:sheetData>
    <x:row r="1" ht="28" customHeight="1">
      <x:c r="A1" s="131" t="str">
        <x:v>Sources and notes</x:v>
      </x:c>
    </x:row>
    <x:row r="3">
      <x:c r="A3" s="216" t="str">
        <x:v>Topic</x:v>
      </x:c>
      <x:c r="B3" s="238" t="str">
        <x:v>Source</x:v>
      </x:c>
      <x:c r="C3" s="238" t="str">
        <x:v>URL</x:v>
      </x:c>
      <x:c r="D3" s="238" t="str">
        <x:v>Used for</x:v>
      </x:c>
      <x:c r="E3" s="217" t="str">
        <x:v>Notes</x:v>
      </x:c>
    </x:row>
    <x:row r="4">
      <x:c r="A4" s="86" t="str">
        <x:v>Current market prices</x:v>
      </x:c>
      <x:c r="B4" s="88" t="str">
        <x:v>EVEMogul Popular Items</x:v>
      </x:c>
      <x:c r="C4" s="88" t="str">
        <x:v>https://www.evemogul.com/items</x:v>
      </x:c>
      <x:c r="D4" s="88" t="str">
        <x:v>PLEX, Large Skill Injector, Skill Extractor current reference prices</x:v>
      </x:c>
      <x:c r="E4" s="89" t="str">
        <x:v>Values retrieved during workbook creation.</x:v>
      </x:c>
    </x:row>
    <x:row r="5">
      <x:c r="A5" s="86" t="str">
        <x:v>Skill Extractor / Injector rules</x:v>
      </x:c>
      <x:c r="B5" s="88" t="str">
        <x:v>CCP Support</x:v>
      </x:c>
      <x:c r="C5" s="88" t="str">
        <x:v>https://support.eveonline.com/hc/en-us/articles/207605005-Skill-Extractors-and-Skill-Injectors</x:v>
      </x:c>
      <x:c r="D5" s="88" t="str">
        <x:v>500,000 SP per extractor/injector; extraction rules</x:v>
      </x:c>
      <x:c r="E5" s="89" t="str">
        <x:v>Also notes injectors can be traded/sold.</x:v>
      </x:c>
    </x:row>
    <x:row r="6">
      <x:c r="A6" s="86" t="str">
        <x:v>MCT rules</x:v>
      </x:c>
      <x:c r="B6" s="88" t="str">
        <x:v>CCP Support</x:v>
      </x:c>
      <x:c r="C6" s="88" t="str">
        <x:v>https://support.eveonline.com/hc/en-us/articles/203411052-Multiple-Character-Training</x:v>
      </x:c>
      <x:c r="D6" s="88" t="str">
        <x:v>MCT adds extra queues, 30 days at a time, up to 3 simultaneous queues</x:v>
      </x:c>
      <x:c r="E6" s="89" t="str">
        <x:v>MCT does not extend Omega time.</x:v>
      </x:c>
    </x:row>
    <x:row r="7">
      <x:c r="A7" s="86" t="str">
        <x:v>MCT base price example</x:v>
      </x:c>
      <x:c r="B7" s="88" t="str">
        <x:v>EVE Online news</x:v>
      </x:c>
      <x:c r="C7" s="88" t="str">
        <x:v>https://www.eveonline.com/news/view/20-off-multiple-character-training-24-hours-remaining</x:v>
      </x:c>
      <x:c r="D7" s="88" t="str">
        <x:v>485 PLEX base and 388 PLEX at 20% off</x:v>
      </x:c>
      <x:c r="E7" s="89" t="str">
        <x:v>Older official reference; base price is editable.</x:v>
      </x:c>
    </x:row>
    <x:row r="8">
      <x:c r="A8" s="86" t="str">
        <x:v>Omega price screenshots</x:v>
      </x:c>
      <x:c r="B8" s="88" t="str">
        <x:v>User-provided images</x:v>
      </x:c>
      <x:c r="C8" s="88" t="str">
        <x:v>Chat attachments</x:v>
      </x:c>
      <x:c r="D8" s="88" t="str">
        <x:v>1M 500 PLEX + 100k SP, 3M 1200, 6M 2100, 12M 3600</x:v>
      </x:c>
      <x:c r="E8" s="89" t="str">
        <x:v>From this conversation.</x:v>
      </x:c>
    </x:row>
    <x:row r="9">
      <x:c r="A9" s="86" t="str">
        <x:v>Capsuleer Day offers</x:v>
      </x:c>
      <x:c r="B9" s="88" t="str">
        <x:v>User-provided images</x:v>
      </x:c>
      <x:c r="C9" s="88" t="str">
        <x:v>Chat attachments</x:v>
      </x:c>
      <x:c r="D9" s="88" t="str">
        <x:v>1M 400 PLEX + 100k SP + skin; 3M 960 PLEX + skins</x:v>
      </x:c>
      <x:c r="E9" s="89" t="str">
        <x:v>From this conversation.</x:v>
      </x:c>
    </x:row>
    <x:row r="10">
      <x:c r="A10" s="86" t="str">
        <x:v>Omega 12M / 24M sale</x:v>
      </x:c>
      <x:c r="B10" s="88" t="str">
        <x:v>EVE Online news</x:v>
      </x:c>
      <x:c r="C10" s="88" t="str">
        <x:v>https://www.eveonline.com/news/view/get-in-the-holiday-spirit-with-omega</x:v>
      </x:c>
      <x:c r="D10" s="88" t="str">
        <x:v>12M 3600→2700 and 24M 6600→5280</x:v>
      </x:c>
      <x:c r="E10" s="89" t="str">
        <x:v>Official sale article.</x:v>
      </x:c>
    </x:row>
    <x:row r="11">
      <x:c r="A11" s="86" t="str">
        <x:v>MCT 40% sale</x:v>
      </x:c>
      <x:c r="B11" s="88" t="str">
        <x:v>EVE Online news</x:v>
      </x:c>
      <x:c r="C11" s="88" t="str">
        <x:v>https://www.eveonline.com/news/view/save-40-on-mct-in-the-nes</x:v>
      </x:c>
      <x:c r="D11" s="88" t="str">
        <x:v>40% off MCT in New Eden Store</x:v>
      </x:c>
      <x:c r="E11" s="89" t="str">
        <x:v>Official sale article.</x:v>
      </x:c>
    </x:row>
    <x:row r="12">
      <x:c r="A12" s="86" t="str">
        <x:v>MCT 30% sale</x:v>
      </x:c>
      <x:c r="B12" s="88" t="str">
        <x:v>EVE Online news</x:v>
      </x:c>
      <x:c r="C12" s="88" t="str">
        <x:v>https://www.eveonline.com/news/view/20-off-plex</x:v>
      </x:c>
      <x:c r="D12" s="88" t="str">
        <x:v>30% off MCT in New Eden Store</x:v>
      </x:c>
      <x:c r="E12" s="89" t="str">
        <x:v>Article title says 20% off PLEX; body mentions 30% off MCT.</x:v>
      </x:c>
    </x:row>
    <x:row r="13">
      <x:c r="A13" s="86" t="str">
        <x:v>Omega + MCT bundle sale</x:v>
      </x:c>
      <x:c r="B13" s="88" t="str">
        <x:v>EVE Online news</x:v>
      </x:c>
      <x:c r="C13" s="88" t="str">
        <x:v>https://www.eveonline.com/news/view/24-save-50-on-omega-mct-in-september</x:v>
      </x:c>
      <x:c r="D13" s="88" t="str">
        <x:v>50% off Omega + MCT bundles</x:v>
      </x:c>
      <x:c r="E13" s="89" t="str">
        <x:v>Official sale article.</x:v>
      </x:c>
    </x:row>
    <x:row r="14">
      <x:c r="A14" s="86" t="str">
        <x:v>Skill Extractor 3-for-2</x:v>
      </x:c>
      <x:c r="B14" s="88" t="str">
        <x:v>EVE Online news</x:v>
      </x:c>
      <x:c r="C14" s="88" t="str">
        <x:v>https://www.eveonline.com/news/view/nes-sale-save-up-to-70</x:v>
      </x:c>
      <x:c r="D14" s="88" t="str">
        <x:v>Skill Extractors 3-for-2 sale</x:v>
      </x:c>
      <x:c r="E14" s="89" t="str">
        <x:v>Official sale article.</x:v>
      </x:c>
    </x:row>
    <x:row r="15">
      <x:c r="A15" s="86" t="str">
        <x:v>Skill Extractor 2-for-1</x:v>
      </x:c>
      <x:c r="B15" s="88" t="str">
        <x:v>EVE Online news</x:v>
      </x:c>
      <x:c r="C15" s="88" t="str">
        <x:v>https://www.eveonline.com/news/view/plex-for-less-june</x:v>
      </x:c>
      <x:c r="D15" s="88" t="str">
        <x:v>2-for-1 Skill Extractor sale</x:v>
      </x:c>
      <x:c r="E15" s="89" t="str">
        <x:v>Official sale article.</x:v>
      </x:c>
    </x:row>
    <x:row r="16">
      <x:c r="A16" s="90" t="str">
        <x:v>Skill Extractor 10/50 pack 20% sale</x:v>
      </x:c>
      <x:c r="B16" s="91" t="str">
        <x:v>EVE Online news</x:v>
      </x:c>
      <x:c r="C16" s="91" t="str">
        <x:v>https://www.eveonline.com/news/view/save-big-on-skill-point-bundles</x:v>
      </x:c>
      <x:c r="D16" s="91" t="str">
        <x:v>10 extractors 1190→952; 50 extractors 5600→4480</x:v>
      </x:c>
      <x:c r="E16" s="92" t="str">
        <x:v>Official sale article.</x:v>
      </x:c>
    </x:row>
  </x:sheetData>
  <x:mergeCells>
    <x:mergeCell ref="A1:E1"/>
  </x:mergeCells>
  <x:pageMargins left="0.7" right="0.7" top="0.75" bottom="0.75" header="0.3" footer="0.3"/>
</x:worksheet>
</file>